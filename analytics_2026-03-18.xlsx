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Noutbuk savdosi\CRM\"/>
    </mc:Choice>
  </mc:AlternateContent>
  <bookViews>
    <workbookView xWindow="0" yWindow="0" windowWidth="28800" windowHeight="12315" activeTab="2"/>
  </bookViews>
  <sheets>
    <sheet name="январь 2026" sheetId="1" r:id="rId1"/>
    <sheet name="февраль 2026" sheetId="2" r:id="rId2"/>
    <sheet name="март 2026" sheetId="3" r:id="rId3"/>
  </sheets>
  <definedNames>
    <definedName name="_xlnm._FilterDatabase" localSheetId="2" hidden="1">'март 2026'!$A$3:$AC$3</definedName>
    <definedName name="_xlnm._FilterDatabase" localSheetId="1" hidden="1">'февраль 2026'!$A$3:$AB$713</definedName>
    <definedName name="_xlnm._FilterDatabase" localSheetId="0" hidden="1">'январь 2026'!$A$3:$AB$754</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Y565" i="3" l="1"/>
  <c r="V565" i="3"/>
  <c r="S565" i="3"/>
  <c r="P565" i="3"/>
  <c r="M565" i="3"/>
  <c r="I565" i="3"/>
  <c r="AB565" i="3" s="1"/>
  <c r="Y564" i="3"/>
  <c r="V564" i="3"/>
  <c r="S564" i="3"/>
  <c r="P564" i="3"/>
  <c r="AB564" i="3" s="1"/>
  <c r="M564" i="3"/>
  <c r="I564" i="3"/>
  <c r="Y563" i="3"/>
  <c r="V563" i="3"/>
  <c r="S563" i="3"/>
  <c r="P563" i="3"/>
  <c r="M563" i="3"/>
  <c r="I563" i="3"/>
  <c r="AB563" i="3" s="1"/>
  <c r="Y562" i="3"/>
  <c r="V562" i="3"/>
  <c r="S562" i="3"/>
  <c r="P562" i="3"/>
  <c r="M562" i="3"/>
  <c r="AB562" i="3" s="1"/>
  <c r="I562" i="3"/>
  <c r="Y561" i="3"/>
  <c r="V561" i="3"/>
  <c r="S561" i="3"/>
  <c r="P561" i="3"/>
  <c r="M561" i="3"/>
  <c r="I561" i="3"/>
  <c r="AB561" i="3" s="1"/>
  <c r="AB560" i="3"/>
  <c r="Y560" i="3"/>
  <c r="V560" i="3"/>
  <c r="S560" i="3"/>
  <c r="P560" i="3"/>
  <c r="M560" i="3"/>
  <c r="I560" i="3"/>
  <c r="Y559" i="3"/>
  <c r="V559" i="3"/>
  <c r="S559" i="3"/>
  <c r="P559" i="3"/>
  <c r="M559" i="3"/>
  <c r="AB559" i="3" s="1"/>
  <c r="I559" i="3"/>
  <c r="Y558" i="3"/>
  <c r="V558" i="3"/>
  <c r="S558" i="3"/>
  <c r="P558" i="3"/>
  <c r="M558" i="3"/>
  <c r="I558" i="3"/>
  <c r="AB558" i="3" s="1"/>
  <c r="Y557" i="3"/>
  <c r="V557" i="3"/>
  <c r="S557" i="3"/>
  <c r="P557" i="3"/>
  <c r="M557" i="3"/>
  <c r="I557" i="3"/>
  <c r="AB557" i="3" s="1"/>
  <c r="Y556" i="3"/>
  <c r="V556" i="3"/>
  <c r="S556" i="3"/>
  <c r="P556" i="3"/>
  <c r="M556" i="3"/>
  <c r="I556" i="3"/>
  <c r="AB556" i="3" s="1"/>
  <c r="Y555" i="3"/>
  <c r="V555" i="3"/>
  <c r="S555" i="3"/>
  <c r="P555" i="3"/>
  <c r="M555" i="3"/>
  <c r="I555" i="3"/>
  <c r="AB555" i="3" s="1"/>
  <c r="Y554" i="3"/>
  <c r="V554" i="3"/>
  <c r="S554" i="3"/>
  <c r="P554" i="3"/>
  <c r="M554" i="3"/>
  <c r="I554" i="3"/>
  <c r="AB554" i="3" s="1"/>
  <c r="Y553" i="3"/>
  <c r="V553" i="3"/>
  <c r="S553" i="3"/>
  <c r="P553" i="3"/>
  <c r="M553" i="3"/>
  <c r="I553" i="3"/>
  <c r="AB553" i="3" s="1"/>
  <c r="Y552" i="3"/>
  <c r="V552" i="3"/>
  <c r="S552" i="3"/>
  <c r="P552" i="3"/>
  <c r="AB552" i="3" s="1"/>
  <c r="M552" i="3"/>
  <c r="I552" i="3"/>
  <c r="Y551" i="3"/>
  <c r="V551" i="3"/>
  <c r="S551" i="3"/>
  <c r="P551" i="3"/>
  <c r="AB551" i="3" s="1"/>
  <c r="M551" i="3"/>
  <c r="I551" i="3"/>
  <c r="Y550" i="3"/>
  <c r="V550" i="3"/>
  <c r="S550" i="3"/>
  <c r="P550" i="3"/>
  <c r="M550" i="3"/>
  <c r="I550" i="3"/>
  <c r="AB550" i="3" s="1"/>
  <c r="Y549" i="3"/>
  <c r="V549" i="3"/>
  <c r="AB549" i="3" s="1"/>
  <c r="S549" i="3"/>
  <c r="P549" i="3"/>
  <c r="M549" i="3"/>
  <c r="I549" i="3"/>
  <c r="AB548" i="3"/>
  <c r="Y548" i="3"/>
  <c r="V548" i="3"/>
  <c r="S548" i="3"/>
  <c r="P548" i="3"/>
  <c r="M548" i="3"/>
  <c r="I548" i="3"/>
  <c r="Y547" i="3"/>
  <c r="V547" i="3"/>
  <c r="S547" i="3"/>
  <c r="P547" i="3"/>
  <c r="M547" i="3"/>
  <c r="AB547" i="3" s="1"/>
  <c r="I547" i="3"/>
  <c r="Y546" i="3"/>
  <c r="V546" i="3"/>
  <c r="S546" i="3"/>
  <c r="P546" i="3"/>
  <c r="M546" i="3"/>
  <c r="I546" i="3"/>
  <c r="AB546" i="3" s="1"/>
  <c r="Y545" i="3"/>
  <c r="V545" i="3"/>
  <c r="S545" i="3"/>
  <c r="P545" i="3"/>
  <c r="M545" i="3"/>
  <c r="I545" i="3"/>
  <c r="AB545" i="3" s="1"/>
  <c r="Y544" i="3"/>
  <c r="V544" i="3"/>
  <c r="AB544" i="3" s="1"/>
  <c r="S544" i="3"/>
  <c r="P544" i="3"/>
  <c r="M544" i="3"/>
  <c r="I544" i="3"/>
  <c r="Y543" i="3"/>
  <c r="V543" i="3"/>
  <c r="S543" i="3"/>
  <c r="P543" i="3"/>
  <c r="M543" i="3"/>
  <c r="I543" i="3"/>
  <c r="AB543" i="3" s="1"/>
  <c r="Y542" i="3"/>
  <c r="V542" i="3"/>
  <c r="S542" i="3"/>
  <c r="P542" i="3"/>
  <c r="M542" i="3"/>
  <c r="I542" i="3"/>
  <c r="AB542" i="3" s="1"/>
  <c r="Y541" i="3"/>
  <c r="V541" i="3"/>
  <c r="S541" i="3"/>
  <c r="P541" i="3"/>
  <c r="M541" i="3"/>
  <c r="I541" i="3"/>
  <c r="AB541" i="3" s="1"/>
  <c r="Y540" i="3"/>
  <c r="V540" i="3"/>
  <c r="S540" i="3"/>
  <c r="P540" i="3"/>
  <c r="AB540" i="3" s="1"/>
  <c r="M540" i="3"/>
  <c r="I540" i="3"/>
  <c r="Y539" i="3"/>
  <c r="V539" i="3"/>
  <c r="S539" i="3"/>
  <c r="P539" i="3"/>
  <c r="AB539" i="3" s="1"/>
  <c r="M539" i="3"/>
  <c r="I539" i="3"/>
  <c r="Y538" i="3"/>
  <c r="V538" i="3"/>
  <c r="S538" i="3"/>
  <c r="P538" i="3"/>
  <c r="M538" i="3"/>
  <c r="I538" i="3"/>
  <c r="AB538" i="3" s="1"/>
  <c r="Y537" i="3"/>
  <c r="V537" i="3"/>
  <c r="AB537" i="3" s="1"/>
  <c r="S537" i="3"/>
  <c r="P537" i="3"/>
  <c r="M537" i="3"/>
  <c r="I537" i="3"/>
  <c r="AB536" i="3"/>
  <c r="Y536" i="3"/>
  <c r="V536" i="3"/>
  <c r="S536" i="3"/>
  <c r="P536" i="3"/>
  <c r="M536" i="3"/>
  <c r="I536" i="3"/>
  <c r="Y535" i="3"/>
  <c r="V535" i="3"/>
  <c r="S535" i="3"/>
  <c r="P535" i="3"/>
  <c r="M535" i="3"/>
  <c r="AB535" i="3" s="1"/>
  <c r="I535" i="3"/>
  <c r="Y534" i="3"/>
  <c r="V534" i="3"/>
  <c r="S534" i="3"/>
  <c r="P534" i="3"/>
  <c r="M534" i="3"/>
  <c r="I534" i="3"/>
  <c r="AB534" i="3" s="1"/>
  <c r="Y533" i="3"/>
  <c r="V533" i="3"/>
  <c r="S533" i="3"/>
  <c r="P533" i="3"/>
  <c r="M533" i="3"/>
  <c r="I533" i="3"/>
  <c r="AB533" i="3" s="1"/>
  <c r="Y532" i="3"/>
  <c r="V532" i="3"/>
  <c r="AB532" i="3" s="1"/>
  <c r="S532" i="3"/>
  <c r="P532" i="3"/>
  <c r="M532" i="3"/>
  <c r="I532" i="3"/>
  <c r="Y531" i="3"/>
  <c r="V531" i="3"/>
  <c r="S531" i="3"/>
  <c r="P531" i="3"/>
  <c r="M531" i="3"/>
  <c r="I531" i="3"/>
  <c r="AB531" i="3" s="1"/>
  <c r="Y530" i="3"/>
  <c r="V530" i="3"/>
  <c r="S530" i="3"/>
  <c r="P530" i="3"/>
  <c r="M530" i="3"/>
  <c r="I530" i="3"/>
  <c r="AB530" i="3" s="1"/>
  <c r="Y529" i="3"/>
  <c r="V529" i="3"/>
  <c r="S529" i="3"/>
  <c r="P529" i="3"/>
  <c r="M529" i="3"/>
  <c r="I529" i="3"/>
  <c r="AB529" i="3" s="1"/>
  <c r="Y528" i="3"/>
  <c r="V528" i="3"/>
  <c r="S528" i="3"/>
  <c r="P528" i="3"/>
  <c r="AB528" i="3" s="1"/>
  <c r="M528" i="3"/>
  <c r="I528" i="3"/>
  <c r="Y527" i="3"/>
  <c r="V527" i="3"/>
  <c r="S527" i="3"/>
  <c r="P527" i="3"/>
  <c r="AB527" i="3" s="1"/>
  <c r="M527" i="3"/>
  <c r="I527" i="3"/>
  <c r="Y526" i="3"/>
  <c r="V526" i="3"/>
  <c r="S526" i="3"/>
  <c r="P526" i="3"/>
  <c r="M526" i="3"/>
  <c r="I526" i="3"/>
  <c r="AB526" i="3" s="1"/>
  <c r="Y525" i="3"/>
  <c r="V525" i="3"/>
  <c r="AB525" i="3" s="1"/>
  <c r="S525" i="3"/>
  <c r="P525" i="3"/>
  <c r="M525" i="3"/>
  <c r="I525" i="3"/>
  <c r="AB524" i="3"/>
  <c r="Y524" i="3"/>
  <c r="V524" i="3"/>
  <c r="S524" i="3"/>
  <c r="P524" i="3"/>
  <c r="M524" i="3"/>
  <c r="I524" i="3"/>
  <c r="Y523" i="3"/>
  <c r="V523" i="3"/>
  <c r="S523" i="3"/>
  <c r="P523" i="3"/>
  <c r="M523" i="3"/>
  <c r="AB523" i="3" s="1"/>
  <c r="I523" i="3"/>
  <c r="Y522" i="3"/>
  <c r="V522" i="3"/>
  <c r="S522" i="3"/>
  <c r="P522" i="3"/>
  <c r="M522" i="3"/>
  <c r="I522" i="3"/>
  <c r="AB522" i="3" s="1"/>
  <c r="Y521" i="3"/>
  <c r="V521" i="3"/>
  <c r="S521" i="3"/>
  <c r="P521" i="3"/>
  <c r="M521" i="3"/>
  <c r="I521" i="3"/>
  <c r="AB521" i="3" s="1"/>
  <c r="Y520" i="3"/>
  <c r="V520" i="3"/>
  <c r="AB520" i="3" s="1"/>
  <c r="S520" i="3"/>
  <c r="P520" i="3"/>
  <c r="M520" i="3"/>
  <c r="I520" i="3"/>
  <c r="Y519" i="3"/>
  <c r="V519" i="3"/>
  <c r="S519" i="3"/>
  <c r="P519" i="3"/>
  <c r="M519" i="3"/>
  <c r="I519" i="3"/>
  <c r="AB519" i="3" s="1"/>
  <c r="Y518" i="3"/>
  <c r="V518" i="3"/>
  <c r="S518" i="3"/>
  <c r="P518" i="3"/>
  <c r="M518" i="3"/>
  <c r="I518" i="3"/>
  <c r="AB518" i="3" s="1"/>
  <c r="Y517" i="3"/>
  <c r="V517" i="3"/>
  <c r="S517" i="3"/>
  <c r="P517" i="3"/>
  <c r="M517" i="3"/>
  <c r="I517" i="3"/>
  <c r="AB517" i="3" s="1"/>
  <c r="Y516" i="3"/>
  <c r="V516" i="3"/>
  <c r="S516" i="3"/>
  <c r="P516" i="3"/>
  <c r="AB516" i="3" s="1"/>
  <c r="M516" i="3"/>
  <c r="I516" i="3"/>
  <c r="Y515" i="3"/>
  <c r="V515" i="3"/>
  <c r="S515" i="3"/>
  <c r="P515" i="3"/>
  <c r="AB515" i="3" s="1"/>
  <c r="M515" i="3"/>
  <c r="I515" i="3"/>
  <c r="Y514" i="3"/>
  <c r="V514" i="3"/>
  <c r="S514" i="3"/>
  <c r="P514" i="3"/>
  <c r="M514" i="3"/>
  <c r="I514" i="3"/>
  <c r="AB514" i="3" s="1"/>
  <c r="Y513" i="3"/>
  <c r="V513" i="3"/>
  <c r="AB513" i="3" s="1"/>
  <c r="S513" i="3"/>
  <c r="P513" i="3"/>
  <c r="M513" i="3"/>
  <c r="I513" i="3"/>
  <c r="AB512" i="3"/>
  <c r="Y512" i="3"/>
  <c r="V512" i="3"/>
  <c r="S512" i="3"/>
  <c r="P512" i="3"/>
  <c r="M512" i="3"/>
  <c r="I512" i="3"/>
  <c r="Y511" i="3"/>
  <c r="V511" i="3"/>
  <c r="S511" i="3"/>
  <c r="P511" i="3"/>
  <c r="M511" i="3"/>
  <c r="AB511" i="3" s="1"/>
  <c r="I511" i="3"/>
  <c r="Y510" i="3"/>
  <c r="V510" i="3"/>
  <c r="S510" i="3"/>
  <c r="P510" i="3"/>
  <c r="M510" i="3"/>
  <c r="I510" i="3"/>
  <c r="AB510" i="3" s="1"/>
  <c r="Y509" i="3"/>
  <c r="V509" i="3"/>
  <c r="S509" i="3"/>
  <c r="P509" i="3"/>
  <c r="M509" i="3"/>
  <c r="I509" i="3"/>
  <c r="AB509" i="3" s="1"/>
  <c r="Y508" i="3"/>
  <c r="V508" i="3"/>
  <c r="AB508" i="3" s="1"/>
  <c r="S508" i="3"/>
  <c r="P508" i="3"/>
  <c r="M508" i="3"/>
  <c r="I508" i="3"/>
  <c r="Y507" i="3"/>
  <c r="V507" i="3"/>
  <c r="S507" i="3"/>
  <c r="P507" i="3"/>
  <c r="M507" i="3"/>
  <c r="I507" i="3"/>
  <c r="AB507" i="3" s="1"/>
  <c r="Y506" i="3"/>
  <c r="V506" i="3"/>
  <c r="S506" i="3"/>
  <c r="P506" i="3"/>
  <c r="M506" i="3"/>
  <c r="I506" i="3"/>
  <c r="AB506" i="3" s="1"/>
  <c r="Y505" i="3"/>
  <c r="V505" i="3"/>
  <c r="S505" i="3"/>
  <c r="P505" i="3"/>
  <c r="M505" i="3"/>
  <c r="I505" i="3"/>
  <c r="AB505" i="3" s="1"/>
  <c r="Y504" i="3"/>
  <c r="V504" i="3"/>
  <c r="S504" i="3"/>
  <c r="P504" i="3"/>
  <c r="AB504" i="3" s="1"/>
  <c r="M504" i="3"/>
  <c r="I504" i="3"/>
  <c r="Y503" i="3"/>
  <c r="V503" i="3"/>
  <c r="S503" i="3"/>
  <c r="P503" i="3"/>
  <c r="AB503" i="3" s="1"/>
  <c r="M503" i="3"/>
  <c r="I503" i="3"/>
  <c r="Y502" i="3"/>
  <c r="V502" i="3"/>
  <c r="S502" i="3"/>
  <c r="P502" i="3"/>
  <c r="M502" i="3"/>
  <c r="I502" i="3"/>
  <c r="AB502" i="3" s="1"/>
  <c r="Y501" i="3"/>
  <c r="V501" i="3"/>
  <c r="AB501" i="3" s="1"/>
  <c r="S501" i="3"/>
  <c r="P501" i="3"/>
  <c r="M501" i="3"/>
  <c r="I501" i="3"/>
  <c r="AB500" i="3"/>
  <c r="Y500" i="3"/>
  <c r="V500" i="3"/>
  <c r="S500" i="3"/>
  <c r="P500" i="3"/>
  <c r="M500" i="3"/>
  <c r="I500" i="3"/>
  <c r="Y499" i="3"/>
  <c r="V499" i="3"/>
  <c r="S499" i="3"/>
  <c r="P499" i="3"/>
  <c r="M499" i="3"/>
  <c r="AB499" i="3" s="1"/>
  <c r="I499" i="3"/>
  <c r="Y498" i="3"/>
  <c r="V498" i="3"/>
  <c r="S498" i="3"/>
  <c r="P498" i="3"/>
  <c r="M498" i="3"/>
  <c r="I498" i="3"/>
  <c r="AB498" i="3" s="1"/>
  <c r="Y497" i="3"/>
  <c r="V497" i="3"/>
  <c r="S497" i="3"/>
  <c r="P497" i="3"/>
  <c r="M497" i="3"/>
  <c r="I497" i="3"/>
  <c r="AB497" i="3" s="1"/>
  <c r="Y496" i="3"/>
  <c r="V496" i="3"/>
  <c r="AB496" i="3" s="1"/>
  <c r="S496" i="3"/>
  <c r="P496" i="3"/>
  <c r="M496" i="3"/>
  <c r="I496" i="3"/>
  <c r="Y495" i="3"/>
  <c r="V495" i="3"/>
  <c r="S495" i="3"/>
  <c r="P495" i="3"/>
  <c r="M495" i="3"/>
  <c r="I495" i="3"/>
  <c r="AB495" i="3" s="1"/>
  <c r="Y494" i="3"/>
  <c r="V494" i="3"/>
  <c r="S494" i="3"/>
  <c r="P494" i="3"/>
  <c r="M494" i="3"/>
  <c r="I494" i="3"/>
  <c r="AB494" i="3" s="1"/>
  <c r="Y493" i="3"/>
  <c r="V493" i="3"/>
  <c r="S493" i="3"/>
  <c r="P493" i="3"/>
  <c r="M493" i="3"/>
  <c r="I493" i="3"/>
  <c r="AB493" i="3" s="1"/>
  <c r="Y492" i="3"/>
  <c r="V492" i="3"/>
  <c r="S492" i="3"/>
  <c r="P492" i="3"/>
  <c r="AB492" i="3" s="1"/>
  <c r="M492" i="3"/>
  <c r="I492" i="3"/>
  <c r="Y491" i="3"/>
  <c r="V491" i="3"/>
  <c r="S491" i="3"/>
  <c r="P491" i="3"/>
  <c r="AB491" i="3" s="1"/>
  <c r="M491" i="3"/>
  <c r="I491" i="3"/>
  <c r="Y490" i="3"/>
  <c r="V490" i="3"/>
  <c r="S490" i="3"/>
  <c r="P490" i="3"/>
  <c r="M490" i="3"/>
  <c r="I490" i="3"/>
  <c r="AB490" i="3" s="1"/>
  <c r="Y489" i="3"/>
  <c r="V489" i="3"/>
  <c r="AB489" i="3" s="1"/>
  <c r="S489" i="3"/>
  <c r="P489" i="3"/>
  <c r="M489" i="3"/>
  <c r="I489" i="3"/>
  <c r="AB488" i="3"/>
  <c r="Y488" i="3"/>
  <c r="V488" i="3"/>
  <c r="S488" i="3"/>
  <c r="P488" i="3"/>
  <c r="M488" i="3"/>
  <c r="I488" i="3"/>
  <c r="Y487" i="3"/>
  <c r="V487" i="3"/>
  <c r="S487" i="3"/>
  <c r="P487" i="3"/>
  <c r="M487" i="3"/>
  <c r="AB487" i="3" s="1"/>
  <c r="I487" i="3"/>
  <c r="Y486" i="3"/>
  <c r="V486" i="3"/>
  <c r="S486" i="3"/>
  <c r="P486" i="3"/>
  <c r="M486" i="3"/>
  <c r="I486" i="3"/>
  <c r="AB486" i="3" s="1"/>
  <c r="Y485" i="3"/>
  <c r="V485" i="3"/>
  <c r="S485" i="3"/>
  <c r="P485" i="3"/>
  <c r="M485" i="3"/>
  <c r="I485" i="3"/>
  <c r="AB485" i="3" s="1"/>
  <c r="Y484" i="3"/>
  <c r="V484" i="3"/>
  <c r="S484" i="3"/>
  <c r="AB484" i="3" s="1"/>
  <c r="P484" i="3"/>
  <c r="M484" i="3"/>
  <c r="I484" i="3"/>
  <c r="Y483" i="3"/>
  <c r="V483" i="3"/>
  <c r="S483" i="3"/>
  <c r="P483" i="3"/>
  <c r="M483" i="3"/>
  <c r="I483" i="3"/>
  <c r="AB483" i="3" s="1"/>
  <c r="Y482" i="3"/>
  <c r="V482" i="3"/>
  <c r="S482" i="3"/>
  <c r="P482" i="3"/>
  <c r="M482" i="3"/>
  <c r="I482" i="3"/>
  <c r="AB482" i="3" s="1"/>
  <c r="Y481" i="3"/>
  <c r="V481" i="3"/>
  <c r="S481" i="3"/>
  <c r="P481" i="3"/>
  <c r="M481" i="3"/>
  <c r="I481" i="3"/>
  <c r="AB481" i="3" s="1"/>
  <c r="Y480" i="3"/>
  <c r="V480" i="3"/>
  <c r="S480" i="3"/>
  <c r="P480" i="3"/>
  <c r="AB480" i="3" s="1"/>
  <c r="M480" i="3"/>
  <c r="I480" i="3"/>
  <c r="Y479" i="3"/>
  <c r="V479" i="3"/>
  <c r="S479" i="3"/>
  <c r="P479" i="3"/>
  <c r="AB479" i="3" s="1"/>
  <c r="M479" i="3"/>
  <c r="I479" i="3"/>
  <c r="Y478" i="3"/>
  <c r="V478" i="3"/>
  <c r="S478" i="3"/>
  <c r="P478" i="3"/>
  <c r="M478" i="3"/>
  <c r="I478" i="3"/>
  <c r="AB478" i="3" s="1"/>
  <c r="Y477" i="3"/>
  <c r="V477" i="3"/>
  <c r="AB477" i="3" s="1"/>
  <c r="S477" i="3"/>
  <c r="P477" i="3"/>
  <c r="M477" i="3"/>
  <c r="I477" i="3"/>
  <c r="AB476" i="3"/>
  <c r="Y476" i="3"/>
  <c r="V476" i="3"/>
  <c r="S476" i="3"/>
  <c r="P476" i="3"/>
  <c r="M476" i="3"/>
  <c r="I476" i="3"/>
  <c r="Y475" i="3"/>
  <c r="V475" i="3"/>
  <c r="S475" i="3"/>
  <c r="P475" i="3"/>
  <c r="M475" i="3"/>
  <c r="AB475" i="3" s="1"/>
  <c r="I475" i="3"/>
  <c r="Y474" i="3"/>
  <c r="V474" i="3"/>
  <c r="S474" i="3"/>
  <c r="P474" i="3"/>
  <c r="M474" i="3"/>
  <c r="I474" i="3"/>
  <c r="AB474" i="3" s="1"/>
  <c r="Y473" i="3"/>
  <c r="V473" i="3"/>
  <c r="S473" i="3"/>
  <c r="P473" i="3"/>
  <c r="M473" i="3"/>
  <c r="I473" i="3"/>
  <c r="AB473" i="3" s="1"/>
  <c r="Y472" i="3"/>
  <c r="V472" i="3"/>
  <c r="S472" i="3"/>
  <c r="AB472" i="3" s="1"/>
  <c r="P472" i="3"/>
  <c r="M472" i="3"/>
  <c r="I472" i="3"/>
  <c r="Y471" i="3"/>
  <c r="V471" i="3"/>
  <c r="S471" i="3"/>
  <c r="P471" i="3"/>
  <c r="M471" i="3"/>
  <c r="I471" i="3"/>
  <c r="AB471" i="3" s="1"/>
  <c r="Y470" i="3"/>
  <c r="V470" i="3"/>
  <c r="S470" i="3"/>
  <c r="P470" i="3"/>
  <c r="M470" i="3"/>
  <c r="I470" i="3"/>
  <c r="AB470" i="3" s="1"/>
  <c r="Y469" i="3"/>
  <c r="V469" i="3"/>
  <c r="S469" i="3"/>
  <c r="P469" i="3"/>
  <c r="M469" i="3"/>
  <c r="I469" i="3"/>
  <c r="AB469" i="3" s="1"/>
  <c r="Y468" i="3"/>
  <c r="V468" i="3"/>
  <c r="S468" i="3"/>
  <c r="P468" i="3"/>
  <c r="AB468" i="3" s="1"/>
  <c r="M468" i="3"/>
  <c r="I468" i="3"/>
  <c r="Y467" i="3"/>
  <c r="V467" i="3"/>
  <c r="S467" i="3"/>
  <c r="P467" i="3"/>
  <c r="AB467" i="3" s="1"/>
  <c r="M467" i="3"/>
  <c r="I467" i="3"/>
  <c r="Y466" i="3"/>
  <c r="V466" i="3"/>
  <c r="S466" i="3"/>
  <c r="P466" i="3"/>
  <c r="M466" i="3"/>
  <c r="I466" i="3"/>
  <c r="AB466" i="3" s="1"/>
  <c r="Y465" i="3"/>
  <c r="V465" i="3"/>
  <c r="AB465" i="3" s="1"/>
  <c r="S465" i="3"/>
  <c r="P465" i="3"/>
  <c r="M465" i="3"/>
  <c r="I465" i="3"/>
  <c r="AB464" i="3"/>
  <c r="Y464" i="3"/>
  <c r="V464" i="3"/>
  <c r="S464" i="3"/>
  <c r="P464" i="3"/>
  <c r="M464" i="3"/>
  <c r="I464" i="3"/>
  <c r="Y463" i="3"/>
  <c r="V463" i="3"/>
  <c r="S463" i="3"/>
  <c r="P463" i="3"/>
  <c r="M463" i="3"/>
  <c r="AB463" i="3" s="1"/>
  <c r="I463" i="3"/>
  <c r="Y462" i="3"/>
  <c r="V462" i="3"/>
  <c r="S462" i="3"/>
  <c r="P462" i="3"/>
  <c r="M462" i="3"/>
  <c r="I462" i="3"/>
  <c r="AB462" i="3" s="1"/>
  <c r="Y461" i="3"/>
  <c r="V461" i="3"/>
  <c r="S461" i="3"/>
  <c r="P461" i="3"/>
  <c r="M461" i="3"/>
  <c r="I461" i="3"/>
  <c r="AB461" i="3" s="1"/>
  <c r="Y460" i="3"/>
  <c r="V460" i="3"/>
  <c r="S460" i="3"/>
  <c r="AB460" i="3" s="1"/>
  <c r="P460" i="3"/>
  <c r="M460" i="3"/>
  <c r="I460" i="3"/>
  <c r="Y459" i="3"/>
  <c r="V459" i="3"/>
  <c r="S459" i="3"/>
  <c r="P459" i="3"/>
  <c r="M459" i="3"/>
  <c r="I459" i="3"/>
  <c r="AB459" i="3" s="1"/>
  <c r="Y458" i="3"/>
  <c r="V458" i="3"/>
  <c r="S458" i="3"/>
  <c r="P458" i="3"/>
  <c r="M458" i="3"/>
  <c r="I458" i="3"/>
  <c r="AB458" i="3" s="1"/>
  <c r="Y457" i="3"/>
  <c r="V457" i="3"/>
  <c r="S457" i="3"/>
  <c r="P457" i="3"/>
  <c r="M457" i="3"/>
  <c r="I457" i="3"/>
  <c r="AB457" i="3" s="1"/>
  <c r="Y456" i="3"/>
  <c r="V456" i="3"/>
  <c r="S456" i="3"/>
  <c r="P456" i="3"/>
  <c r="AB456" i="3" s="1"/>
  <c r="M456" i="3"/>
  <c r="I456" i="3"/>
  <c r="Y455" i="3"/>
  <c r="V455" i="3"/>
  <c r="S455" i="3"/>
  <c r="P455" i="3"/>
  <c r="AB455" i="3" s="1"/>
  <c r="M455" i="3"/>
  <c r="I455" i="3"/>
  <c r="Y454" i="3"/>
  <c r="V454" i="3"/>
  <c r="S454" i="3"/>
  <c r="P454" i="3"/>
  <c r="M454" i="3"/>
  <c r="I454" i="3"/>
  <c r="AB454" i="3" s="1"/>
  <c r="Y453" i="3"/>
  <c r="V453" i="3"/>
  <c r="AB453" i="3" s="1"/>
  <c r="S453" i="3"/>
  <c r="P453" i="3"/>
  <c r="M453" i="3"/>
  <c r="I453" i="3"/>
  <c r="AB452" i="3"/>
  <c r="Y452" i="3"/>
  <c r="V452" i="3"/>
  <c r="S452" i="3"/>
  <c r="P452" i="3"/>
  <c r="M452" i="3"/>
  <c r="I452" i="3"/>
  <c r="Y451" i="3"/>
  <c r="V451" i="3"/>
  <c r="S451" i="3"/>
  <c r="P451" i="3"/>
  <c r="M451" i="3"/>
  <c r="AB451" i="3" s="1"/>
  <c r="I451" i="3"/>
  <c r="Y450" i="3"/>
  <c r="V450" i="3"/>
  <c r="S450" i="3"/>
  <c r="P450" i="3"/>
  <c r="M450" i="3"/>
  <c r="I450" i="3"/>
  <c r="AB450" i="3" s="1"/>
  <c r="Y449" i="3"/>
  <c r="V449" i="3"/>
  <c r="S449" i="3"/>
  <c r="P449" i="3"/>
  <c r="M449" i="3"/>
  <c r="I449" i="3"/>
  <c r="AB449" i="3" s="1"/>
  <c r="Y448" i="3"/>
  <c r="V448" i="3"/>
  <c r="S448" i="3"/>
  <c r="AB448" i="3" s="1"/>
  <c r="P448" i="3"/>
  <c r="M448" i="3"/>
  <c r="I448" i="3"/>
  <c r="Y447" i="3"/>
  <c r="V447" i="3"/>
  <c r="S447" i="3"/>
  <c r="P447" i="3"/>
  <c r="M447" i="3"/>
  <c r="I447" i="3"/>
  <c r="AB447" i="3" s="1"/>
  <c r="Y446" i="3"/>
  <c r="V446" i="3"/>
  <c r="S446" i="3"/>
  <c r="P446" i="3"/>
  <c r="M446" i="3"/>
  <c r="I446" i="3"/>
  <c r="AB446" i="3" s="1"/>
  <c r="Y445" i="3"/>
  <c r="V445" i="3"/>
  <c r="S445" i="3"/>
  <c r="P445" i="3"/>
  <c r="M445" i="3"/>
  <c r="I445" i="3"/>
  <c r="AB445" i="3" s="1"/>
  <c r="Y444" i="3"/>
  <c r="V444" i="3"/>
  <c r="S444" i="3"/>
  <c r="P444" i="3"/>
  <c r="AB444" i="3" s="1"/>
  <c r="M444" i="3"/>
  <c r="I444" i="3"/>
  <c r="Y443" i="3"/>
  <c r="V443" i="3"/>
  <c r="S443" i="3"/>
  <c r="P443" i="3"/>
  <c r="AB443" i="3" s="1"/>
  <c r="M443" i="3"/>
  <c r="I443" i="3"/>
  <c r="Y442" i="3"/>
  <c r="V442" i="3"/>
  <c r="S442" i="3"/>
  <c r="P442" i="3"/>
  <c r="M442" i="3"/>
  <c r="I442" i="3"/>
  <c r="AB442" i="3" s="1"/>
  <c r="Y441" i="3"/>
  <c r="V441" i="3"/>
  <c r="AB441" i="3" s="1"/>
  <c r="S441" i="3"/>
  <c r="P441" i="3"/>
  <c r="M441" i="3"/>
  <c r="I441" i="3"/>
  <c r="AB440" i="3"/>
  <c r="Y440" i="3"/>
  <c r="V440" i="3"/>
  <c r="S440" i="3"/>
  <c r="P440" i="3"/>
  <c r="M440" i="3"/>
  <c r="I440" i="3"/>
  <c r="Y439" i="3"/>
  <c r="V439" i="3"/>
  <c r="S439" i="3"/>
  <c r="P439" i="3"/>
  <c r="M439" i="3"/>
  <c r="AB439" i="3" s="1"/>
  <c r="I439" i="3"/>
  <c r="Y438" i="3"/>
  <c r="V438" i="3"/>
  <c r="S438" i="3"/>
  <c r="P438" i="3"/>
  <c r="M438" i="3"/>
  <c r="I438" i="3"/>
  <c r="AB438" i="3" s="1"/>
  <c r="Y437" i="3"/>
  <c r="V437" i="3"/>
  <c r="S437" i="3"/>
  <c r="P437" i="3"/>
  <c r="M437" i="3"/>
  <c r="I437" i="3"/>
  <c r="AB437" i="3" s="1"/>
  <c r="Y436" i="3"/>
  <c r="V436" i="3"/>
  <c r="S436" i="3"/>
  <c r="AB436" i="3" s="1"/>
  <c r="P436" i="3"/>
  <c r="M436" i="3"/>
  <c r="I436" i="3"/>
  <c r="Y435" i="3"/>
  <c r="V435" i="3"/>
  <c r="S435" i="3"/>
  <c r="P435" i="3"/>
  <c r="M435" i="3"/>
  <c r="I435" i="3"/>
  <c r="AB435" i="3" s="1"/>
  <c r="Y434" i="3"/>
  <c r="V434" i="3"/>
  <c r="S434" i="3"/>
  <c r="P434" i="3"/>
  <c r="M434" i="3"/>
  <c r="I434" i="3"/>
  <c r="AB434" i="3" s="1"/>
  <c r="Y433" i="3"/>
  <c r="V433" i="3"/>
  <c r="S433" i="3"/>
  <c r="P433" i="3"/>
  <c r="M433" i="3"/>
  <c r="I433" i="3"/>
  <c r="AB433" i="3" s="1"/>
  <c r="Y432" i="3"/>
  <c r="V432" i="3"/>
  <c r="S432" i="3"/>
  <c r="P432" i="3"/>
  <c r="AB432" i="3" s="1"/>
  <c r="M432" i="3"/>
  <c r="I432" i="3"/>
  <c r="Y431" i="3"/>
  <c r="V431" i="3"/>
  <c r="S431" i="3"/>
  <c r="P431" i="3"/>
  <c r="AB431" i="3" s="1"/>
  <c r="M431" i="3"/>
  <c r="I431" i="3"/>
  <c r="Y430" i="3"/>
  <c r="V430" i="3"/>
  <c r="S430" i="3"/>
  <c r="P430" i="3"/>
  <c r="M430" i="3"/>
  <c r="I430" i="3"/>
  <c r="AB430" i="3" s="1"/>
  <c r="Y429" i="3"/>
  <c r="V429" i="3"/>
  <c r="AB429" i="3" s="1"/>
  <c r="S429" i="3"/>
  <c r="P429" i="3"/>
  <c r="M429" i="3"/>
  <c r="I429" i="3"/>
  <c r="AB428" i="3"/>
  <c r="Y428" i="3"/>
  <c r="V428" i="3"/>
  <c r="S428" i="3"/>
  <c r="P428" i="3"/>
  <c r="M428" i="3"/>
  <c r="I428" i="3"/>
  <c r="Y427" i="3"/>
  <c r="V427" i="3"/>
  <c r="S427" i="3"/>
  <c r="P427" i="3"/>
  <c r="M427" i="3"/>
  <c r="AB427" i="3" s="1"/>
  <c r="I427" i="3"/>
  <c r="Y426" i="3"/>
  <c r="V426" i="3"/>
  <c r="S426" i="3"/>
  <c r="P426" i="3"/>
  <c r="M426" i="3"/>
  <c r="I426" i="3"/>
  <c r="AB426" i="3" s="1"/>
  <c r="Y425" i="3"/>
  <c r="V425" i="3"/>
  <c r="S425" i="3"/>
  <c r="P425" i="3"/>
  <c r="M425" i="3"/>
  <c r="I425" i="3"/>
  <c r="AB425" i="3" s="1"/>
  <c r="Y424" i="3"/>
  <c r="V424" i="3"/>
  <c r="S424" i="3"/>
  <c r="AB424" i="3" s="1"/>
  <c r="P424" i="3"/>
  <c r="M424" i="3"/>
  <c r="I424" i="3"/>
  <c r="Y423" i="3"/>
  <c r="V423" i="3"/>
  <c r="S423" i="3"/>
  <c r="P423" i="3"/>
  <c r="M423" i="3"/>
  <c r="I423" i="3"/>
  <c r="AB423" i="3" s="1"/>
  <c r="Y422" i="3"/>
  <c r="V422" i="3"/>
  <c r="S422" i="3"/>
  <c r="P422" i="3"/>
  <c r="M422" i="3"/>
  <c r="I422" i="3"/>
  <c r="AB422" i="3" s="1"/>
  <c r="Y421" i="3"/>
  <c r="V421" i="3"/>
  <c r="S421" i="3"/>
  <c r="P421" i="3"/>
  <c r="M421" i="3"/>
  <c r="I421" i="3"/>
  <c r="AB421" i="3" s="1"/>
  <c r="Y420" i="3"/>
  <c r="V420" i="3"/>
  <c r="S420" i="3"/>
  <c r="P420" i="3"/>
  <c r="AB420" i="3" s="1"/>
  <c r="M420" i="3"/>
  <c r="I420" i="3"/>
  <c r="Y419" i="3"/>
  <c r="V419" i="3"/>
  <c r="S419" i="3"/>
  <c r="P419" i="3"/>
  <c r="AB419" i="3" s="1"/>
  <c r="M419" i="3"/>
  <c r="I419" i="3"/>
  <c r="Y418" i="3"/>
  <c r="V418" i="3"/>
  <c r="S418" i="3"/>
  <c r="P418" i="3"/>
  <c r="M418" i="3"/>
  <c r="I418" i="3"/>
  <c r="AB418" i="3" s="1"/>
  <c r="Y417" i="3"/>
  <c r="V417" i="3"/>
  <c r="AB417" i="3" s="1"/>
  <c r="S417" i="3"/>
  <c r="P417" i="3"/>
  <c r="M417" i="3"/>
  <c r="I417" i="3"/>
  <c r="AB416" i="3"/>
  <c r="Y416" i="3"/>
  <c r="V416" i="3"/>
  <c r="S416" i="3"/>
  <c r="P416" i="3"/>
  <c r="M416" i="3"/>
  <c r="I416" i="3"/>
  <c r="Y415" i="3"/>
  <c r="V415" i="3"/>
  <c r="S415" i="3"/>
  <c r="P415" i="3"/>
  <c r="M415" i="3"/>
  <c r="AB415" i="3" s="1"/>
  <c r="I415" i="3"/>
  <c r="Y414" i="3"/>
  <c r="V414" i="3"/>
  <c r="S414" i="3"/>
  <c r="P414" i="3"/>
  <c r="M414" i="3"/>
  <c r="I414" i="3"/>
  <c r="AB414" i="3" s="1"/>
  <c r="Y413" i="3"/>
  <c r="V413" i="3"/>
  <c r="S413" i="3"/>
  <c r="P413" i="3"/>
  <c r="M413" i="3"/>
  <c r="I413" i="3"/>
  <c r="AB413" i="3" s="1"/>
  <c r="Y412" i="3"/>
  <c r="V412" i="3"/>
  <c r="S412" i="3"/>
  <c r="AB412" i="3" s="1"/>
  <c r="P412" i="3"/>
  <c r="M412" i="3"/>
  <c r="I412" i="3"/>
  <c r="Y411" i="3"/>
  <c r="V411" i="3"/>
  <c r="S411" i="3"/>
  <c r="P411" i="3"/>
  <c r="M411" i="3"/>
  <c r="I411" i="3"/>
  <c r="AB411" i="3" s="1"/>
  <c r="Y410" i="3"/>
  <c r="V410" i="3"/>
  <c r="S410" i="3"/>
  <c r="P410" i="3"/>
  <c r="M410" i="3"/>
  <c r="I410" i="3"/>
  <c r="AB410" i="3" s="1"/>
  <c r="Y409" i="3"/>
  <c r="V409" i="3"/>
  <c r="S409" i="3"/>
  <c r="P409" i="3"/>
  <c r="M409" i="3"/>
  <c r="I409" i="3"/>
  <c r="AB409" i="3" s="1"/>
  <c r="Y408" i="3"/>
  <c r="V408" i="3"/>
  <c r="S408" i="3"/>
  <c r="P408" i="3"/>
  <c r="AB408" i="3" s="1"/>
  <c r="M408" i="3"/>
  <c r="I408" i="3"/>
  <c r="Y407" i="3"/>
  <c r="V407" i="3"/>
  <c r="S407" i="3"/>
  <c r="P407" i="3"/>
  <c r="AB407" i="3" s="1"/>
  <c r="M407" i="3"/>
  <c r="I407" i="3"/>
  <c r="Y406" i="3"/>
  <c r="V406" i="3"/>
  <c r="S406" i="3"/>
  <c r="P406" i="3"/>
  <c r="M406" i="3"/>
  <c r="I406" i="3"/>
  <c r="AB406" i="3" s="1"/>
  <c r="Y405" i="3"/>
  <c r="V405" i="3"/>
  <c r="AB405" i="3" s="1"/>
  <c r="S405" i="3"/>
  <c r="P405" i="3"/>
  <c r="M405" i="3"/>
  <c r="I405" i="3"/>
  <c r="AB404" i="3"/>
  <c r="Y404" i="3"/>
  <c r="V404" i="3"/>
  <c r="S404" i="3"/>
  <c r="P404" i="3"/>
  <c r="M404" i="3"/>
  <c r="I404" i="3"/>
  <c r="Y403" i="3"/>
  <c r="V403" i="3"/>
  <c r="S403" i="3"/>
  <c r="P403" i="3"/>
  <c r="M403" i="3"/>
  <c r="AB403" i="3" s="1"/>
  <c r="I403" i="3"/>
  <c r="Y402" i="3"/>
  <c r="V402" i="3"/>
  <c r="S402" i="3"/>
  <c r="P402" i="3"/>
  <c r="M402" i="3"/>
  <c r="I402" i="3"/>
  <c r="AB402" i="3" s="1"/>
  <c r="Y401" i="3"/>
  <c r="V401" i="3"/>
  <c r="S401" i="3"/>
  <c r="P401" i="3"/>
  <c r="M401" i="3"/>
  <c r="I401" i="3"/>
  <c r="AB401" i="3" s="1"/>
  <c r="Y400" i="3"/>
  <c r="V400" i="3"/>
  <c r="S400" i="3"/>
  <c r="AB400" i="3" s="1"/>
  <c r="P400" i="3"/>
  <c r="M400" i="3"/>
  <c r="I400" i="3"/>
  <c r="Y399" i="3"/>
  <c r="V399" i="3"/>
  <c r="S399" i="3"/>
  <c r="P399" i="3"/>
  <c r="M399" i="3"/>
  <c r="I399" i="3"/>
  <c r="AB399" i="3" s="1"/>
  <c r="Y398" i="3"/>
  <c r="V398" i="3"/>
  <c r="S398" i="3"/>
  <c r="P398" i="3"/>
  <c r="M398" i="3"/>
  <c r="I398" i="3"/>
  <c r="AB398" i="3" s="1"/>
  <c r="Y397" i="3"/>
  <c r="V397" i="3"/>
  <c r="S397" i="3"/>
  <c r="P397" i="3"/>
  <c r="M397" i="3"/>
  <c r="I397" i="3"/>
  <c r="AB397" i="3" s="1"/>
  <c r="Y396" i="3"/>
  <c r="V396" i="3"/>
  <c r="S396" i="3"/>
  <c r="P396" i="3"/>
  <c r="AB396" i="3" s="1"/>
  <c r="M396" i="3"/>
  <c r="I396" i="3"/>
  <c r="Y395" i="3"/>
  <c r="V395" i="3"/>
  <c r="S395" i="3"/>
  <c r="P395" i="3"/>
  <c r="AB395" i="3" s="1"/>
  <c r="M395" i="3"/>
  <c r="I395" i="3"/>
  <c r="Y394" i="3"/>
  <c r="V394" i="3"/>
  <c r="S394" i="3"/>
  <c r="P394" i="3"/>
  <c r="M394" i="3"/>
  <c r="I394" i="3"/>
  <c r="AB394" i="3" s="1"/>
  <c r="Y393" i="3"/>
  <c r="V393" i="3"/>
  <c r="S393" i="3"/>
  <c r="Q393" i="3"/>
  <c r="P393" i="3"/>
  <c r="M393" i="3"/>
  <c r="I393" i="3"/>
  <c r="AB393" i="3" s="1"/>
  <c r="Y392" i="3"/>
  <c r="V392" i="3"/>
  <c r="S392" i="3"/>
  <c r="P392" i="3"/>
  <c r="M392" i="3"/>
  <c r="I392" i="3"/>
  <c r="AB392" i="3" s="1"/>
  <c r="Y391" i="3"/>
  <c r="V391" i="3"/>
  <c r="S391" i="3"/>
  <c r="P391" i="3"/>
  <c r="AB391" i="3" s="1"/>
  <c r="M391" i="3"/>
  <c r="I391" i="3"/>
  <c r="Y390" i="3"/>
  <c r="V390" i="3"/>
  <c r="S390" i="3"/>
  <c r="P390" i="3"/>
  <c r="AB390" i="3" s="1"/>
  <c r="M390" i="3"/>
  <c r="I390" i="3"/>
  <c r="Y389" i="3"/>
  <c r="V389" i="3"/>
  <c r="S389" i="3"/>
  <c r="P389" i="3"/>
  <c r="M389" i="3"/>
  <c r="I389" i="3"/>
  <c r="AB389" i="3" s="1"/>
  <c r="Y388" i="3"/>
  <c r="V388" i="3"/>
  <c r="AB388" i="3" s="1"/>
  <c r="S388" i="3"/>
  <c r="P388" i="3"/>
  <c r="M388" i="3"/>
  <c r="I388" i="3"/>
  <c r="AB387" i="3"/>
  <c r="Y387" i="3"/>
  <c r="V387" i="3"/>
  <c r="S387" i="3"/>
  <c r="P387" i="3"/>
  <c r="M387" i="3"/>
  <c r="I387" i="3"/>
  <c r="Y386" i="3"/>
  <c r="V386" i="3"/>
  <c r="S386" i="3"/>
  <c r="P386" i="3"/>
  <c r="M386" i="3"/>
  <c r="AB386" i="3" s="1"/>
  <c r="I386" i="3"/>
  <c r="Y385" i="3"/>
  <c r="V385" i="3"/>
  <c r="S385" i="3"/>
  <c r="P385" i="3"/>
  <c r="M385" i="3"/>
  <c r="I385" i="3"/>
  <c r="AB385" i="3" s="1"/>
  <c r="Y384" i="3"/>
  <c r="V384" i="3"/>
  <c r="S384" i="3"/>
  <c r="P384" i="3"/>
  <c r="M384" i="3"/>
  <c r="I384" i="3"/>
  <c r="AB384" i="3" s="1"/>
  <c r="Y383" i="3"/>
  <c r="AB383" i="3" s="1"/>
  <c r="V383" i="3"/>
  <c r="S383" i="3"/>
  <c r="P383" i="3"/>
  <c r="M383" i="3"/>
  <c r="I383" i="3"/>
  <c r="Y382" i="3"/>
  <c r="V382" i="3"/>
  <c r="S382" i="3"/>
  <c r="P382" i="3"/>
  <c r="M382" i="3"/>
  <c r="I382" i="3"/>
  <c r="AB382" i="3" s="1"/>
  <c r="Y381" i="3"/>
  <c r="V381" i="3"/>
  <c r="S381" i="3"/>
  <c r="P381" i="3"/>
  <c r="M381" i="3"/>
  <c r="I381" i="3"/>
  <c r="AB381" i="3" s="1"/>
  <c r="Y380" i="3"/>
  <c r="V380" i="3"/>
  <c r="S380" i="3"/>
  <c r="P380" i="3"/>
  <c r="M380" i="3"/>
  <c r="I380" i="3"/>
  <c r="AB380" i="3" s="1"/>
  <c r="Y379" i="3"/>
  <c r="V379" i="3"/>
  <c r="S379" i="3"/>
  <c r="P379" i="3"/>
  <c r="AB379" i="3" s="1"/>
  <c r="M379" i="3"/>
  <c r="I379" i="3"/>
  <c r="Y378" i="3"/>
  <c r="V378" i="3"/>
  <c r="S378" i="3"/>
  <c r="P378" i="3"/>
  <c r="AB378" i="3" s="1"/>
  <c r="M378" i="3"/>
  <c r="I378" i="3"/>
  <c r="Y377" i="3"/>
  <c r="V377" i="3"/>
  <c r="S377" i="3"/>
  <c r="P377" i="3"/>
  <c r="M377" i="3"/>
  <c r="I377" i="3"/>
  <c r="AB377" i="3" s="1"/>
  <c r="Y376" i="3"/>
  <c r="V376" i="3"/>
  <c r="AB376" i="3" s="1"/>
  <c r="S376" i="3"/>
  <c r="P376" i="3"/>
  <c r="M376" i="3"/>
  <c r="I376" i="3"/>
  <c r="AB375" i="3"/>
  <c r="Y375" i="3"/>
  <c r="V375" i="3"/>
  <c r="S375" i="3"/>
  <c r="P375" i="3"/>
  <c r="M375" i="3"/>
  <c r="I375" i="3"/>
  <c r="Y374" i="3"/>
  <c r="V374" i="3"/>
  <c r="S374" i="3"/>
  <c r="P374" i="3"/>
  <c r="M374" i="3"/>
  <c r="AB374" i="3" s="1"/>
  <c r="I374" i="3"/>
  <c r="Y373" i="3"/>
  <c r="V373" i="3"/>
  <c r="S373" i="3"/>
  <c r="P373" i="3"/>
  <c r="M373" i="3"/>
  <c r="I373" i="3"/>
  <c r="AB373" i="3" s="1"/>
  <c r="Y372" i="3"/>
  <c r="V372" i="3"/>
  <c r="S372" i="3"/>
  <c r="P372" i="3"/>
  <c r="M372" i="3"/>
  <c r="I372" i="3"/>
  <c r="AB372" i="3" s="1"/>
  <c r="Y371" i="3"/>
  <c r="AB371" i="3" s="1"/>
  <c r="V371" i="3"/>
  <c r="S371" i="3"/>
  <c r="P371" i="3"/>
  <c r="M371" i="3"/>
  <c r="I371" i="3"/>
  <c r="Y370" i="3"/>
  <c r="V370" i="3"/>
  <c r="S370" i="3"/>
  <c r="P370" i="3"/>
  <c r="M370" i="3"/>
  <c r="I370" i="3"/>
  <c r="AB370" i="3" s="1"/>
  <c r="Y369" i="3"/>
  <c r="V369" i="3"/>
  <c r="S369" i="3"/>
  <c r="P369" i="3"/>
  <c r="M369" i="3"/>
  <c r="I369" i="3"/>
  <c r="AB369" i="3" s="1"/>
  <c r="Y368" i="3"/>
  <c r="V368" i="3"/>
  <c r="S368" i="3"/>
  <c r="P368" i="3"/>
  <c r="M368" i="3"/>
  <c r="I368" i="3"/>
  <c r="AB368" i="3" s="1"/>
  <c r="Y367" i="3"/>
  <c r="V367" i="3"/>
  <c r="S367" i="3"/>
  <c r="P367" i="3"/>
  <c r="AB367" i="3" s="1"/>
  <c r="M367" i="3"/>
  <c r="I367" i="3"/>
  <c r="Y366" i="3"/>
  <c r="V366" i="3"/>
  <c r="S366" i="3"/>
  <c r="P366" i="3"/>
  <c r="AB366" i="3" s="1"/>
  <c r="M366" i="3"/>
  <c r="I366" i="3"/>
  <c r="Y365" i="3"/>
  <c r="V365" i="3"/>
  <c r="S365" i="3"/>
  <c r="P365" i="3"/>
  <c r="M365" i="3"/>
  <c r="I365" i="3"/>
  <c r="AB365" i="3" s="1"/>
  <c r="Y364" i="3"/>
  <c r="V364" i="3"/>
  <c r="AB364" i="3" s="1"/>
  <c r="S364" i="3"/>
  <c r="P364" i="3"/>
  <c r="M364" i="3"/>
  <c r="I364" i="3"/>
  <c r="AB363" i="3"/>
  <c r="Y363" i="3"/>
  <c r="V363" i="3"/>
  <c r="S363" i="3"/>
  <c r="P363" i="3"/>
  <c r="M363" i="3"/>
  <c r="I363" i="3"/>
  <c r="Y362" i="3"/>
  <c r="V362" i="3"/>
  <c r="S362" i="3"/>
  <c r="P362" i="3"/>
  <c r="M362" i="3"/>
  <c r="AB362" i="3" s="1"/>
  <c r="I362" i="3"/>
  <c r="Y361" i="3"/>
  <c r="V361" i="3"/>
  <c r="S361" i="3"/>
  <c r="P361" i="3"/>
  <c r="M361" i="3"/>
  <c r="I361" i="3"/>
  <c r="AB361" i="3" s="1"/>
  <c r="Y360" i="3"/>
  <c r="V360" i="3"/>
  <c r="S360" i="3"/>
  <c r="P360" i="3"/>
  <c r="M360" i="3"/>
  <c r="I360" i="3"/>
  <c r="AB360" i="3" s="1"/>
  <c r="Y359" i="3"/>
  <c r="AB359" i="3" s="1"/>
  <c r="V359" i="3"/>
  <c r="S359" i="3"/>
  <c r="P359" i="3"/>
  <c r="M359" i="3"/>
  <c r="I359" i="3"/>
  <c r="Y358" i="3"/>
  <c r="V358" i="3"/>
  <c r="S358" i="3"/>
  <c r="P358" i="3"/>
  <c r="M358" i="3"/>
  <c r="I358" i="3"/>
  <c r="AB358" i="3" s="1"/>
  <c r="Y357" i="3"/>
  <c r="V357" i="3"/>
  <c r="S357" i="3"/>
  <c r="P357" i="3"/>
  <c r="M357" i="3"/>
  <c r="I357" i="3"/>
  <c r="AB357" i="3" s="1"/>
  <c r="Y356" i="3"/>
  <c r="V356" i="3"/>
  <c r="S356" i="3"/>
  <c r="P356" i="3"/>
  <c r="M356" i="3"/>
  <c r="I356" i="3"/>
  <c r="AB356" i="3" s="1"/>
  <c r="Y355" i="3"/>
  <c r="V355" i="3"/>
  <c r="S355" i="3"/>
  <c r="P355" i="3"/>
  <c r="AB355" i="3" s="1"/>
  <c r="M355" i="3"/>
  <c r="I355" i="3"/>
  <c r="Y354" i="3"/>
  <c r="V354" i="3"/>
  <c r="S354" i="3"/>
  <c r="P354" i="3"/>
  <c r="AB354" i="3" s="1"/>
  <c r="M354" i="3"/>
  <c r="I354" i="3"/>
  <c r="Y353" i="3"/>
  <c r="V353" i="3"/>
  <c r="S353" i="3"/>
  <c r="P353" i="3"/>
  <c r="M353" i="3"/>
  <c r="I353" i="3"/>
  <c r="AB353" i="3" s="1"/>
  <c r="Y352" i="3"/>
  <c r="V352" i="3"/>
  <c r="AB352" i="3" s="1"/>
  <c r="S352" i="3"/>
  <c r="P352" i="3"/>
  <c r="M352" i="3"/>
  <c r="I352" i="3"/>
  <c r="AB351" i="3"/>
  <c r="Y351" i="3"/>
  <c r="V351" i="3"/>
  <c r="S351" i="3"/>
  <c r="P351" i="3"/>
  <c r="M351" i="3"/>
  <c r="I351" i="3"/>
  <c r="Y350" i="3"/>
  <c r="V350" i="3"/>
  <c r="S350" i="3"/>
  <c r="P350" i="3"/>
  <c r="M350" i="3"/>
  <c r="AB350" i="3" s="1"/>
  <c r="I350" i="3"/>
  <c r="Y349" i="3"/>
  <c r="V349" i="3"/>
  <c r="S349" i="3"/>
  <c r="P349" i="3"/>
  <c r="M349" i="3"/>
  <c r="I349" i="3"/>
  <c r="AB349" i="3" s="1"/>
  <c r="Y348" i="3"/>
  <c r="V348" i="3"/>
  <c r="S348" i="3"/>
  <c r="P348" i="3"/>
  <c r="M348" i="3"/>
  <c r="I348" i="3"/>
  <c r="AB348" i="3" s="1"/>
  <c r="Y347" i="3"/>
  <c r="AB347" i="3" s="1"/>
  <c r="V347" i="3"/>
  <c r="S347" i="3"/>
  <c r="P347" i="3"/>
  <c r="M347" i="3"/>
  <c r="I347" i="3"/>
  <c r="Y346" i="3"/>
  <c r="V346" i="3"/>
  <c r="S346" i="3"/>
  <c r="P346" i="3"/>
  <c r="M346" i="3"/>
  <c r="I346" i="3"/>
  <c r="AB346" i="3" s="1"/>
  <c r="Y345" i="3"/>
  <c r="V345" i="3"/>
  <c r="S345" i="3"/>
  <c r="P345" i="3"/>
  <c r="M345" i="3"/>
  <c r="I345" i="3"/>
  <c r="AB345" i="3" s="1"/>
  <c r="Y344" i="3"/>
  <c r="V344" i="3"/>
  <c r="S344" i="3"/>
  <c r="P344" i="3"/>
  <c r="M344" i="3"/>
  <c r="I344" i="3"/>
  <c r="AB344" i="3" s="1"/>
  <c r="Y343" i="3"/>
  <c r="V343" i="3"/>
  <c r="S343" i="3"/>
  <c r="P343" i="3"/>
  <c r="AB343" i="3" s="1"/>
  <c r="M343" i="3"/>
  <c r="I343" i="3"/>
  <c r="Y342" i="3"/>
  <c r="V342" i="3"/>
  <c r="S342" i="3"/>
  <c r="P342" i="3"/>
  <c r="AB342" i="3" s="1"/>
  <c r="M342" i="3"/>
  <c r="I342" i="3"/>
  <c r="Y341" i="3"/>
  <c r="V341" i="3"/>
  <c r="S341" i="3"/>
  <c r="P341" i="3"/>
  <c r="M341" i="3"/>
  <c r="I341" i="3"/>
  <c r="AB341" i="3" s="1"/>
  <c r="Y340" i="3"/>
  <c r="V340" i="3"/>
  <c r="AB340" i="3" s="1"/>
  <c r="S340" i="3"/>
  <c r="P340" i="3"/>
  <c r="M340" i="3"/>
  <c r="I340" i="3"/>
  <c r="AB339" i="3"/>
  <c r="Y339" i="3"/>
  <c r="V339" i="3"/>
  <c r="S339" i="3"/>
  <c r="P339" i="3"/>
  <c r="M339" i="3"/>
  <c r="I339" i="3"/>
  <c r="Y338" i="3"/>
  <c r="V338" i="3"/>
  <c r="S338" i="3"/>
  <c r="P338" i="3"/>
  <c r="M338" i="3"/>
  <c r="AB338" i="3" s="1"/>
  <c r="I338" i="3"/>
  <c r="Y337" i="3"/>
  <c r="V337" i="3"/>
  <c r="S337" i="3"/>
  <c r="P337" i="3"/>
  <c r="M337" i="3"/>
  <c r="I337" i="3"/>
  <c r="AB337" i="3" s="1"/>
  <c r="Y336" i="3"/>
  <c r="V336" i="3"/>
  <c r="S336" i="3"/>
  <c r="P336" i="3"/>
  <c r="M336" i="3"/>
  <c r="I336" i="3"/>
  <c r="AB336" i="3" s="1"/>
  <c r="Y335" i="3"/>
  <c r="AB335" i="3" s="1"/>
  <c r="V335" i="3"/>
  <c r="S335" i="3"/>
  <c r="P335" i="3"/>
  <c r="M335" i="3"/>
  <c r="I335" i="3"/>
  <c r="Y334" i="3"/>
  <c r="V334" i="3"/>
  <c r="S334" i="3"/>
  <c r="P334" i="3"/>
  <c r="M334" i="3"/>
  <c r="I334" i="3"/>
  <c r="AB334" i="3" s="1"/>
  <c r="Y333" i="3"/>
  <c r="V333" i="3"/>
  <c r="S333" i="3"/>
  <c r="P333" i="3"/>
  <c r="M333" i="3"/>
  <c r="I333" i="3"/>
  <c r="AB333" i="3" s="1"/>
  <c r="Y332" i="3"/>
  <c r="V332" i="3"/>
  <c r="S332" i="3"/>
  <c r="P332" i="3"/>
  <c r="M332" i="3"/>
  <c r="I332" i="3"/>
  <c r="AB332" i="3" s="1"/>
  <c r="Y331" i="3"/>
  <c r="V331" i="3"/>
  <c r="S331" i="3"/>
  <c r="P331" i="3"/>
  <c r="AB331" i="3" s="1"/>
  <c r="M331" i="3"/>
  <c r="I331" i="3"/>
  <c r="Y330" i="3"/>
  <c r="V330" i="3"/>
  <c r="S330" i="3"/>
  <c r="P330" i="3"/>
  <c r="AB330" i="3" s="1"/>
  <c r="M330" i="3"/>
  <c r="I330" i="3"/>
  <c r="Y329" i="3"/>
  <c r="V329" i="3"/>
  <c r="S329" i="3"/>
  <c r="P329" i="3"/>
  <c r="M329" i="3"/>
  <c r="I329" i="3"/>
  <c r="AB329" i="3" s="1"/>
  <c r="Y328" i="3"/>
  <c r="V328" i="3"/>
  <c r="AB328" i="3" s="1"/>
  <c r="S328" i="3"/>
  <c r="P328" i="3"/>
  <c r="M328" i="3"/>
  <c r="I328" i="3"/>
  <c r="AB327" i="3"/>
  <c r="Y327" i="3"/>
  <c r="V327" i="3"/>
  <c r="S327" i="3"/>
  <c r="P327" i="3"/>
  <c r="M327" i="3"/>
  <c r="I327" i="3"/>
  <c r="Y326" i="3"/>
  <c r="V326" i="3"/>
  <c r="S326" i="3"/>
  <c r="P326" i="3"/>
  <c r="M326" i="3"/>
  <c r="AB326" i="3" s="1"/>
  <c r="I326" i="3"/>
  <c r="Y325" i="3"/>
  <c r="V325" i="3"/>
  <c r="S325" i="3"/>
  <c r="P325" i="3"/>
  <c r="M325" i="3"/>
  <c r="I325" i="3"/>
  <c r="AB325" i="3" s="1"/>
  <c r="Y324" i="3"/>
  <c r="V324" i="3"/>
  <c r="S324" i="3"/>
  <c r="P324" i="3"/>
  <c r="M324" i="3"/>
  <c r="I324" i="3"/>
  <c r="AB324" i="3" s="1"/>
  <c r="Y323" i="3"/>
  <c r="AB323" i="3" s="1"/>
  <c r="V323" i="3"/>
  <c r="S323" i="3"/>
  <c r="P323" i="3"/>
  <c r="M323" i="3"/>
  <c r="I323" i="3"/>
  <c r="Y322" i="3"/>
  <c r="V322" i="3"/>
  <c r="S322" i="3"/>
  <c r="P322" i="3"/>
  <c r="M322" i="3"/>
  <c r="I322" i="3"/>
  <c r="AB322" i="3" s="1"/>
  <c r="Y321" i="3"/>
  <c r="V321" i="3"/>
  <c r="S321" i="3"/>
  <c r="P321" i="3"/>
  <c r="M321" i="3"/>
  <c r="I321" i="3"/>
  <c r="AB321" i="3" s="1"/>
  <c r="Y320" i="3"/>
  <c r="V320" i="3"/>
  <c r="S320" i="3"/>
  <c r="P320" i="3"/>
  <c r="M320" i="3"/>
  <c r="I320" i="3"/>
  <c r="AB320" i="3" s="1"/>
  <c r="Y319" i="3"/>
  <c r="V319" i="3"/>
  <c r="S319" i="3"/>
  <c r="P319" i="3"/>
  <c r="AB319" i="3" s="1"/>
  <c r="M319" i="3"/>
  <c r="I319" i="3"/>
  <c r="Y318" i="3"/>
  <c r="V318" i="3"/>
  <c r="S318" i="3"/>
  <c r="P318" i="3"/>
  <c r="AB318" i="3" s="1"/>
  <c r="M318" i="3"/>
  <c r="I318" i="3"/>
  <c r="Y317" i="3"/>
  <c r="V317" i="3"/>
  <c r="S317" i="3"/>
  <c r="P317" i="3"/>
  <c r="M317" i="3"/>
  <c r="I317" i="3"/>
  <c r="AB317" i="3" s="1"/>
  <c r="Y316" i="3"/>
  <c r="V316" i="3"/>
  <c r="AB316" i="3" s="1"/>
  <c r="S316" i="3"/>
  <c r="P316" i="3"/>
  <c r="M316" i="3"/>
  <c r="I316" i="3"/>
  <c r="AB315" i="3"/>
  <c r="Y315" i="3"/>
  <c r="V315" i="3"/>
  <c r="S315" i="3"/>
  <c r="P315" i="3"/>
  <c r="M315" i="3"/>
  <c r="I315" i="3"/>
  <c r="Y314" i="3"/>
  <c r="V314" i="3"/>
  <c r="S314" i="3"/>
  <c r="P314" i="3"/>
  <c r="M314" i="3"/>
  <c r="AB314" i="3" s="1"/>
  <c r="I314" i="3"/>
  <c r="Y313" i="3"/>
  <c r="V313" i="3"/>
  <c r="S313" i="3"/>
  <c r="P313" i="3"/>
  <c r="M313" i="3"/>
  <c r="I313" i="3"/>
  <c r="AB313" i="3" s="1"/>
  <c r="Y312" i="3"/>
  <c r="V312" i="3"/>
  <c r="S312" i="3"/>
  <c r="P312" i="3"/>
  <c r="M312" i="3"/>
  <c r="I312" i="3"/>
  <c r="AB312" i="3" s="1"/>
  <c r="Y311" i="3"/>
  <c r="AB311" i="3" s="1"/>
  <c r="V311" i="3"/>
  <c r="S311" i="3"/>
  <c r="P311" i="3"/>
  <c r="M311" i="3"/>
  <c r="I311" i="3"/>
  <c r="Y310" i="3"/>
  <c r="V310" i="3"/>
  <c r="S310" i="3"/>
  <c r="P310" i="3"/>
  <c r="M310" i="3"/>
  <c r="I310" i="3"/>
  <c r="AB310" i="3" s="1"/>
  <c r="Y309" i="3"/>
  <c r="V309" i="3"/>
  <c r="S309" i="3"/>
  <c r="P309" i="3"/>
  <c r="M309" i="3"/>
  <c r="I309" i="3"/>
  <c r="AB309" i="3" s="1"/>
  <c r="Y308" i="3"/>
  <c r="V308" i="3"/>
  <c r="S308" i="3"/>
  <c r="P308" i="3"/>
  <c r="M308" i="3"/>
  <c r="I308" i="3"/>
  <c r="AB308" i="3" s="1"/>
  <c r="Y307" i="3"/>
  <c r="V307" i="3"/>
  <c r="S307" i="3"/>
  <c r="P307" i="3"/>
  <c r="AB307" i="3" s="1"/>
  <c r="M307" i="3"/>
  <c r="I307" i="3"/>
  <c r="Y306" i="3"/>
  <c r="V306" i="3"/>
  <c r="S306" i="3"/>
  <c r="P306" i="3"/>
  <c r="AB306" i="3" s="1"/>
  <c r="M306" i="3"/>
  <c r="I306" i="3"/>
  <c r="Y305" i="3"/>
  <c r="V305" i="3"/>
  <c r="S305" i="3"/>
  <c r="P305" i="3"/>
  <c r="M305" i="3"/>
  <c r="I305" i="3"/>
  <c r="AB305" i="3" s="1"/>
  <c r="Y304" i="3"/>
  <c r="V304" i="3"/>
  <c r="AB304" i="3" s="1"/>
  <c r="S304" i="3"/>
  <c r="P304" i="3"/>
  <c r="M304" i="3"/>
  <c r="I304" i="3"/>
  <c r="AB303" i="3"/>
  <c r="Y303" i="3"/>
  <c r="V303" i="3"/>
  <c r="S303" i="3"/>
  <c r="P303" i="3"/>
  <c r="M303" i="3"/>
  <c r="I303" i="3"/>
  <c r="Y302" i="3"/>
  <c r="V302" i="3"/>
  <c r="S302" i="3"/>
  <c r="P302" i="3"/>
  <c r="M302" i="3"/>
  <c r="AB302" i="3" s="1"/>
  <c r="I302" i="3"/>
  <c r="Y301" i="3"/>
  <c r="V301" i="3"/>
  <c r="S301" i="3"/>
  <c r="P301" i="3"/>
  <c r="M301" i="3"/>
  <c r="I301" i="3"/>
  <c r="AB301" i="3" s="1"/>
  <c r="Y300" i="3"/>
  <c r="V300" i="3"/>
  <c r="S300" i="3"/>
  <c r="P300" i="3"/>
  <c r="M300" i="3"/>
  <c r="I300" i="3"/>
  <c r="AB300" i="3" s="1"/>
  <c r="Y299" i="3"/>
  <c r="AB299" i="3" s="1"/>
  <c r="V299" i="3"/>
  <c r="S299" i="3"/>
  <c r="P299" i="3"/>
  <c r="M299" i="3"/>
  <c r="I299" i="3"/>
  <c r="Y298" i="3"/>
  <c r="V298" i="3"/>
  <c r="S298" i="3"/>
  <c r="P298" i="3"/>
  <c r="M298" i="3"/>
  <c r="I298" i="3"/>
  <c r="AB298" i="3" s="1"/>
  <c r="Y297" i="3"/>
  <c r="V297" i="3"/>
  <c r="S297" i="3"/>
  <c r="P297" i="3"/>
  <c r="M297" i="3"/>
  <c r="I297" i="3"/>
  <c r="AB297" i="3" s="1"/>
  <c r="Y296" i="3"/>
  <c r="V296" i="3"/>
  <c r="S296" i="3"/>
  <c r="P296" i="3"/>
  <c r="M296" i="3"/>
  <c r="I296" i="3"/>
  <c r="AB296" i="3" s="1"/>
  <c r="Y295" i="3"/>
  <c r="V295" i="3"/>
  <c r="S295" i="3"/>
  <c r="P295" i="3"/>
  <c r="AB295" i="3" s="1"/>
  <c r="M295" i="3"/>
  <c r="I295" i="3"/>
  <c r="Y294" i="3"/>
  <c r="V294" i="3"/>
  <c r="S294" i="3"/>
  <c r="P294" i="3"/>
  <c r="AB294" i="3" s="1"/>
  <c r="M294" i="3"/>
  <c r="I294" i="3"/>
  <c r="Y293" i="3"/>
  <c r="V293" i="3"/>
  <c r="S293" i="3"/>
  <c r="P293" i="3"/>
  <c r="M293" i="3"/>
  <c r="I293" i="3"/>
  <c r="AB293" i="3" s="1"/>
  <c r="Y292" i="3"/>
  <c r="V292" i="3"/>
  <c r="AB292" i="3" s="1"/>
  <c r="S292" i="3"/>
  <c r="P292" i="3"/>
  <c r="M292" i="3"/>
  <c r="I292" i="3"/>
  <c r="AB291" i="3"/>
  <c r="Y291" i="3"/>
  <c r="V291" i="3"/>
  <c r="S291" i="3"/>
  <c r="P291" i="3"/>
  <c r="M291" i="3"/>
  <c r="I291" i="3"/>
  <c r="Y290" i="3"/>
  <c r="V290" i="3"/>
  <c r="S290" i="3"/>
  <c r="P290" i="3"/>
  <c r="M290" i="3"/>
  <c r="AB290" i="3" s="1"/>
  <c r="I290" i="3"/>
  <c r="Y289" i="3"/>
  <c r="V289" i="3"/>
  <c r="S289" i="3"/>
  <c r="P289" i="3"/>
  <c r="M289" i="3"/>
  <c r="I289" i="3"/>
  <c r="AB289" i="3" s="1"/>
  <c r="Y288" i="3"/>
  <c r="V288" i="3"/>
  <c r="S288" i="3"/>
  <c r="P288" i="3"/>
  <c r="M288" i="3"/>
  <c r="I288" i="3"/>
  <c r="AB288" i="3" s="1"/>
  <c r="Y287" i="3"/>
  <c r="AB287" i="3" s="1"/>
  <c r="V287" i="3"/>
  <c r="S287" i="3"/>
  <c r="P287" i="3"/>
  <c r="M287" i="3"/>
  <c r="I287" i="3"/>
  <c r="Y286" i="3"/>
  <c r="V286" i="3"/>
  <c r="S286" i="3"/>
  <c r="P286" i="3"/>
  <c r="M286" i="3"/>
  <c r="I286" i="3"/>
  <c r="AB286" i="3" s="1"/>
  <c r="Y285" i="3"/>
  <c r="V285" i="3"/>
  <c r="S285" i="3"/>
  <c r="P285" i="3"/>
  <c r="M285" i="3"/>
  <c r="I285" i="3"/>
  <c r="AB285" i="3" s="1"/>
  <c r="Y284" i="3"/>
  <c r="V284" i="3"/>
  <c r="S284" i="3"/>
  <c r="P284" i="3"/>
  <c r="M284" i="3"/>
  <c r="I284" i="3"/>
  <c r="AB284" i="3" s="1"/>
  <c r="Y283" i="3"/>
  <c r="V283" i="3"/>
  <c r="S283" i="3"/>
  <c r="P283" i="3"/>
  <c r="AB283" i="3" s="1"/>
  <c r="M283" i="3"/>
  <c r="I283" i="3"/>
  <c r="Y282" i="3"/>
  <c r="V282" i="3"/>
  <c r="S282" i="3"/>
  <c r="P282" i="3"/>
  <c r="AB282" i="3" s="1"/>
  <c r="M282" i="3"/>
  <c r="I282" i="3"/>
  <c r="Y281" i="3"/>
  <c r="V281" i="3"/>
  <c r="S281" i="3"/>
  <c r="P281" i="3"/>
  <c r="M281" i="3"/>
  <c r="I281" i="3"/>
  <c r="AB281" i="3" s="1"/>
  <c r="Y280" i="3"/>
  <c r="V280" i="3"/>
  <c r="AB280" i="3" s="1"/>
  <c r="S280" i="3"/>
  <c r="P280" i="3"/>
  <c r="M280" i="3"/>
  <c r="I280" i="3"/>
  <c r="AB279" i="3"/>
  <c r="Y279" i="3"/>
  <c r="V279" i="3"/>
  <c r="S279" i="3"/>
  <c r="P279" i="3"/>
  <c r="M279" i="3"/>
  <c r="I279" i="3"/>
  <c r="Y278" i="3"/>
  <c r="V278" i="3"/>
  <c r="S278" i="3"/>
  <c r="P278" i="3"/>
  <c r="M278" i="3"/>
  <c r="AB278" i="3" s="1"/>
  <c r="I278" i="3"/>
  <c r="Y277" i="3"/>
  <c r="V277" i="3"/>
  <c r="S277" i="3"/>
  <c r="P277" i="3"/>
  <c r="M277" i="3"/>
  <c r="I277" i="3"/>
  <c r="AB277" i="3" s="1"/>
  <c r="Y276" i="3"/>
  <c r="V276" i="3"/>
  <c r="S276" i="3"/>
  <c r="P276" i="3"/>
  <c r="M276" i="3"/>
  <c r="I276" i="3"/>
  <c r="AB276" i="3" s="1"/>
  <c r="Y275" i="3"/>
  <c r="AB275" i="3" s="1"/>
  <c r="V275" i="3"/>
  <c r="S275" i="3"/>
  <c r="P275" i="3"/>
  <c r="M275" i="3"/>
  <c r="I275" i="3"/>
  <c r="Y274" i="3"/>
  <c r="V274" i="3"/>
  <c r="S274" i="3"/>
  <c r="P274" i="3"/>
  <c r="M274" i="3"/>
  <c r="I274" i="3"/>
  <c r="AB274" i="3" s="1"/>
  <c r="Y273" i="3"/>
  <c r="V273" i="3"/>
  <c r="S273" i="3"/>
  <c r="P273" i="3"/>
  <c r="M273" i="3"/>
  <c r="I273" i="3"/>
  <c r="AB273" i="3" s="1"/>
  <c r="Y272" i="3"/>
  <c r="V272" i="3"/>
  <c r="S272" i="3"/>
  <c r="P272" i="3"/>
  <c r="M272" i="3"/>
  <c r="I272" i="3"/>
  <c r="AB272" i="3" s="1"/>
  <c r="Y271" i="3"/>
  <c r="V271" i="3"/>
  <c r="S271" i="3"/>
  <c r="P271" i="3"/>
  <c r="AB271" i="3" s="1"/>
  <c r="M271" i="3"/>
  <c r="I271" i="3"/>
  <c r="Y270" i="3"/>
  <c r="V270" i="3"/>
  <c r="S270" i="3"/>
  <c r="P270" i="3"/>
  <c r="AB270" i="3" s="1"/>
  <c r="M270" i="3"/>
  <c r="I270" i="3"/>
  <c r="Y269" i="3"/>
  <c r="V269" i="3"/>
  <c r="S269" i="3"/>
  <c r="P269" i="3"/>
  <c r="M269" i="3"/>
  <c r="I269" i="3"/>
  <c r="AB269" i="3" s="1"/>
  <c r="Y268" i="3"/>
  <c r="V268" i="3"/>
  <c r="AB268" i="3" s="1"/>
  <c r="S268" i="3"/>
  <c r="P268" i="3"/>
  <c r="M268" i="3"/>
  <c r="I268" i="3"/>
  <c r="AB267" i="3"/>
  <c r="Y267" i="3"/>
  <c r="V267" i="3"/>
  <c r="S267" i="3"/>
  <c r="P267" i="3"/>
  <c r="M267" i="3"/>
  <c r="I267" i="3"/>
  <c r="Y266" i="3"/>
  <c r="V266" i="3"/>
  <c r="S266" i="3"/>
  <c r="P266" i="3"/>
  <c r="M266" i="3"/>
  <c r="AB266" i="3" s="1"/>
  <c r="I266" i="3"/>
  <c r="Y265" i="3"/>
  <c r="V265" i="3"/>
  <c r="S265" i="3"/>
  <c r="P265" i="3"/>
  <c r="M265" i="3"/>
  <c r="I265" i="3"/>
  <c r="AB265" i="3" s="1"/>
  <c r="Y264" i="3"/>
  <c r="V264" i="3"/>
  <c r="S264" i="3"/>
  <c r="P264" i="3"/>
  <c r="M264" i="3"/>
  <c r="I264" i="3"/>
  <c r="AB264" i="3" s="1"/>
  <c r="Y263" i="3"/>
  <c r="AB263" i="3" s="1"/>
  <c r="V263" i="3"/>
  <c r="S263" i="3"/>
  <c r="P263" i="3"/>
  <c r="M263" i="3"/>
  <c r="I263" i="3"/>
  <c r="Y262" i="3"/>
  <c r="V262" i="3"/>
  <c r="S262" i="3"/>
  <c r="P262" i="3"/>
  <c r="M262" i="3"/>
  <c r="I262" i="3"/>
  <c r="AB262" i="3" s="1"/>
  <c r="Y261" i="3"/>
  <c r="V261" i="3"/>
  <c r="S261" i="3"/>
  <c r="P261" i="3"/>
  <c r="M261" i="3"/>
  <c r="I261" i="3"/>
  <c r="AB261" i="3" s="1"/>
  <c r="Y260" i="3"/>
  <c r="V260" i="3"/>
  <c r="S260" i="3"/>
  <c r="P260" i="3"/>
  <c r="M260" i="3"/>
  <c r="I260" i="3"/>
  <c r="AB260" i="3" s="1"/>
  <c r="Y259" i="3"/>
  <c r="V259" i="3"/>
  <c r="S259" i="3"/>
  <c r="P259" i="3"/>
  <c r="AB259" i="3" s="1"/>
  <c r="M259" i="3"/>
  <c r="I259" i="3"/>
  <c r="Y258" i="3"/>
  <c r="V258" i="3"/>
  <c r="S258" i="3"/>
  <c r="P258" i="3"/>
  <c r="AB258" i="3" s="1"/>
  <c r="M258" i="3"/>
  <c r="I258" i="3"/>
  <c r="Y257" i="3"/>
  <c r="V257" i="3"/>
  <c r="S257" i="3"/>
  <c r="P257" i="3"/>
  <c r="M257" i="3"/>
  <c r="I257" i="3"/>
  <c r="AB257" i="3" s="1"/>
  <c r="AB256" i="3"/>
  <c r="Y256" i="3"/>
  <c r="V256" i="3"/>
  <c r="S256" i="3"/>
  <c r="P256" i="3"/>
  <c r="M256" i="3"/>
  <c r="I256" i="3"/>
  <c r="AB255" i="3"/>
  <c r="Y255" i="3"/>
  <c r="V255" i="3"/>
  <c r="S255" i="3"/>
  <c r="P255" i="3"/>
  <c r="M255" i="3"/>
  <c r="I255" i="3"/>
  <c r="Y254" i="3"/>
  <c r="V254" i="3"/>
  <c r="S254" i="3"/>
  <c r="P254" i="3"/>
  <c r="M254" i="3"/>
  <c r="AB254" i="3" s="1"/>
  <c r="I254" i="3"/>
  <c r="Y253" i="3"/>
  <c r="V253" i="3"/>
  <c r="S253" i="3"/>
  <c r="P253" i="3"/>
  <c r="M253" i="3"/>
  <c r="I253" i="3"/>
  <c r="AB253" i="3" s="1"/>
  <c r="Y252" i="3"/>
  <c r="V252" i="3"/>
  <c r="S252" i="3"/>
  <c r="P252" i="3"/>
  <c r="M252" i="3"/>
  <c r="I252" i="3"/>
  <c r="AB252" i="3" s="1"/>
  <c r="Y251" i="3"/>
  <c r="AB251" i="3" s="1"/>
  <c r="V251" i="3"/>
  <c r="S251" i="3"/>
  <c r="P251" i="3"/>
  <c r="M251" i="3"/>
  <c r="I251" i="3"/>
  <c r="Y250" i="3"/>
  <c r="V250" i="3"/>
  <c r="S250" i="3"/>
  <c r="P250" i="3"/>
  <c r="M250" i="3"/>
  <c r="I250" i="3"/>
  <c r="AB250" i="3" s="1"/>
  <c r="Y249" i="3"/>
  <c r="V249" i="3"/>
  <c r="S249" i="3"/>
  <c r="P249" i="3"/>
  <c r="M249" i="3"/>
  <c r="I249" i="3"/>
  <c r="AB249" i="3" s="1"/>
  <c r="Y248" i="3"/>
  <c r="V248" i="3"/>
  <c r="S248" i="3"/>
  <c r="P248" i="3"/>
  <c r="M248" i="3"/>
  <c r="I248" i="3"/>
  <c r="AB248" i="3" s="1"/>
  <c r="Y247" i="3"/>
  <c r="V247" i="3"/>
  <c r="S247" i="3"/>
  <c r="P247" i="3"/>
  <c r="AB247" i="3" s="1"/>
  <c r="M247" i="3"/>
  <c r="I247" i="3"/>
  <c r="Y246" i="3"/>
  <c r="V246" i="3"/>
  <c r="S246" i="3"/>
  <c r="P246" i="3"/>
  <c r="AB246" i="3" s="1"/>
  <c r="M246" i="3"/>
  <c r="I246" i="3"/>
  <c r="Y245" i="3"/>
  <c r="V245" i="3"/>
  <c r="S245" i="3"/>
  <c r="P245" i="3"/>
  <c r="M245" i="3"/>
  <c r="I245" i="3"/>
  <c r="AB245" i="3" s="1"/>
  <c r="AB244" i="3"/>
  <c r="Y244" i="3"/>
  <c r="V244" i="3"/>
  <c r="S244" i="3"/>
  <c r="P244" i="3"/>
  <c r="M244" i="3"/>
  <c r="I244" i="3"/>
  <c r="AB243" i="3"/>
  <c r="Y243" i="3"/>
  <c r="V243" i="3"/>
  <c r="S243" i="3"/>
  <c r="P243" i="3"/>
  <c r="M243" i="3"/>
  <c r="I243" i="3"/>
  <c r="Y242" i="3"/>
  <c r="V242" i="3"/>
  <c r="S242" i="3"/>
  <c r="P242" i="3"/>
  <c r="M242" i="3"/>
  <c r="AB242" i="3" s="1"/>
  <c r="I242" i="3"/>
  <c r="Y241" i="3"/>
  <c r="V241" i="3"/>
  <c r="S241" i="3"/>
  <c r="P241" i="3"/>
  <c r="M241" i="3"/>
  <c r="I241" i="3"/>
  <c r="AB241" i="3" s="1"/>
  <c r="Y240" i="3"/>
  <c r="V240" i="3"/>
  <c r="S240" i="3"/>
  <c r="P240" i="3"/>
  <c r="M240" i="3"/>
  <c r="I240" i="3"/>
  <c r="AB240" i="3" s="1"/>
  <c r="Y239" i="3"/>
  <c r="AB239" i="3" s="1"/>
  <c r="V239" i="3"/>
  <c r="S239" i="3"/>
  <c r="P239" i="3"/>
  <c r="M239" i="3"/>
  <c r="I239" i="3"/>
  <c r="Y238" i="3"/>
  <c r="V238" i="3"/>
  <c r="S238" i="3"/>
  <c r="P238" i="3"/>
  <c r="M238" i="3"/>
  <c r="I238" i="3"/>
  <c r="AB238" i="3" s="1"/>
  <c r="Y237" i="3"/>
  <c r="V237" i="3"/>
  <c r="S237" i="3"/>
  <c r="P237" i="3"/>
  <c r="M237" i="3"/>
  <c r="I237" i="3"/>
  <c r="AB237" i="3" s="1"/>
  <c r="Y236" i="3"/>
  <c r="V236" i="3"/>
  <c r="S236" i="3"/>
  <c r="P236" i="3"/>
  <c r="M236" i="3"/>
  <c r="I236" i="3"/>
  <c r="AB236" i="3" s="1"/>
  <c r="Y235" i="3"/>
  <c r="V235" i="3"/>
  <c r="S235" i="3"/>
  <c r="P235" i="3"/>
  <c r="AB235" i="3" s="1"/>
  <c r="M235" i="3"/>
  <c r="I235" i="3"/>
  <c r="Y234" i="3"/>
  <c r="V234" i="3"/>
  <c r="S234" i="3"/>
  <c r="P234" i="3"/>
  <c r="AB234" i="3" s="1"/>
  <c r="M234" i="3"/>
  <c r="I234" i="3"/>
  <c r="Y233" i="3"/>
  <c r="V233" i="3"/>
  <c r="S233" i="3"/>
  <c r="P233" i="3"/>
  <c r="M233" i="3"/>
  <c r="I233" i="3"/>
  <c r="AB233" i="3" s="1"/>
  <c r="AB232" i="3"/>
  <c r="Y232" i="3"/>
  <c r="V232" i="3"/>
  <c r="S232" i="3"/>
  <c r="P232" i="3"/>
  <c r="M232" i="3"/>
  <c r="I232" i="3"/>
  <c r="AB231" i="3"/>
  <c r="Y231" i="3"/>
  <c r="V231" i="3"/>
  <c r="S231" i="3"/>
  <c r="P231" i="3"/>
  <c r="M231" i="3"/>
  <c r="I231" i="3"/>
  <c r="Y230" i="3"/>
  <c r="V230" i="3"/>
  <c r="S230" i="3"/>
  <c r="P230" i="3"/>
  <c r="M230" i="3"/>
  <c r="AB230" i="3" s="1"/>
  <c r="I230" i="3"/>
  <c r="Y229" i="3"/>
  <c r="V229" i="3"/>
  <c r="S229" i="3"/>
  <c r="P229" i="3"/>
  <c r="M229" i="3"/>
  <c r="I229" i="3"/>
  <c r="AB229" i="3" s="1"/>
  <c r="Y228" i="3"/>
  <c r="V228" i="3"/>
  <c r="S228" i="3"/>
  <c r="P228" i="3"/>
  <c r="M228" i="3"/>
  <c r="I228" i="3"/>
  <c r="AB228" i="3" s="1"/>
  <c r="Y227" i="3"/>
  <c r="AB227" i="3" s="1"/>
  <c r="V227" i="3"/>
  <c r="S227" i="3"/>
  <c r="P227" i="3"/>
  <c r="M227" i="3"/>
  <c r="I227" i="3"/>
  <c r="Y226" i="3"/>
  <c r="V226" i="3"/>
  <c r="S226" i="3"/>
  <c r="P226" i="3"/>
  <c r="M226" i="3"/>
  <c r="I226" i="3"/>
  <c r="AB226" i="3" s="1"/>
  <c r="Y225" i="3"/>
  <c r="V225" i="3"/>
  <c r="S225" i="3"/>
  <c r="P225" i="3"/>
  <c r="M225" i="3"/>
  <c r="I225" i="3"/>
  <c r="AB225" i="3" s="1"/>
  <c r="Y224" i="3"/>
  <c r="V224" i="3"/>
  <c r="S224" i="3"/>
  <c r="P224" i="3"/>
  <c r="M224" i="3"/>
  <c r="I224" i="3"/>
  <c r="AB224" i="3" s="1"/>
  <c r="Y223" i="3"/>
  <c r="V223" i="3"/>
  <c r="S223" i="3"/>
  <c r="P223" i="3"/>
  <c r="AB223" i="3" s="1"/>
  <c r="M223" i="3"/>
  <c r="I223" i="3"/>
  <c r="Y222" i="3"/>
  <c r="V222" i="3"/>
  <c r="S222" i="3"/>
  <c r="P222" i="3"/>
  <c r="AB222" i="3" s="1"/>
  <c r="M222" i="3"/>
  <c r="I222" i="3"/>
  <c r="Y221" i="3"/>
  <c r="V221" i="3"/>
  <c r="S221" i="3"/>
  <c r="P221" i="3"/>
  <c r="M221" i="3"/>
  <c r="I221" i="3"/>
  <c r="AB221" i="3" s="1"/>
  <c r="AB220" i="3"/>
  <c r="Y220" i="3"/>
  <c r="V220" i="3"/>
  <c r="S220" i="3"/>
  <c r="P220" i="3"/>
  <c r="M220" i="3"/>
  <c r="I220" i="3"/>
  <c r="AB219" i="3"/>
  <c r="Y219" i="3"/>
  <c r="V219" i="3"/>
  <c r="S219" i="3"/>
  <c r="P219" i="3"/>
  <c r="M219" i="3"/>
  <c r="I219" i="3"/>
  <c r="Y218" i="3"/>
  <c r="V218" i="3"/>
  <c r="S218" i="3"/>
  <c r="P218" i="3"/>
  <c r="M218" i="3"/>
  <c r="AB218" i="3" s="1"/>
  <c r="I218" i="3"/>
  <c r="Y217" i="3"/>
  <c r="V217" i="3"/>
  <c r="S217" i="3"/>
  <c r="P217" i="3"/>
  <c r="M217" i="3"/>
  <c r="I217" i="3"/>
  <c r="AB217" i="3" s="1"/>
  <c r="Y216" i="3"/>
  <c r="V216" i="3"/>
  <c r="S216" i="3"/>
  <c r="P216" i="3"/>
  <c r="M216" i="3"/>
  <c r="I216" i="3"/>
  <c r="AB216" i="3" s="1"/>
  <c r="Y215" i="3"/>
  <c r="AB215" i="3" s="1"/>
  <c r="V215" i="3"/>
  <c r="S215" i="3"/>
  <c r="P215" i="3"/>
  <c r="M215" i="3"/>
  <c r="I215" i="3"/>
  <c r="Y214" i="3"/>
  <c r="V214" i="3"/>
  <c r="S214" i="3"/>
  <c r="P214" i="3"/>
  <c r="M214" i="3"/>
  <c r="I214" i="3"/>
  <c r="AB214" i="3" s="1"/>
  <c r="Y213" i="3"/>
  <c r="V213" i="3"/>
  <c r="S213" i="3"/>
  <c r="P213" i="3"/>
  <c r="M213" i="3"/>
  <c r="I213" i="3"/>
  <c r="AB213" i="3" s="1"/>
  <c r="Y212" i="3"/>
  <c r="V212" i="3"/>
  <c r="S212" i="3"/>
  <c r="P212" i="3"/>
  <c r="M212" i="3"/>
  <c r="I212" i="3"/>
  <c r="AB212" i="3" s="1"/>
  <c r="Y211" i="3"/>
  <c r="V211" i="3"/>
  <c r="S211" i="3"/>
  <c r="P211" i="3"/>
  <c r="AB211" i="3" s="1"/>
  <c r="M211" i="3"/>
  <c r="I211" i="3"/>
  <c r="Y210" i="3"/>
  <c r="V210" i="3"/>
  <c r="S210" i="3"/>
  <c r="P210" i="3"/>
  <c r="AB210" i="3" s="1"/>
  <c r="M210" i="3"/>
  <c r="I210" i="3"/>
  <c r="Y209" i="3"/>
  <c r="V209" i="3"/>
  <c r="S209" i="3"/>
  <c r="P209" i="3"/>
  <c r="M209" i="3"/>
  <c r="I209" i="3"/>
  <c r="AB209" i="3" s="1"/>
  <c r="AB208" i="3"/>
  <c r="Y208" i="3"/>
  <c r="V208" i="3"/>
  <c r="S208" i="3"/>
  <c r="P208" i="3"/>
  <c r="M208" i="3"/>
  <c r="I208" i="3"/>
  <c r="AB207" i="3"/>
  <c r="Y207" i="3"/>
  <c r="V207" i="3"/>
  <c r="S207" i="3"/>
  <c r="P207" i="3"/>
  <c r="M207" i="3"/>
  <c r="I207" i="3"/>
  <c r="Y206" i="3"/>
  <c r="V206" i="3"/>
  <c r="S206" i="3"/>
  <c r="P206" i="3"/>
  <c r="M206" i="3"/>
  <c r="AB206" i="3" s="1"/>
  <c r="I206" i="3"/>
  <c r="Y205" i="3"/>
  <c r="V205" i="3"/>
  <c r="S205" i="3"/>
  <c r="P205" i="3"/>
  <c r="M205" i="3"/>
  <c r="I205" i="3"/>
  <c r="AB205" i="3" s="1"/>
  <c r="Y204" i="3"/>
  <c r="V204" i="3"/>
  <c r="S204" i="3"/>
  <c r="P204" i="3"/>
  <c r="M204" i="3"/>
  <c r="I204" i="3"/>
  <c r="AB204" i="3" s="1"/>
  <c r="Y203" i="3"/>
  <c r="AB203" i="3" s="1"/>
  <c r="V203" i="3"/>
  <c r="S203" i="3"/>
  <c r="P203" i="3"/>
  <c r="M203" i="3"/>
  <c r="I203" i="3"/>
  <c r="Y202" i="3"/>
  <c r="V202" i="3"/>
  <c r="S202" i="3"/>
  <c r="P202" i="3"/>
  <c r="M202" i="3"/>
  <c r="I202" i="3"/>
  <c r="AB202" i="3" s="1"/>
  <c r="Y201" i="3"/>
  <c r="V201" i="3"/>
  <c r="S201" i="3"/>
  <c r="P201" i="3"/>
  <c r="M201" i="3"/>
  <c r="I201" i="3"/>
  <c r="AB201" i="3" s="1"/>
  <c r="Y200" i="3"/>
  <c r="V200" i="3"/>
  <c r="S200" i="3"/>
  <c r="P200" i="3"/>
  <c r="M200" i="3"/>
  <c r="I200" i="3"/>
  <c r="AB200" i="3" s="1"/>
  <c r="Y199" i="3"/>
  <c r="V199" i="3"/>
  <c r="S199" i="3"/>
  <c r="P199" i="3"/>
  <c r="AB199" i="3" s="1"/>
  <c r="M199" i="3"/>
  <c r="I199" i="3"/>
  <c r="Y198" i="3"/>
  <c r="V198" i="3"/>
  <c r="S198" i="3"/>
  <c r="P198" i="3"/>
  <c r="AB198" i="3" s="1"/>
  <c r="M198" i="3"/>
  <c r="I198" i="3"/>
  <c r="Y197" i="3"/>
  <c r="V197" i="3"/>
  <c r="S197" i="3"/>
  <c r="P197" i="3"/>
  <c r="M197" i="3"/>
  <c r="I197" i="3"/>
  <c r="AB197" i="3" s="1"/>
  <c r="AB196" i="3"/>
  <c r="Y196" i="3"/>
  <c r="V196" i="3"/>
  <c r="S196" i="3"/>
  <c r="P196" i="3"/>
  <c r="M196" i="3"/>
  <c r="I196" i="3"/>
  <c r="AB195" i="3"/>
  <c r="Y195" i="3"/>
  <c r="V195" i="3"/>
  <c r="S195" i="3"/>
  <c r="P195" i="3"/>
  <c r="M195" i="3"/>
  <c r="I195" i="3"/>
  <c r="Y194" i="3"/>
  <c r="V194" i="3"/>
  <c r="S194" i="3"/>
  <c r="P194" i="3"/>
  <c r="M194" i="3"/>
  <c r="AB194" i="3" s="1"/>
  <c r="I194" i="3"/>
  <c r="Y193" i="3"/>
  <c r="V193" i="3"/>
  <c r="S193" i="3"/>
  <c r="P193" i="3"/>
  <c r="M193" i="3"/>
  <c r="I193" i="3"/>
  <c r="AB193" i="3" s="1"/>
  <c r="Y192" i="3"/>
  <c r="V192" i="3"/>
  <c r="S192" i="3"/>
  <c r="P192" i="3"/>
  <c r="M192" i="3"/>
  <c r="I192" i="3"/>
  <c r="AB192" i="3" s="1"/>
  <c r="Y191" i="3"/>
  <c r="AB191" i="3" s="1"/>
  <c r="V191" i="3"/>
  <c r="S191" i="3"/>
  <c r="P191" i="3"/>
  <c r="M191" i="3"/>
  <c r="I191" i="3"/>
  <c r="Y190" i="3"/>
  <c r="V190" i="3"/>
  <c r="S190" i="3"/>
  <c r="P190" i="3"/>
  <c r="M190" i="3"/>
  <c r="I190" i="3"/>
  <c r="AB190" i="3" s="1"/>
  <c r="Y189" i="3"/>
  <c r="V189" i="3"/>
  <c r="S189" i="3"/>
  <c r="P189" i="3"/>
  <c r="M189" i="3"/>
  <c r="I189" i="3"/>
  <c r="AB189" i="3" s="1"/>
  <c r="Y188" i="3"/>
  <c r="V188" i="3"/>
  <c r="S188" i="3"/>
  <c r="P188" i="3"/>
  <c r="M188" i="3"/>
  <c r="I188" i="3"/>
  <c r="AB188" i="3" s="1"/>
  <c r="Y187" i="3"/>
  <c r="V187" i="3"/>
  <c r="S187" i="3"/>
  <c r="P187" i="3"/>
  <c r="AB187" i="3" s="1"/>
  <c r="M187" i="3"/>
  <c r="I187" i="3"/>
  <c r="Y186" i="3"/>
  <c r="V186" i="3"/>
  <c r="S186" i="3"/>
  <c r="P186" i="3"/>
  <c r="AB186" i="3" s="1"/>
  <c r="M186" i="3"/>
  <c r="I186" i="3"/>
  <c r="Y185" i="3"/>
  <c r="V185" i="3"/>
  <c r="S185" i="3"/>
  <c r="P185" i="3"/>
  <c r="M185" i="3"/>
  <c r="I185" i="3"/>
  <c r="AB185" i="3" s="1"/>
  <c r="AB184" i="3"/>
  <c r="Y184" i="3"/>
  <c r="V184" i="3"/>
  <c r="S184" i="3"/>
  <c r="P184" i="3"/>
  <c r="M184" i="3"/>
  <c r="I184" i="3"/>
  <c r="AB183" i="3"/>
  <c r="Y183" i="3"/>
  <c r="V183" i="3"/>
  <c r="S183" i="3"/>
  <c r="P183" i="3"/>
  <c r="M183" i="3"/>
  <c r="I183" i="3"/>
  <c r="Y182" i="3"/>
  <c r="V182" i="3"/>
  <c r="S182" i="3"/>
  <c r="P182" i="3"/>
  <c r="M182" i="3"/>
  <c r="AB182" i="3" s="1"/>
  <c r="I182" i="3"/>
  <c r="Y181" i="3"/>
  <c r="V181" i="3"/>
  <c r="S181" i="3"/>
  <c r="P181" i="3"/>
  <c r="M181" i="3"/>
  <c r="I181" i="3"/>
  <c r="AB181" i="3" s="1"/>
  <c r="Y180" i="3"/>
  <c r="V180" i="3"/>
  <c r="S180" i="3"/>
  <c r="P180" i="3"/>
  <c r="M180" i="3"/>
  <c r="I180" i="3"/>
  <c r="AB180" i="3" s="1"/>
  <c r="Y179" i="3"/>
  <c r="AB179" i="3" s="1"/>
  <c r="V179" i="3"/>
  <c r="S179" i="3"/>
  <c r="P179" i="3"/>
  <c r="M179" i="3"/>
  <c r="I179" i="3"/>
  <c r="Y178" i="3"/>
  <c r="V178" i="3"/>
  <c r="S178" i="3"/>
  <c r="P178" i="3"/>
  <c r="M178" i="3"/>
  <c r="I178" i="3"/>
  <c r="AB178" i="3" s="1"/>
  <c r="Y177" i="3"/>
  <c r="V177" i="3"/>
  <c r="S177" i="3"/>
  <c r="P177" i="3"/>
  <c r="M177" i="3"/>
  <c r="I177" i="3"/>
  <c r="AB177" i="3" s="1"/>
  <c r="Y176" i="3"/>
  <c r="V176" i="3"/>
  <c r="S176" i="3"/>
  <c r="P176" i="3"/>
  <c r="M176" i="3"/>
  <c r="I176" i="3"/>
  <c r="AB176" i="3" s="1"/>
  <c r="Y175" i="3"/>
  <c r="V175" i="3"/>
  <c r="S175" i="3"/>
  <c r="P175" i="3"/>
  <c r="AB175" i="3" s="1"/>
  <c r="M175" i="3"/>
  <c r="I175" i="3"/>
  <c r="Y174" i="3"/>
  <c r="V174" i="3"/>
  <c r="S174" i="3"/>
  <c r="P174" i="3"/>
  <c r="AB174" i="3" s="1"/>
  <c r="M174" i="3"/>
  <c r="I174" i="3"/>
  <c r="Y173" i="3"/>
  <c r="V173" i="3"/>
  <c r="S173" i="3"/>
  <c r="P173" i="3"/>
  <c r="M173" i="3"/>
  <c r="I173" i="3"/>
  <c r="AB173" i="3" s="1"/>
  <c r="AB172" i="3"/>
  <c r="Y172" i="3"/>
  <c r="V172" i="3"/>
  <c r="S172" i="3"/>
  <c r="P172" i="3"/>
  <c r="M172" i="3"/>
  <c r="I172" i="3"/>
  <c r="AB171" i="3"/>
  <c r="Y171" i="3"/>
  <c r="V171" i="3"/>
  <c r="S171" i="3"/>
  <c r="P171" i="3"/>
  <c r="M171" i="3"/>
  <c r="I171" i="3"/>
  <c r="Y170" i="3"/>
  <c r="V170" i="3"/>
  <c r="S170" i="3"/>
  <c r="P170" i="3"/>
  <c r="M170" i="3"/>
  <c r="AB170" i="3" s="1"/>
  <c r="I170" i="3"/>
  <c r="Y169" i="3"/>
  <c r="V169" i="3"/>
  <c r="S169" i="3"/>
  <c r="P169" i="3"/>
  <c r="M169" i="3"/>
  <c r="I169" i="3"/>
  <c r="AB169" i="3" s="1"/>
  <c r="Y168" i="3"/>
  <c r="V168" i="3"/>
  <c r="S168" i="3"/>
  <c r="P168" i="3"/>
  <c r="M168" i="3"/>
  <c r="I168" i="3"/>
  <c r="AB168" i="3" s="1"/>
  <c r="Y167" i="3"/>
  <c r="AB167" i="3" s="1"/>
  <c r="V167" i="3"/>
  <c r="S167" i="3"/>
  <c r="P167" i="3"/>
  <c r="M167" i="3"/>
  <c r="I167" i="3"/>
  <c r="Y166" i="3"/>
  <c r="V166" i="3"/>
  <c r="S166" i="3"/>
  <c r="P166" i="3"/>
  <c r="M166" i="3"/>
  <c r="I166" i="3"/>
  <c r="AB166" i="3" s="1"/>
  <c r="Y165" i="3"/>
  <c r="V165" i="3"/>
  <c r="S165" i="3"/>
  <c r="P165" i="3"/>
  <c r="M165" i="3"/>
  <c r="I165" i="3"/>
  <c r="AB165" i="3" s="1"/>
  <c r="Y164" i="3"/>
  <c r="V164" i="3"/>
  <c r="S164" i="3"/>
  <c r="P164" i="3"/>
  <c r="M164" i="3"/>
  <c r="I164" i="3"/>
  <c r="AB164" i="3" s="1"/>
  <c r="Y163" i="3"/>
  <c r="V163" i="3"/>
  <c r="S163" i="3"/>
  <c r="P163" i="3"/>
  <c r="AB163" i="3" s="1"/>
  <c r="M163" i="3"/>
  <c r="I163" i="3"/>
  <c r="Y162" i="3"/>
  <c r="V162" i="3"/>
  <c r="S162" i="3"/>
  <c r="P162" i="3"/>
  <c r="AB162" i="3" s="1"/>
  <c r="M162" i="3"/>
  <c r="I162" i="3"/>
  <c r="Y161" i="3"/>
  <c r="V161" i="3"/>
  <c r="S161" i="3"/>
  <c r="P161" i="3"/>
  <c r="M161" i="3"/>
  <c r="I161" i="3"/>
  <c r="AB161" i="3" s="1"/>
  <c r="AB160" i="3"/>
  <c r="Y160" i="3"/>
  <c r="V160" i="3"/>
  <c r="S160" i="3"/>
  <c r="P160" i="3"/>
  <c r="M160" i="3"/>
  <c r="I160" i="3"/>
  <c r="AB159" i="3"/>
  <c r="Y159" i="3"/>
  <c r="V159" i="3"/>
  <c r="S159" i="3"/>
  <c r="P159" i="3"/>
  <c r="M159" i="3"/>
  <c r="I159" i="3"/>
  <c r="Y158" i="3"/>
  <c r="V158" i="3"/>
  <c r="S158" i="3"/>
  <c r="P158" i="3"/>
  <c r="M158" i="3"/>
  <c r="AB158" i="3" s="1"/>
  <c r="I158" i="3"/>
  <c r="Y157" i="3"/>
  <c r="V157" i="3"/>
  <c r="S157" i="3"/>
  <c r="P157" i="3"/>
  <c r="M157" i="3"/>
  <c r="I157" i="3"/>
  <c r="AB157" i="3" s="1"/>
  <c r="Y156" i="3"/>
  <c r="V156" i="3"/>
  <c r="S156" i="3"/>
  <c r="P156" i="3"/>
  <c r="M156" i="3"/>
  <c r="I156" i="3"/>
  <c r="AB156" i="3" s="1"/>
  <c r="Y155" i="3"/>
  <c r="AB155" i="3" s="1"/>
  <c r="V155" i="3"/>
  <c r="S155" i="3"/>
  <c r="P155" i="3"/>
  <c r="M155" i="3"/>
  <c r="I155" i="3"/>
  <c r="Y154" i="3"/>
  <c r="V154" i="3"/>
  <c r="S154" i="3"/>
  <c r="P154" i="3"/>
  <c r="M154" i="3"/>
  <c r="I154" i="3"/>
  <c r="AB154" i="3" s="1"/>
  <c r="Y153" i="3"/>
  <c r="V153" i="3"/>
  <c r="S153" i="3"/>
  <c r="P153" i="3"/>
  <c r="M153" i="3"/>
  <c r="I153" i="3"/>
  <c r="AB153" i="3" s="1"/>
  <c r="Y152" i="3"/>
  <c r="V152" i="3"/>
  <c r="S152" i="3"/>
  <c r="P152" i="3"/>
  <c r="M152" i="3"/>
  <c r="I152" i="3"/>
  <c r="AB152" i="3" s="1"/>
  <c r="Y151" i="3"/>
  <c r="V151" i="3"/>
  <c r="S151" i="3"/>
  <c r="P151" i="3"/>
  <c r="AB151" i="3" s="1"/>
  <c r="M151" i="3"/>
  <c r="I151" i="3"/>
  <c r="Y150" i="3"/>
  <c r="V150" i="3"/>
  <c r="S150" i="3"/>
  <c r="P150" i="3"/>
  <c r="M150" i="3"/>
  <c r="I150" i="3"/>
  <c r="AB150" i="3" s="1"/>
  <c r="Y149" i="3"/>
  <c r="V149" i="3"/>
  <c r="S149" i="3"/>
  <c r="P149" i="3"/>
  <c r="M149" i="3"/>
  <c r="I149" i="3"/>
  <c r="AB149" i="3" s="1"/>
  <c r="AB148" i="3"/>
  <c r="Y148" i="3"/>
  <c r="V148" i="3"/>
  <c r="S148" i="3"/>
  <c r="P148" i="3"/>
  <c r="M148" i="3"/>
  <c r="I148" i="3"/>
  <c r="AB147" i="3"/>
  <c r="Y147" i="3"/>
  <c r="V147" i="3"/>
  <c r="S147" i="3"/>
  <c r="P147" i="3"/>
  <c r="M147" i="3"/>
  <c r="I147" i="3"/>
  <c r="Y146" i="3"/>
  <c r="V146" i="3"/>
  <c r="S146" i="3"/>
  <c r="P146" i="3"/>
  <c r="M146" i="3"/>
  <c r="AB146" i="3" s="1"/>
  <c r="I146" i="3"/>
  <c r="Y145" i="3"/>
  <c r="V145" i="3"/>
  <c r="S145" i="3"/>
  <c r="P145" i="3"/>
  <c r="M145" i="3"/>
  <c r="I145" i="3"/>
  <c r="AB145" i="3" s="1"/>
  <c r="Y144" i="3"/>
  <c r="AB144" i="3" s="1"/>
  <c r="V144" i="3"/>
  <c r="S144" i="3"/>
  <c r="P144" i="3"/>
  <c r="M144" i="3"/>
  <c r="I144" i="3"/>
  <c r="Y143" i="3"/>
  <c r="AB143" i="3" s="1"/>
  <c r="V143" i="3"/>
  <c r="S143" i="3"/>
  <c r="P143" i="3"/>
  <c r="M143" i="3"/>
  <c r="I143" i="3"/>
  <c r="Y142" i="3"/>
  <c r="V142" i="3"/>
  <c r="S142" i="3"/>
  <c r="P142" i="3"/>
  <c r="M142" i="3"/>
  <c r="I142" i="3"/>
  <c r="AB142" i="3" s="1"/>
  <c r="Y141" i="3"/>
  <c r="V141" i="3"/>
  <c r="S141" i="3"/>
  <c r="P141" i="3"/>
  <c r="M141" i="3"/>
  <c r="I141" i="3"/>
  <c r="AB141" i="3" s="1"/>
  <c r="Y140" i="3"/>
  <c r="V140" i="3"/>
  <c r="S140" i="3"/>
  <c r="P140" i="3"/>
  <c r="M140" i="3"/>
  <c r="I140" i="3"/>
  <c r="AB140" i="3" s="1"/>
  <c r="Y139" i="3"/>
  <c r="V139" i="3"/>
  <c r="S139" i="3"/>
  <c r="P139" i="3"/>
  <c r="AB139" i="3" s="1"/>
  <c r="M139" i="3"/>
  <c r="I139" i="3"/>
  <c r="Y138" i="3"/>
  <c r="V138" i="3"/>
  <c r="S138" i="3"/>
  <c r="P138" i="3"/>
  <c r="M138" i="3"/>
  <c r="I138" i="3"/>
  <c r="AB138" i="3" s="1"/>
  <c r="Y137" i="3"/>
  <c r="V137" i="3"/>
  <c r="S137" i="3"/>
  <c r="P137" i="3"/>
  <c r="M137" i="3"/>
  <c r="I137" i="3"/>
  <c r="AB137" i="3" s="1"/>
  <c r="AB136" i="3"/>
  <c r="Y136" i="3"/>
  <c r="V136" i="3"/>
  <c r="S136" i="3"/>
  <c r="P136" i="3"/>
  <c r="M136" i="3"/>
  <c r="I136" i="3"/>
  <c r="AB135" i="3"/>
  <c r="Y135" i="3"/>
  <c r="V135" i="3"/>
  <c r="S135" i="3"/>
  <c r="P135" i="3"/>
  <c r="M135" i="3"/>
  <c r="I135" i="3"/>
  <c r="Y134" i="3"/>
  <c r="V134" i="3"/>
  <c r="S134" i="3"/>
  <c r="P134" i="3"/>
  <c r="M134" i="3"/>
  <c r="AB134" i="3" s="1"/>
  <c r="I134" i="3"/>
  <c r="Y133" i="3"/>
  <c r="V133" i="3"/>
  <c r="S133" i="3"/>
  <c r="P133" i="3"/>
  <c r="M133" i="3"/>
  <c r="I133" i="3"/>
  <c r="AB133" i="3" s="1"/>
  <c r="Y132" i="3"/>
  <c r="V132" i="3"/>
  <c r="S132" i="3"/>
  <c r="AB132" i="3" s="1"/>
  <c r="P132" i="3"/>
  <c r="M132" i="3"/>
  <c r="I132" i="3"/>
  <c r="Y131" i="3"/>
  <c r="AB131" i="3" s="1"/>
  <c r="V131" i="3"/>
  <c r="S131" i="3"/>
  <c r="P131" i="3"/>
  <c r="M131" i="3"/>
  <c r="I131" i="3"/>
  <c r="Y130" i="3"/>
  <c r="V130" i="3"/>
  <c r="S130" i="3"/>
  <c r="P130" i="3"/>
  <c r="M130" i="3"/>
  <c r="I130" i="3"/>
  <c r="AB130" i="3" s="1"/>
  <c r="Y129" i="3"/>
  <c r="V129" i="3"/>
  <c r="S129" i="3"/>
  <c r="P129" i="3"/>
  <c r="M129" i="3"/>
  <c r="I129" i="3"/>
  <c r="AB129" i="3" s="1"/>
  <c r="Y128" i="3"/>
  <c r="V128" i="3"/>
  <c r="S128" i="3"/>
  <c r="P128" i="3"/>
  <c r="M128" i="3"/>
  <c r="I128" i="3"/>
  <c r="AB128" i="3" s="1"/>
  <c r="Y127" i="3"/>
  <c r="V127" i="3"/>
  <c r="S127" i="3"/>
  <c r="P127" i="3"/>
  <c r="AB127" i="3" s="1"/>
  <c r="M127" i="3"/>
  <c r="I127" i="3"/>
  <c r="Y126" i="3"/>
  <c r="V126" i="3"/>
  <c r="S126" i="3"/>
  <c r="P126" i="3"/>
  <c r="M126" i="3"/>
  <c r="I126" i="3"/>
  <c r="AB126" i="3" s="1"/>
  <c r="Y125" i="3"/>
  <c r="V125" i="3"/>
  <c r="S125" i="3"/>
  <c r="P125" i="3"/>
  <c r="M125" i="3"/>
  <c r="I125" i="3"/>
  <c r="AB125" i="3" s="1"/>
  <c r="AB124" i="3"/>
  <c r="Y124" i="3"/>
  <c r="V124" i="3"/>
  <c r="S124" i="3"/>
  <c r="P124" i="3"/>
  <c r="M124" i="3"/>
  <c r="I124" i="3"/>
  <c r="AB123" i="3"/>
  <c r="Y123" i="3"/>
  <c r="V123" i="3"/>
  <c r="S123" i="3"/>
  <c r="P123" i="3"/>
  <c r="M123" i="3"/>
  <c r="I123" i="3"/>
  <c r="Y122" i="3"/>
  <c r="V122" i="3"/>
  <c r="S122" i="3"/>
  <c r="P122" i="3"/>
  <c r="M122" i="3"/>
  <c r="AB122" i="3" s="1"/>
  <c r="I122" i="3"/>
  <c r="Y121" i="3"/>
  <c r="V121" i="3"/>
  <c r="S121" i="3"/>
  <c r="P121" i="3"/>
  <c r="M121" i="3"/>
  <c r="I121" i="3"/>
  <c r="AB121" i="3" s="1"/>
  <c r="Y120" i="3"/>
  <c r="AB120" i="3" s="1"/>
  <c r="V120" i="3"/>
  <c r="S120" i="3"/>
  <c r="P120" i="3"/>
  <c r="M120" i="3"/>
  <c r="I120" i="3"/>
  <c r="Y119" i="3"/>
  <c r="AB119" i="3" s="1"/>
  <c r="V119" i="3"/>
  <c r="S119" i="3"/>
  <c r="P119" i="3"/>
  <c r="M119" i="3"/>
  <c r="I119" i="3"/>
  <c r="Y118" i="3"/>
  <c r="V118" i="3"/>
  <c r="S118" i="3"/>
  <c r="P118" i="3"/>
  <c r="M118" i="3"/>
  <c r="I118" i="3"/>
  <c r="AB118" i="3" s="1"/>
  <c r="Y117" i="3"/>
  <c r="V117" i="3"/>
  <c r="S117" i="3"/>
  <c r="P117" i="3"/>
  <c r="M117" i="3"/>
  <c r="I117" i="3"/>
  <c r="AB117" i="3" s="1"/>
  <c r="Y116" i="3"/>
  <c r="V116" i="3"/>
  <c r="S116" i="3"/>
  <c r="P116" i="3"/>
  <c r="M116" i="3"/>
  <c r="I116" i="3"/>
  <c r="AB116" i="3" s="1"/>
  <c r="Y115" i="3"/>
  <c r="V115" i="3"/>
  <c r="S115" i="3"/>
  <c r="P115" i="3"/>
  <c r="AB115" i="3" s="1"/>
  <c r="M115" i="3"/>
  <c r="I115" i="3"/>
  <c r="Y114" i="3"/>
  <c r="V114" i="3"/>
  <c r="S114" i="3"/>
  <c r="P114" i="3"/>
  <c r="M114" i="3"/>
  <c r="I114" i="3"/>
  <c r="AB114" i="3" s="1"/>
  <c r="Y113" i="3"/>
  <c r="V113" i="3"/>
  <c r="S113" i="3"/>
  <c r="P113" i="3"/>
  <c r="M113" i="3"/>
  <c r="I113" i="3"/>
  <c r="AB113" i="3" s="1"/>
  <c r="AB112" i="3"/>
  <c r="Y112" i="3"/>
  <c r="V112" i="3"/>
  <c r="S112" i="3"/>
  <c r="P112" i="3"/>
  <c r="M112" i="3"/>
  <c r="I112" i="3"/>
  <c r="AB111" i="3"/>
  <c r="Y111" i="3"/>
  <c r="V111" i="3"/>
  <c r="S111" i="3"/>
  <c r="P111" i="3"/>
  <c r="M111" i="3"/>
  <c r="I111" i="3"/>
  <c r="Y110" i="3"/>
  <c r="V110" i="3"/>
  <c r="S110" i="3"/>
  <c r="P110" i="3"/>
  <c r="M110" i="3"/>
  <c r="AB110" i="3" s="1"/>
  <c r="I110" i="3"/>
  <c r="Y109" i="3"/>
  <c r="V109" i="3"/>
  <c r="S109" i="3"/>
  <c r="P109" i="3"/>
  <c r="M109" i="3"/>
  <c r="I109" i="3"/>
  <c r="AB109" i="3" s="1"/>
  <c r="Y108" i="3"/>
  <c r="AB108" i="3" s="1"/>
  <c r="V108" i="3"/>
  <c r="S108" i="3"/>
  <c r="P108" i="3"/>
  <c r="M108" i="3"/>
  <c r="I108" i="3"/>
  <c r="Y107" i="3"/>
  <c r="AB107" i="3" s="1"/>
  <c r="V107" i="3"/>
  <c r="S107" i="3"/>
  <c r="P107" i="3"/>
  <c r="M107" i="3"/>
  <c r="I107" i="3"/>
  <c r="Y106" i="3"/>
  <c r="V106" i="3"/>
  <c r="S106" i="3"/>
  <c r="P106" i="3"/>
  <c r="M106" i="3"/>
  <c r="I106" i="3"/>
  <c r="AB106" i="3" s="1"/>
  <c r="Y105" i="3"/>
  <c r="V105" i="3"/>
  <c r="S105" i="3"/>
  <c r="P105" i="3"/>
  <c r="M105" i="3"/>
  <c r="I105" i="3"/>
  <c r="AB105" i="3" s="1"/>
  <c r="Y104" i="3"/>
  <c r="V104" i="3"/>
  <c r="S104" i="3"/>
  <c r="P104" i="3"/>
  <c r="M104" i="3"/>
  <c r="I104" i="3"/>
  <c r="AB104" i="3" s="1"/>
  <c r="Y103" i="3"/>
  <c r="V103" i="3"/>
  <c r="S103" i="3"/>
  <c r="P103" i="3"/>
  <c r="AB103" i="3" s="1"/>
  <c r="M103" i="3"/>
  <c r="I103" i="3"/>
  <c r="Y102" i="3"/>
  <c r="V102" i="3"/>
  <c r="S102" i="3"/>
  <c r="P102" i="3"/>
  <c r="M102" i="3"/>
  <c r="I102" i="3"/>
  <c r="AB102" i="3" s="1"/>
  <c r="Y101" i="3"/>
  <c r="V101" i="3"/>
  <c r="S101" i="3"/>
  <c r="P101" i="3"/>
  <c r="M101" i="3"/>
  <c r="I101" i="3"/>
  <c r="AB101" i="3" s="1"/>
  <c r="AB100" i="3"/>
  <c r="Y100" i="3"/>
  <c r="V100" i="3"/>
  <c r="S100" i="3"/>
  <c r="P100" i="3"/>
  <c r="M100" i="3"/>
  <c r="I100" i="3"/>
  <c r="AB99" i="3"/>
  <c r="Y99" i="3"/>
  <c r="V99" i="3"/>
  <c r="S99" i="3"/>
  <c r="P99" i="3"/>
  <c r="M99" i="3"/>
  <c r="I99" i="3"/>
  <c r="Y98" i="3"/>
  <c r="V98" i="3"/>
  <c r="S98" i="3"/>
  <c r="P98" i="3"/>
  <c r="M98" i="3"/>
  <c r="AB98" i="3" s="1"/>
  <c r="I98" i="3"/>
  <c r="Y97" i="3"/>
  <c r="V97" i="3"/>
  <c r="S97" i="3"/>
  <c r="P97" i="3"/>
  <c r="M97" i="3"/>
  <c r="I97" i="3"/>
  <c r="AB97" i="3" s="1"/>
  <c r="Y96" i="3"/>
  <c r="AB96" i="3" s="1"/>
  <c r="V96" i="3"/>
  <c r="S96" i="3"/>
  <c r="P96" i="3"/>
  <c r="M96" i="3"/>
  <c r="I96" i="3"/>
  <c r="Y95" i="3"/>
  <c r="AB95" i="3" s="1"/>
  <c r="V95" i="3"/>
  <c r="S95" i="3"/>
  <c r="P95" i="3"/>
  <c r="M95" i="3"/>
  <c r="I95" i="3"/>
  <c r="Y94" i="3"/>
  <c r="V94" i="3"/>
  <c r="S94" i="3"/>
  <c r="P94" i="3"/>
  <c r="M94" i="3"/>
  <c r="I94" i="3"/>
  <c r="AB94" i="3" s="1"/>
  <c r="Y93" i="3"/>
  <c r="V93" i="3"/>
  <c r="S93" i="3"/>
  <c r="P93" i="3"/>
  <c r="M93" i="3"/>
  <c r="I93" i="3"/>
  <c r="AB93" i="3" s="1"/>
  <c r="Y92" i="3"/>
  <c r="V92" i="3"/>
  <c r="S92" i="3"/>
  <c r="P92" i="3"/>
  <c r="M92" i="3"/>
  <c r="I92" i="3"/>
  <c r="AB92" i="3" s="1"/>
  <c r="Y91" i="3"/>
  <c r="V91" i="3"/>
  <c r="S91" i="3"/>
  <c r="P91" i="3"/>
  <c r="AB91" i="3" s="1"/>
  <c r="M91" i="3"/>
  <c r="I91" i="3"/>
  <c r="Y90" i="3"/>
  <c r="V90" i="3"/>
  <c r="S90" i="3"/>
  <c r="P90" i="3"/>
  <c r="M90" i="3"/>
  <c r="I90" i="3"/>
  <c r="AB90" i="3" s="1"/>
  <c r="Y89" i="3"/>
  <c r="V89" i="3"/>
  <c r="S89" i="3"/>
  <c r="P89" i="3"/>
  <c r="M89" i="3"/>
  <c r="I89" i="3"/>
  <c r="AB89" i="3" s="1"/>
  <c r="AB88" i="3"/>
  <c r="Y88" i="3"/>
  <c r="V88" i="3"/>
  <c r="S88" i="3"/>
  <c r="P88" i="3"/>
  <c r="M88" i="3"/>
  <c r="I88" i="3"/>
  <c r="AB87" i="3"/>
  <c r="Y87" i="3"/>
  <c r="V87" i="3"/>
  <c r="S87" i="3"/>
  <c r="P87" i="3"/>
  <c r="M87" i="3"/>
  <c r="I87" i="3"/>
  <c r="Y86" i="3"/>
  <c r="V86" i="3"/>
  <c r="U86" i="3"/>
  <c r="S86" i="3" s="1"/>
  <c r="P86" i="3"/>
  <c r="AB86" i="3" s="1"/>
  <c r="M86" i="3"/>
  <c r="I86" i="3"/>
  <c r="Y85" i="3"/>
  <c r="V85" i="3"/>
  <c r="S85" i="3"/>
  <c r="P85" i="3"/>
  <c r="M85" i="3"/>
  <c r="I85" i="3"/>
  <c r="AB85" i="3" s="1"/>
  <c r="Y84" i="3"/>
  <c r="V84" i="3"/>
  <c r="S84" i="3"/>
  <c r="P84" i="3"/>
  <c r="M84" i="3"/>
  <c r="I84" i="3"/>
  <c r="AB84" i="3" s="1"/>
  <c r="AB83" i="3"/>
  <c r="Y83" i="3"/>
  <c r="V83" i="3"/>
  <c r="S83" i="3"/>
  <c r="P83" i="3"/>
  <c r="M83" i="3"/>
  <c r="I83" i="3"/>
  <c r="AB82" i="3"/>
  <c r="Y82" i="3"/>
  <c r="V82" i="3"/>
  <c r="S82" i="3"/>
  <c r="P82" i="3"/>
  <c r="M82" i="3"/>
  <c r="I82" i="3"/>
  <c r="Y81" i="3"/>
  <c r="V81" i="3"/>
  <c r="S81" i="3"/>
  <c r="P81" i="3"/>
  <c r="M81" i="3"/>
  <c r="AB81" i="3" s="1"/>
  <c r="I81" i="3"/>
  <c r="Y80" i="3"/>
  <c r="V80" i="3"/>
  <c r="S80" i="3"/>
  <c r="P80" i="3"/>
  <c r="M80" i="3"/>
  <c r="I80" i="3"/>
  <c r="AB80" i="3" s="1"/>
  <c r="Y79" i="3"/>
  <c r="AB79" i="3" s="1"/>
  <c r="V79" i="3"/>
  <c r="S79" i="3"/>
  <c r="P79" i="3"/>
  <c r="M79" i="3"/>
  <c r="I79" i="3"/>
  <c r="Y78" i="3"/>
  <c r="AB78" i="3" s="1"/>
  <c r="V78" i="3"/>
  <c r="S78" i="3"/>
  <c r="P78" i="3"/>
  <c r="M78" i="3"/>
  <c r="I78" i="3"/>
  <c r="Y77" i="3"/>
  <c r="V77" i="3"/>
  <c r="S77" i="3"/>
  <c r="P77" i="3"/>
  <c r="M77" i="3"/>
  <c r="I77" i="3"/>
  <c r="AB77" i="3" s="1"/>
  <c r="Y76" i="3"/>
  <c r="V76" i="3"/>
  <c r="S76" i="3"/>
  <c r="P76" i="3"/>
  <c r="M76" i="3"/>
  <c r="I76" i="3"/>
  <c r="AB76" i="3" s="1"/>
  <c r="Y75" i="3"/>
  <c r="V75" i="3"/>
  <c r="S75" i="3"/>
  <c r="P75" i="3"/>
  <c r="M75" i="3"/>
  <c r="I75" i="3"/>
  <c r="AB75" i="3" s="1"/>
  <c r="Y74" i="3"/>
  <c r="V74" i="3"/>
  <c r="S74" i="3"/>
  <c r="P74" i="3"/>
  <c r="AB74" i="3" s="1"/>
  <c r="M74" i="3"/>
  <c r="I74" i="3"/>
  <c r="Y73" i="3"/>
  <c r="V73" i="3"/>
  <c r="S73" i="3"/>
  <c r="P73" i="3"/>
  <c r="M73" i="3"/>
  <c r="I73" i="3"/>
  <c r="AB73" i="3" s="1"/>
  <c r="Y72" i="3"/>
  <c r="V72" i="3"/>
  <c r="S72" i="3"/>
  <c r="P72" i="3"/>
  <c r="M72" i="3"/>
  <c r="I72" i="3"/>
  <c r="AB72" i="3" s="1"/>
  <c r="AB71" i="3"/>
  <c r="Y71" i="3"/>
  <c r="V71" i="3"/>
  <c r="S71" i="3"/>
  <c r="P71" i="3"/>
  <c r="M71" i="3"/>
  <c r="I71" i="3"/>
  <c r="AB70" i="3"/>
  <c r="Y70" i="3"/>
  <c r="V70" i="3"/>
  <c r="S70" i="3"/>
  <c r="P70" i="3"/>
  <c r="M70" i="3"/>
  <c r="I70" i="3"/>
  <c r="Y69" i="3"/>
  <c r="V69" i="3"/>
  <c r="S69" i="3"/>
  <c r="P69" i="3"/>
  <c r="M69" i="3"/>
  <c r="AB69" i="3" s="1"/>
  <c r="I69" i="3"/>
  <c r="Y68" i="3"/>
  <c r="V68" i="3"/>
  <c r="S68" i="3"/>
  <c r="P68" i="3"/>
  <c r="M68" i="3"/>
  <c r="I68" i="3"/>
  <c r="AB68" i="3" s="1"/>
  <c r="Y67" i="3"/>
  <c r="AB67" i="3" s="1"/>
  <c r="V67" i="3"/>
  <c r="S67" i="3"/>
  <c r="P67" i="3"/>
  <c r="M67" i="3"/>
  <c r="I67" i="3"/>
  <c r="Y66" i="3"/>
  <c r="AB66" i="3" s="1"/>
  <c r="V66" i="3"/>
  <c r="S66" i="3"/>
  <c r="P66" i="3"/>
  <c r="M66" i="3"/>
  <c r="I66" i="3"/>
  <c r="Y65" i="3"/>
  <c r="V65" i="3"/>
  <c r="S65" i="3"/>
  <c r="P65" i="3"/>
  <c r="M65" i="3"/>
  <c r="I65" i="3"/>
  <c r="AB65" i="3" s="1"/>
  <c r="Y64" i="3"/>
  <c r="V64" i="3"/>
  <c r="S64" i="3"/>
  <c r="P64" i="3"/>
  <c r="M64" i="3"/>
  <c r="I64" i="3"/>
  <c r="AB64" i="3" s="1"/>
  <c r="Y63" i="3"/>
  <c r="V63" i="3"/>
  <c r="S63" i="3"/>
  <c r="P63" i="3"/>
  <c r="M63" i="3"/>
  <c r="I63" i="3"/>
  <c r="AB63" i="3" s="1"/>
  <c r="Y62" i="3"/>
  <c r="V62" i="3"/>
  <c r="S62" i="3"/>
  <c r="P62" i="3"/>
  <c r="AB62" i="3" s="1"/>
  <c r="M62" i="3"/>
  <c r="I62" i="3"/>
  <c r="Y61" i="3"/>
  <c r="V61" i="3"/>
  <c r="S61" i="3"/>
  <c r="P61" i="3"/>
  <c r="M61" i="3"/>
  <c r="I61" i="3"/>
  <c r="AB61" i="3" s="1"/>
  <c r="Y60" i="3"/>
  <c r="V60" i="3"/>
  <c r="S60" i="3"/>
  <c r="P60" i="3"/>
  <c r="M60" i="3"/>
  <c r="I60" i="3"/>
  <c r="AB60" i="3" s="1"/>
  <c r="AB59" i="3"/>
  <c r="Y59" i="3"/>
  <c r="V59" i="3"/>
  <c r="S59" i="3"/>
  <c r="P59" i="3"/>
  <c r="M59" i="3"/>
  <c r="I59" i="3"/>
  <c r="AB58" i="3"/>
  <c r="Y58" i="3"/>
  <c r="V58" i="3"/>
  <c r="S58" i="3"/>
  <c r="P58" i="3"/>
  <c r="M58" i="3"/>
  <c r="I58" i="3"/>
  <c r="Y57" i="3"/>
  <c r="V57" i="3"/>
  <c r="S57" i="3"/>
  <c r="P57" i="3"/>
  <c r="M57" i="3"/>
  <c r="AB57" i="3" s="1"/>
  <c r="I57" i="3"/>
  <c r="Y56" i="3"/>
  <c r="V56" i="3"/>
  <c r="S56" i="3"/>
  <c r="P56" i="3"/>
  <c r="M56" i="3"/>
  <c r="I56" i="3"/>
  <c r="AB56" i="3" s="1"/>
  <c r="Y55" i="3"/>
  <c r="AB55" i="3" s="1"/>
  <c r="V55" i="3"/>
  <c r="S55" i="3"/>
  <c r="P55" i="3"/>
  <c r="M55" i="3"/>
  <c r="I55" i="3"/>
  <c r="Y54" i="3"/>
  <c r="V54" i="3"/>
  <c r="AB54" i="3" s="1"/>
  <c r="S54" i="3"/>
  <c r="P54" i="3"/>
  <c r="M54" i="3"/>
  <c r="I54" i="3"/>
  <c r="Y53" i="3"/>
  <c r="V53" i="3"/>
  <c r="S53" i="3"/>
  <c r="P53" i="3"/>
  <c r="M53" i="3"/>
  <c r="I53" i="3"/>
  <c r="AB53" i="3" s="1"/>
  <c r="Y52" i="3"/>
  <c r="V52" i="3"/>
  <c r="S52" i="3"/>
  <c r="P52" i="3"/>
  <c r="M52" i="3"/>
  <c r="I52" i="3"/>
  <c r="AB52" i="3" s="1"/>
  <c r="Y51" i="3"/>
  <c r="V51" i="3"/>
  <c r="S51" i="3"/>
  <c r="P51" i="3"/>
  <c r="M51" i="3"/>
  <c r="I51" i="3"/>
  <c r="AB51" i="3" s="1"/>
  <c r="Y50" i="3"/>
  <c r="V50" i="3"/>
  <c r="S50" i="3"/>
  <c r="P50" i="3"/>
  <c r="AB50" i="3" s="1"/>
  <c r="M50" i="3"/>
  <c r="I50" i="3"/>
  <c r="Y49" i="3"/>
  <c r="V49" i="3"/>
  <c r="S49" i="3"/>
  <c r="P49" i="3"/>
  <c r="M49" i="3"/>
  <c r="I49" i="3"/>
  <c r="AB49" i="3" s="1"/>
  <c r="Y48" i="3"/>
  <c r="V48" i="3"/>
  <c r="S48" i="3"/>
  <c r="P48" i="3"/>
  <c r="M48" i="3"/>
  <c r="I48" i="3"/>
  <c r="AB48" i="3" s="1"/>
  <c r="AB47" i="3"/>
  <c r="Y47" i="3"/>
  <c r="V47" i="3"/>
  <c r="S47" i="3"/>
  <c r="P47" i="3"/>
  <c r="M47" i="3"/>
  <c r="I47" i="3"/>
  <c r="AB46" i="3"/>
  <c r="Y46" i="3"/>
  <c r="V46" i="3"/>
  <c r="S46" i="3"/>
  <c r="P46" i="3"/>
  <c r="M46" i="3"/>
  <c r="I46" i="3"/>
  <c r="Y45" i="3"/>
  <c r="V45" i="3"/>
  <c r="S45" i="3"/>
  <c r="P45" i="3"/>
  <c r="M45" i="3"/>
  <c r="AB45" i="3" s="1"/>
  <c r="I45" i="3"/>
  <c r="Y44" i="3"/>
  <c r="V44" i="3"/>
  <c r="S44" i="3"/>
  <c r="P44" i="3"/>
  <c r="M44" i="3"/>
  <c r="I44" i="3"/>
  <c r="AB44" i="3" s="1"/>
  <c r="Y43" i="3"/>
  <c r="AB43" i="3" s="1"/>
  <c r="V43" i="3"/>
  <c r="S43" i="3"/>
  <c r="P43" i="3"/>
  <c r="M43" i="3"/>
  <c r="I43" i="3"/>
  <c r="Y42" i="3"/>
  <c r="V42" i="3"/>
  <c r="AB42" i="3" s="1"/>
  <c r="S42" i="3"/>
  <c r="P42" i="3"/>
  <c r="M42" i="3"/>
  <c r="I42" i="3"/>
  <c r="Y41" i="3"/>
  <c r="V41" i="3"/>
  <c r="S41" i="3"/>
  <c r="P41" i="3"/>
  <c r="M41" i="3"/>
  <c r="I41" i="3"/>
  <c r="AB41" i="3" s="1"/>
  <c r="Y40" i="3"/>
  <c r="V40" i="3"/>
  <c r="S40" i="3"/>
  <c r="P40" i="3"/>
  <c r="M40" i="3"/>
  <c r="I40" i="3"/>
  <c r="AB40" i="3" s="1"/>
  <c r="Y39" i="3"/>
  <c r="V39" i="3"/>
  <c r="S39" i="3"/>
  <c r="P39" i="3"/>
  <c r="M39" i="3"/>
  <c r="I39" i="3"/>
  <c r="AB39" i="3" s="1"/>
  <c r="Y38" i="3"/>
  <c r="V38" i="3"/>
  <c r="S38" i="3"/>
  <c r="P38" i="3"/>
  <c r="AB38" i="3" s="1"/>
  <c r="M38" i="3"/>
  <c r="I38" i="3"/>
  <c r="Y37" i="3"/>
  <c r="V37" i="3"/>
  <c r="S37" i="3"/>
  <c r="P37" i="3"/>
  <c r="M37" i="3"/>
  <c r="I37" i="3"/>
  <c r="AB37" i="3" s="1"/>
  <c r="Y36" i="3"/>
  <c r="V36" i="3"/>
  <c r="S36" i="3"/>
  <c r="P36" i="3"/>
  <c r="M36" i="3"/>
  <c r="I36" i="3"/>
  <c r="AB36" i="3" s="1"/>
  <c r="AB35" i="3"/>
  <c r="Y35" i="3"/>
  <c r="V35" i="3"/>
  <c r="S35" i="3"/>
  <c r="P35" i="3"/>
  <c r="M35" i="3"/>
  <c r="I35" i="3"/>
  <c r="AB34" i="3"/>
  <c r="Y34" i="3"/>
  <c r="V34" i="3"/>
  <c r="S34" i="3"/>
  <c r="P34" i="3"/>
  <c r="M34" i="3"/>
  <c r="I34" i="3"/>
  <c r="Y33" i="3"/>
  <c r="V33" i="3"/>
  <c r="S33" i="3"/>
  <c r="P33" i="3"/>
  <c r="M33" i="3"/>
  <c r="AB33" i="3" s="1"/>
  <c r="I33" i="3"/>
  <c r="Y32" i="3"/>
  <c r="V32" i="3"/>
  <c r="S32" i="3"/>
  <c r="P32" i="3"/>
  <c r="M32" i="3"/>
  <c r="I32" i="3"/>
  <c r="AB32" i="3" s="1"/>
  <c r="Y31" i="3"/>
  <c r="AB31" i="3" s="1"/>
  <c r="V31" i="3"/>
  <c r="S31" i="3"/>
  <c r="P31" i="3"/>
  <c r="M31" i="3"/>
  <c r="I31" i="3"/>
  <c r="Y30" i="3"/>
  <c r="V30" i="3"/>
  <c r="AB30" i="3" s="1"/>
  <c r="S30" i="3"/>
  <c r="P30" i="3"/>
  <c r="M30" i="3"/>
  <c r="I30" i="3"/>
  <c r="Y29" i="3"/>
  <c r="V29" i="3"/>
  <c r="S29" i="3"/>
  <c r="P29" i="3"/>
  <c r="M29" i="3"/>
  <c r="I29" i="3"/>
  <c r="AB29" i="3" s="1"/>
  <c r="Y28" i="3"/>
  <c r="V28" i="3"/>
  <c r="S28" i="3"/>
  <c r="P28" i="3"/>
  <c r="M28" i="3"/>
  <c r="I28" i="3"/>
  <c r="AB28" i="3" s="1"/>
  <c r="Y27" i="3"/>
  <c r="V27" i="3"/>
  <c r="S27" i="3"/>
  <c r="P27" i="3"/>
  <c r="M27" i="3"/>
  <c r="I27" i="3"/>
  <c r="AB27" i="3" s="1"/>
  <c r="Y26" i="3"/>
  <c r="V26" i="3"/>
  <c r="S26" i="3"/>
  <c r="P26" i="3"/>
  <c r="AB26" i="3" s="1"/>
  <c r="M26" i="3"/>
  <c r="I26" i="3"/>
  <c r="Y25" i="3"/>
  <c r="V25" i="3"/>
  <c r="S25" i="3"/>
  <c r="P25" i="3"/>
  <c r="M25" i="3"/>
  <c r="I25" i="3"/>
  <c r="AB25" i="3" s="1"/>
  <c r="Y24" i="3"/>
  <c r="V24" i="3"/>
  <c r="S24" i="3"/>
  <c r="P24" i="3"/>
  <c r="M24" i="3"/>
  <c r="I24" i="3"/>
  <c r="AB24" i="3" s="1"/>
  <c r="Y23" i="3"/>
  <c r="V23" i="3"/>
  <c r="AB23" i="3" s="1"/>
  <c r="S23" i="3"/>
  <c r="P23" i="3"/>
  <c r="M23" i="3"/>
  <c r="I23" i="3"/>
  <c r="AB22" i="3"/>
  <c r="Y22" i="3"/>
  <c r="V22" i="3"/>
  <c r="S22" i="3"/>
  <c r="P22" i="3"/>
  <c r="M22" i="3"/>
  <c r="I22" i="3"/>
  <c r="Y21" i="3"/>
  <c r="V21" i="3"/>
  <c r="S21" i="3"/>
  <c r="P21" i="3"/>
  <c r="M21" i="3"/>
  <c r="AB21" i="3" s="1"/>
  <c r="I21" i="3"/>
  <c r="Y20" i="3"/>
  <c r="V20" i="3"/>
  <c r="S20" i="3"/>
  <c r="P20" i="3"/>
  <c r="M20" i="3"/>
  <c r="I20" i="3"/>
  <c r="AB20" i="3" s="1"/>
  <c r="Y19" i="3"/>
  <c r="AB19" i="3" s="1"/>
  <c r="V19" i="3"/>
  <c r="S19" i="3"/>
  <c r="P19" i="3"/>
  <c r="M19" i="3"/>
  <c r="I19" i="3"/>
  <c r="Y18" i="3"/>
  <c r="V18" i="3"/>
  <c r="AB18" i="3" s="1"/>
  <c r="S18" i="3"/>
  <c r="P18" i="3"/>
  <c r="M18" i="3"/>
  <c r="I18" i="3"/>
  <c r="Y17" i="3"/>
  <c r="V17" i="3"/>
  <c r="S17" i="3"/>
  <c r="P17" i="3"/>
  <c r="M17" i="3"/>
  <c r="I17" i="3"/>
  <c r="AB17" i="3" s="1"/>
  <c r="Y16" i="3"/>
  <c r="V16" i="3"/>
  <c r="S16" i="3"/>
  <c r="P16" i="3"/>
  <c r="M16" i="3"/>
  <c r="I16" i="3"/>
  <c r="AB16" i="3" s="1"/>
  <c r="Y15" i="3"/>
  <c r="V15" i="3"/>
  <c r="S15" i="3"/>
  <c r="P15" i="3"/>
  <c r="M15" i="3"/>
  <c r="I15" i="3"/>
  <c r="AB15" i="3" s="1"/>
  <c r="Y14" i="3"/>
  <c r="V14" i="3"/>
  <c r="S14" i="3"/>
  <c r="P14" i="3"/>
  <c r="AB14" i="3" s="1"/>
  <c r="M14" i="3"/>
  <c r="I14" i="3"/>
  <c r="Y13" i="3"/>
  <c r="V13" i="3"/>
  <c r="S13" i="3"/>
  <c r="P13" i="3"/>
  <c r="M13" i="3"/>
  <c r="I13" i="3"/>
  <c r="AB13" i="3" s="1"/>
  <c r="Y12" i="3"/>
  <c r="V12" i="3"/>
  <c r="S12" i="3"/>
  <c r="P12" i="3"/>
  <c r="M12" i="3"/>
  <c r="I12" i="3"/>
  <c r="AB12" i="3" s="1"/>
  <c r="Y11" i="3"/>
  <c r="V11" i="3"/>
  <c r="AB11" i="3" s="1"/>
  <c r="S11" i="3"/>
  <c r="P11" i="3"/>
  <c r="M11" i="3"/>
  <c r="I11" i="3"/>
  <c r="AB10" i="3"/>
  <c r="Y10" i="3"/>
  <c r="V10" i="3"/>
  <c r="S10" i="3"/>
  <c r="P10" i="3"/>
  <c r="M10" i="3"/>
  <c r="I10" i="3"/>
  <c r="Y9" i="3"/>
  <c r="V9" i="3"/>
  <c r="S9" i="3"/>
  <c r="P9" i="3"/>
  <c r="M9" i="3"/>
  <c r="AB9" i="3" s="1"/>
  <c r="I9" i="3"/>
  <c r="Y8" i="3"/>
  <c r="V8" i="3"/>
  <c r="S8" i="3"/>
  <c r="P8" i="3"/>
  <c r="M8" i="3"/>
  <c r="I8" i="3"/>
  <c r="AB8" i="3" s="1"/>
  <c r="Y7" i="3"/>
  <c r="AB7" i="3" s="1"/>
  <c r="V7" i="3"/>
  <c r="S7" i="3"/>
  <c r="P7" i="3"/>
  <c r="M7" i="3"/>
  <c r="I7" i="3"/>
  <c r="Y6" i="3"/>
  <c r="V6" i="3"/>
  <c r="AB6" i="3" s="1"/>
  <c r="S6" i="3"/>
  <c r="P6" i="3"/>
  <c r="M6" i="3"/>
  <c r="I6" i="3"/>
  <c r="Y5" i="3"/>
  <c r="V5" i="3"/>
  <c r="S5" i="3"/>
  <c r="P5" i="3"/>
  <c r="M5" i="3"/>
  <c r="I5" i="3"/>
  <c r="AB5" i="3" s="1"/>
  <c r="Y4" i="3"/>
  <c r="V4" i="3"/>
  <c r="S4" i="3"/>
  <c r="P4" i="3"/>
  <c r="M4" i="3"/>
  <c r="I4" i="3"/>
  <c r="AB4" i="3" s="1"/>
  <c r="I713" i="2" l="1"/>
  <c r="L713" i="2"/>
  <c r="O713" i="2"/>
  <c r="R713" i="2"/>
  <c r="U713" i="2"/>
  <c r="X713" i="2"/>
  <c r="AA713" i="2" l="1"/>
  <c r="I703" i="2" l="1"/>
  <c r="I704" i="2"/>
  <c r="I705" i="2"/>
  <c r="I706" i="2"/>
  <c r="I707" i="2"/>
  <c r="I708" i="2"/>
  <c r="I709" i="2"/>
  <c r="I710" i="2"/>
  <c r="I711" i="2"/>
  <c r="I712" i="2"/>
  <c r="I702" i="2"/>
  <c r="L703" i="2"/>
  <c r="O703" i="2"/>
  <c r="R703" i="2"/>
  <c r="U703" i="2"/>
  <c r="X703" i="2"/>
  <c r="L704" i="2"/>
  <c r="O704" i="2"/>
  <c r="R704" i="2"/>
  <c r="U704" i="2"/>
  <c r="X704" i="2"/>
  <c r="L705" i="2"/>
  <c r="O705" i="2"/>
  <c r="R705" i="2"/>
  <c r="U705" i="2"/>
  <c r="X705" i="2"/>
  <c r="L706" i="2"/>
  <c r="O706" i="2"/>
  <c r="R706" i="2"/>
  <c r="U706" i="2"/>
  <c r="X706" i="2"/>
  <c r="L707" i="2"/>
  <c r="O707" i="2"/>
  <c r="R707" i="2"/>
  <c r="U707" i="2"/>
  <c r="X707" i="2"/>
  <c r="L708" i="2"/>
  <c r="O708" i="2"/>
  <c r="R708" i="2"/>
  <c r="U708" i="2"/>
  <c r="X708" i="2"/>
  <c r="L709" i="2"/>
  <c r="O709" i="2"/>
  <c r="R709" i="2"/>
  <c r="U709" i="2"/>
  <c r="X709" i="2"/>
  <c r="L710" i="2"/>
  <c r="O710" i="2"/>
  <c r="R710" i="2"/>
  <c r="U710" i="2"/>
  <c r="X710" i="2"/>
  <c r="L711" i="2"/>
  <c r="O711" i="2"/>
  <c r="R711" i="2"/>
  <c r="U711" i="2"/>
  <c r="X711" i="2"/>
  <c r="L712" i="2"/>
  <c r="O712" i="2"/>
  <c r="R712" i="2"/>
  <c r="U712" i="2"/>
  <c r="X712" i="2"/>
  <c r="X702" i="2"/>
  <c r="U702" i="2"/>
  <c r="R702" i="2"/>
  <c r="O702" i="2"/>
  <c r="L702" i="2"/>
  <c r="AA705" i="2" l="1"/>
  <c r="AA709" i="2"/>
  <c r="AA707" i="2"/>
  <c r="AA703" i="2"/>
  <c r="AA704" i="2"/>
  <c r="AA706" i="2"/>
  <c r="AA708" i="2"/>
  <c r="AA712" i="2"/>
  <c r="AA711" i="2"/>
  <c r="AA710" i="2"/>
  <c r="AA702" i="2"/>
  <c r="I701" i="2" l="1"/>
  <c r="L701" i="2"/>
  <c r="O701" i="2"/>
  <c r="R701" i="2"/>
  <c r="U701" i="2"/>
  <c r="X701" i="2"/>
  <c r="AA701" i="2" l="1"/>
  <c r="I700" i="2" l="1"/>
  <c r="L700" i="2"/>
  <c r="O700" i="2"/>
  <c r="R700" i="2"/>
  <c r="U700" i="2"/>
  <c r="X700" i="2"/>
  <c r="AA700" i="2" l="1"/>
  <c r="I698" i="2" l="1"/>
  <c r="I699" i="2"/>
  <c r="L698" i="2"/>
  <c r="O698" i="2"/>
  <c r="R698" i="2"/>
  <c r="U698" i="2"/>
  <c r="X698" i="2"/>
  <c r="L699" i="2"/>
  <c r="O699" i="2"/>
  <c r="R699" i="2"/>
  <c r="U699" i="2"/>
  <c r="X699" i="2"/>
  <c r="I680" i="2"/>
  <c r="I681" i="2"/>
  <c r="I682" i="2"/>
  <c r="I683" i="2"/>
  <c r="I684" i="2"/>
  <c r="I685" i="2"/>
  <c r="I686" i="2"/>
  <c r="I687" i="2"/>
  <c r="I688" i="2"/>
  <c r="I689" i="2"/>
  <c r="I690" i="2"/>
  <c r="I691" i="2"/>
  <c r="I692" i="2"/>
  <c r="I693" i="2"/>
  <c r="I694" i="2"/>
  <c r="I695" i="2"/>
  <c r="I696" i="2"/>
  <c r="I697" i="2"/>
  <c r="I679" i="2"/>
  <c r="L680" i="2"/>
  <c r="O680" i="2"/>
  <c r="R680" i="2"/>
  <c r="U680" i="2"/>
  <c r="X680" i="2"/>
  <c r="L681" i="2"/>
  <c r="O681" i="2"/>
  <c r="R681" i="2"/>
  <c r="U681" i="2"/>
  <c r="X681" i="2"/>
  <c r="L682" i="2"/>
  <c r="O682" i="2"/>
  <c r="R682" i="2"/>
  <c r="U682" i="2"/>
  <c r="X682" i="2"/>
  <c r="L683" i="2"/>
  <c r="O683" i="2"/>
  <c r="R683" i="2"/>
  <c r="U683" i="2"/>
  <c r="X683" i="2"/>
  <c r="L684" i="2"/>
  <c r="O684" i="2"/>
  <c r="R684" i="2"/>
  <c r="U684" i="2"/>
  <c r="X684" i="2"/>
  <c r="L685" i="2"/>
  <c r="O685" i="2"/>
  <c r="R685" i="2"/>
  <c r="U685" i="2"/>
  <c r="X685" i="2"/>
  <c r="L686" i="2"/>
  <c r="O686" i="2"/>
  <c r="R686" i="2"/>
  <c r="U686" i="2"/>
  <c r="X686" i="2"/>
  <c r="L687" i="2"/>
  <c r="O687" i="2"/>
  <c r="R687" i="2"/>
  <c r="U687" i="2"/>
  <c r="X687" i="2"/>
  <c r="L688" i="2"/>
  <c r="O688" i="2"/>
  <c r="R688" i="2"/>
  <c r="U688" i="2"/>
  <c r="X688" i="2"/>
  <c r="L689" i="2"/>
  <c r="O689" i="2"/>
  <c r="R689" i="2"/>
  <c r="U689" i="2"/>
  <c r="X689" i="2"/>
  <c r="L690" i="2"/>
  <c r="O690" i="2"/>
  <c r="R690" i="2"/>
  <c r="U690" i="2"/>
  <c r="X690" i="2"/>
  <c r="L691" i="2"/>
  <c r="O691" i="2"/>
  <c r="R691" i="2"/>
  <c r="U691" i="2"/>
  <c r="X691" i="2"/>
  <c r="L692" i="2"/>
  <c r="O692" i="2"/>
  <c r="R692" i="2"/>
  <c r="U692" i="2"/>
  <c r="X692" i="2"/>
  <c r="L693" i="2"/>
  <c r="O693" i="2"/>
  <c r="R693" i="2"/>
  <c r="U693" i="2"/>
  <c r="X693" i="2"/>
  <c r="L694" i="2"/>
  <c r="O694" i="2"/>
  <c r="R694" i="2"/>
  <c r="U694" i="2"/>
  <c r="X694" i="2"/>
  <c r="L695" i="2"/>
  <c r="O695" i="2"/>
  <c r="R695" i="2"/>
  <c r="U695" i="2"/>
  <c r="X695" i="2"/>
  <c r="L696" i="2"/>
  <c r="O696" i="2"/>
  <c r="R696" i="2"/>
  <c r="U696" i="2"/>
  <c r="X696" i="2"/>
  <c r="L697" i="2"/>
  <c r="O697" i="2"/>
  <c r="R697" i="2"/>
  <c r="U697" i="2"/>
  <c r="X697" i="2"/>
  <c r="X679" i="2"/>
  <c r="U679" i="2"/>
  <c r="R679" i="2"/>
  <c r="O679" i="2"/>
  <c r="L679" i="2"/>
  <c r="AA698" i="2" l="1"/>
  <c r="AA693" i="2"/>
  <c r="AA691" i="2"/>
  <c r="AA699" i="2"/>
  <c r="AA681" i="2"/>
  <c r="AA683" i="2"/>
  <c r="AA688" i="2"/>
  <c r="AA695" i="2"/>
  <c r="AA697" i="2"/>
  <c r="AA692" i="2"/>
  <c r="AA696" i="2"/>
  <c r="AA694" i="2"/>
  <c r="AA690" i="2"/>
  <c r="AA680" i="2"/>
  <c r="AA689" i="2"/>
  <c r="AA687" i="2"/>
  <c r="AA684" i="2"/>
  <c r="AA682" i="2"/>
  <c r="AA679" i="2"/>
  <c r="AA686" i="2"/>
  <c r="AA685" i="2"/>
  <c r="I678" i="2"/>
  <c r="I677" i="2"/>
  <c r="L678" i="2"/>
  <c r="O678" i="2"/>
  <c r="R678" i="2"/>
  <c r="U678" i="2"/>
  <c r="X678" i="2"/>
  <c r="X677" i="2"/>
  <c r="U677" i="2"/>
  <c r="R677" i="2"/>
  <c r="O677" i="2"/>
  <c r="L677" i="2"/>
  <c r="T115" i="2"/>
  <c r="I662" i="2"/>
  <c r="I663" i="2"/>
  <c r="I664" i="2"/>
  <c r="I665" i="2"/>
  <c r="I666" i="2"/>
  <c r="I667" i="2"/>
  <c r="I668" i="2"/>
  <c r="I669" i="2"/>
  <c r="I670" i="2"/>
  <c r="I671" i="2"/>
  <c r="I672" i="2"/>
  <c r="I673" i="2"/>
  <c r="I674" i="2"/>
  <c r="I675" i="2"/>
  <c r="I676" i="2"/>
  <c r="I661" i="2"/>
  <c r="L662" i="2"/>
  <c r="O662" i="2"/>
  <c r="R662" i="2"/>
  <c r="U662" i="2"/>
  <c r="X662" i="2"/>
  <c r="L663" i="2"/>
  <c r="O663" i="2"/>
  <c r="R663" i="2"/>
  <c r="U663" i="2"/>
  <c r="X663" i="2"/>
  <c r="L664" i="2"/>
  <c r="O664" i="2"/>
  <c r="R664" i="2"/>
  <c r="U664" i="2"/>
  <c r="X664" i="2"/>
  <c r="L665" i="2"/>
  <c r="O665" i="2"/>
  <c r="R665" i="2"/>
  <c r="U665" i="2"/>
  <c r="X665" i="2"/>
  <c r="L666" i="2"/>
  <c r="O666" i="2"/>
  <c r="R666" i="2"/>
  <c r="U666" i="2"/>
  <c r="X666" i="2"/>
  <c r="L667" i="2"/>
  <c r="O667" i="2"/>
  <c r="R667" i="2"/>
  <c r="U667" i="2"/>
  <c r="X667" i="2"/>
  <c r="L668" i="2"/>
  <c r="O668" i="2"/>
  <c r="R668" i="2"/>
  <c r="U668" i="2"/>
  <c r="X668" i="2"/>
  <c r="L669" i="2"/>
  <c r="O669" i="2"/>
  <c r="R669" i="2"/>
  <c r="U669" i="2"/>
  <c r="X669" i="2"/>
  <c r="L670" i="2"/>
  <c r="O670" i="2"/>
  <c r="R670" i="2"/>
  <c r="U670" i="2"/>
  <c r="X670" i="2"/>
  <c r="L671" i="2"/>
  <c r="O671" i="2"/>
  <c r="R671" i="2"/>
  <c r="U671" i="2"/>
  <c r="X671" i="2"/>
  <c r="L672" i="2"/>
  <c r="O672" i="2"/>
  <c r="R672" i="2"/>
  <c r="U672" i="2"/>
  <c r="X672" i="2"/>
  <c r="L673" i="2"/>
  <c r="O673" i="2"/>
  <c r="R673" i="2"/>
  <c r="U673" i="2"/>
  <c r="X673" i="2"/>
  <c r="L674" i="2"/>
  <c r="O674" i="2"/>
  <c r="R674" i="2"/>
  <c r="U674" i="2"/>
  <c r="X674" i="2"/>
  <c r="L675" i="2"/>
  <c r="O675" i="2"/>
  <c r="R675" i="2"/>
  <c r="U675" i="2"/>
  <c r="X675" i="2"/>
  <c r="L676" i="2"/>
  <c r="O676" i="2"/>
  <c r="R676" i="2"/>
  <c r="U676" i="2"/>
  <c r="X676" i="2"/>
  <c r="X661" i="2"/>
  <c r="U661" i="2"/>
  <c r="R661" i="2"/>
  <c r="O661" i="2"/>
  <c r="L661" i="2"/>
  <c r="I640" i="2"/>
  <c r="I641" i="2"/>
  <c r="I642" i="2"/>
  <c r="I643" i="2"/>
  <c r="I644" i="2"/>
  <c r="I645" i="2"/>
  <c r="I646" i="2"/>
  <c r="I647" i="2"/>
  <c r="I648" i="2"/>
  <c r="I649" i="2"/>
  <c r="I650" i="2"/>
  <c r="I651" i="2"/>
  <c r="I652" i="2"/>
  <c r="I653" i="2"/>
  <c r="I654" i="2"/>
  <c r="I655" i="2"/>
  <c r="I656" i="2"/>
  <c r="I657" i="2"/>
  <c r="I658" i="2"/>
  <c r="I659" i="2"/>
  <c r="I660" i="2"/>
  <c r="I639" i="2"/>
  <c r="L640" i="2"/>
  <c r="O640" i="2"/>
  <c r="R640" i="2"/>
  <c r="U640" i="2"/>
  <c r="X640" i="2"/>
  <c r="L641" i="2"/>
  <c r="O641" i="2"/>
  <c r="R641" i="2"/>
  <c r="U641" i="2"/>
  <c r="X641" i="2"/>
  <c r="L642" i="2"/>
  <c r="O642" i="2"/>
  <c r="R642" i="2"/>
  <c r="U642" i="2"/>
  <c r="X642" i="2"/>
  <c r="L643" i="2"/>
  <c r="O643" i="2"/>
  <c r="R643" i="2"/>
  <c r="U643" i="2"/>
  <c r="X643" i="2"/>
  <c r="L644" i="2"/>
  <c r="O644" i="2"/>
  <c r="R644" i="2"/>
  <c r="U644" i="2"/>
  <c r="X644" i="2"/>
  <c r="L645" i="2"/>
  <c r="O645" i="2"/>
  <c r="R645" i="2"/>
  <c r="U645" i="2"/>
  <c r="X645" i="2"/>
  <c r="L646" i="2"/>
  <c r="O646" i="2"/>
  <c r="R646" i="2"/>
  <c r="U646" i="2"/>
  <c r="X646" i="2"/>
  <c r="L647" i="2"/>
  <c r="O647" i="2"/>
  <c r="R647" i="2"/>
  <c r="U647" i="2"/>
  <c r="X647" i="2"/>
  <c r="L648" i="2"/>
  <c r="O648" i="2"/>
  <c r="R648" i="2"/>
  <c r="U648" i="2"/>
  <c r="X648" i="2"/>
  <c r="L649" i="2"/>
  <c r="O649" i="2"/>
  <c r="R649" i="2"/>
  <c r="U649" i="2"/>
  <c r="X649" i="2"/>
  <c r="L650" i="2"/>
  <c r="O650" i="2"/>
  <c r="R650" i="2"/>
  <c r="U650" i="2"/>
  <c r="X650" i="2"/>
  <c r="L651" i="2"/>
  <c r="O651" i="2"/>
  <c r="R651" i="2"/>
  <c r="U651" i="2"/>
  <c r="X651" i="2"/>
  <c r="L652" i="2"/>
  <c r="O652" i="2"/>
  <c r="R652" i="2"/>
  <c r="U652" i="2"/>
  <c r="X652" i="2"/>
  <c r="L653" i="2"/>
  <c r="O653" i="2"/>
  <c r="R653" i="2"/>
  <c r="U653" i="2"/>
  <c r="X653" i="2"/>
  <c r="L654" i="2"/>
  <c r="O654" i="2"/>
  <c r="R654" i="2"/>
  <c r="U654" i="2"/>
  <c r="X654" i="2"/>
  <c r="L655" i="2"/>
  <c r="O655" i="2"/>
  <c r="R655" i="2"/>
  <c r="U655" i="2"/>
  <c r="X655" i="2"/>
  <c r="L656" i="2"/>
  <c r="O656" i="2"/>
  <c r="R656" i="2"/>
  <c r="U656" i="2"/>
  <c r="X656" i="2"/>
  <c r="L657" i="2"/>
  <c r="O657" i="2"/>
  <c r="R657" i="2"/>
  <c r="U657" i="2"/>
  <c r="X657" i="2"/>
  <c r="L658" i="2"/>
  <c r="O658" i="2"/>
  <c r="R658" i="2"/>
  <c r="U658" i="2"/>
  <c r="X658" i="2"/>
  <c r="L659" i="2"/>
  <c r="O659" i="2"/>
  <c r="R659" i="2"/>
  <c r="U659" i="2"/>
  <c r="X659" i="2"/>
  <c r="L660" i="2"/>
  <c r="O660" i="2"/>
  <c r="R660" i="2"/>
  <c r="U660" i="2"/>
  <c r="X660" i="2"/>
  <c r="X639" i="2"/>
  <c r="U639" i="2"/>
  <c r="R639" i="2"/>
  <c r="O639" i="2"/>
  <c r="L639" i="2"/>
  <c r="AA678" i="2" l="1"/>
  <c r="AA677" i="2"/>
  <c r="AA676" i="2"/>
  <c r="AA674" i="2"/>
  <c r="AA662" i="2"/>
  <c r="AA675" i="2"/>
  <c r="AA673" i="2"/>
  <c r="AA671" i="2"/>
  <c r="AA663" i="2"/>
  <c r="AA661" i="2"/>
  <c r="AA668" i="2"/>
  <c r="AA666" i="2"/>
  <c r="AA667" i="2"/>
  <c r="AA650" i="2"/>
  <c r="AA664" i="2"/>
  <c r="AA672" i="2"/>
  <c r="AA670" i="2"/>
  <c r="AA669" i="2"/>
  <c r="AA665" i="2"/>
  <c r="AA652" i="2"/>
  <c r="AA643" i="2"/>
  <c r="AA655" i="2"/>
  <c r="AA659" i="2"/>
  <c r="AA654" i="2"/>
  <c r="AA645" i="2"/>
  <c r="AA647" i="2"/>
  <c r="AA640" i="2"/>
  <c r="AA648" i="2"/>
  <c r="AA639" i="2"/>
  <c r="AA646" i="2"/>
  <c r="AA657" i="2"/>
  <c r="AA656" i="2"/>
  <c r="AA653" i="2"/>
  <c r="AA651" i="2"/>
  <c r="AA649" i="2"/>
  <c r="AA644" i="2"/>
  <c r="AA642" i="2"/>
  <c r="AA641" i="2"/>
  <c r="AA660" i="2"/>
  <c r="AA658" i="2"/>
  <c r="I638" i="2"/>
  <c r="L638" i="2"/>
  <c r="O638" i="2"/>
  <c r="R638" i="2"/>
  <c r="U638" i="2"/>
  <c r="X638" i="2"/>
  <c r="I627" i="2"/>
  <c r="I628" i="2"/>
  <c r="I629" i="2"/>
  <c r="I630" i="2"/>
  <c r="I631" i="2"/>
  <c r="I632" i="2"/>
  <c r="I633" i="2"/>
  <c r="I634" i="2"/>
  <c r="I635" i="2"/>
  <c r="I636" i="2"/>
  <c r="I637" i="2"/>
  <c r="I626" i="2"/>
  <c r="L627" i="2"/>
  <c r="O627" i="2"/>
  <c r="R627" i="2"/>
  <c r="U627" i="2"/>
  <c r="X627" i="2"/>
  <c r="L628" i="2"/>
  <c r="O628" i="2"/>
  <c r="R628" i="2"/>
  <c r="U628" i="2"/>
  <c r="X628" i="2"/>
  <c r="L629" i="2"/>
  <c r="O629" i="2"/>
  <c r="R629" i="2"/>
  <c r="U629" i="2"/>
  <c r="X629" i="2"/>
  <c r="L630" i="2"/>
  <c r="O630" i="2"/>
  <c r="R630" i="2"/>
  <c r="U630" i="2"/>
  <c r="X630" i="2"/>
  <c r="L631" i="2"/>
  <c r="O631" i="2"/>
  <c r="R631" i="2"/>
  <c r="U631" i="2"/>
  <c r="X631" i="2"/>
  <c r="L632" i="2"/>
  <c r="O632" i="2"/>
  <c r="R632" i="2"/>
  <c r="U632" i="2"/>
  <c r="X632" i="2"/>
  <c r="L633" i="2"/>
  <c r="O633" i="2"/>
  <c r="R633" i="2"/>
  <c r="U633" i="2"/>
  <c r="X633" i="2"/>
  <c r="L634" i="2"/>
  <c r="O634" i="2"/>
  <c r="R634" i="2"/>
  <c r="U634" i="2"/>
  <c r="X634" i="2"/>
  <c r="L635" i="2"/>
  <c r="O635" i="2"/>
  <c r="R635" i="2"/>
  <c r="U635" i="2"/>
  <c r="X635" i="2"/>
  <c r="L636" i="2"/>
  <c r="O636" i="2"/>
  <c r="R636" i="2"/>
  <c r="U636" i="2"/>
  <c r="X636" i="2"/>
  <c r="L637" i="2"/>
  <c r="O637" i="2"/>
  <c r="R637" i="2"/>
  <c r="U637" i="2"/>
  <c r="X637" i="2"/>
  <c r="X626" i="2"/>
  <c r="U626" i="2"/>
  <c r="R626" i="2"/>
  <c r="O626" i="2"/>
  <c r="L626" i="2"/>
  <c r="I625" i="2"/>
  <c r="L625" i="2"/>
  <c r="O625" i="2"/>
  <c r="R625" i="2"/>
  <c r="U625" i="2"/>
  <c r="X625" i="2"/>
  <c r="AA628" i="2" l="1"/>
  <c r="AA637" i="2"/>
  <c r="AA634" i="2"/>
  <c r="AA638" i="2"/>
  <c r="AA630" i="2"/>
  <c r="AA627" i="2"/>
  <c r="AA636" i="2"/>
  <c r="AA635" i="2"/>
  <c r="AA633" i="2"/>
  <c r="AA632" i="2"/>
  <c r="AA631" i="2"/>
  <c r="AA629" i="2"/>
  <c r="AA626" i="2"/>
  <c r="AA625" i="2"/>
  <c r="I623" i="2"/>
  <c r="I624" i="2"/>
  <c r="L623" i="2"/>
  <c r="O623" i="2"/>
  <c r="R623" i="2"/>
  <c r="U623" i="2"/>
  <c r="X623" i="2"/>
  <c r="L624" i="2"/>
  <c r="O624" i="2"/>
  <c r="R624" i="2"/>
  <c r="U624" i="2"/>
  <c r="X624" i="2"/>
  <c r="I622" i="2"/>
  <c r="L622" i="2"/>
  <c r="O622" i="2"/>
  <c r="R622" i="2"/>
  <c r="U622" i="2"/>
  <c r="X622" i="2"/>
  <c r="AA622" i="2" l="1"/>
  <c r="AA623" i="2"/>
  <c r="AA624" i="2"/>
  <c r="I601" i="2"/>
  <c r="I602" i="2"/>
  <c r="I603" i="2"/>
  <c r="I604" i="2"/>
  <c r="I605" i="2"/>
  <c r="I606" i="2"/>
  <c r="I607" i="2"/>
  <c r="I608" i="2"/>
  <c r="I609" i="2"/>
  <c r="I610" i="2"/>
  <c r="I611" i="2"/>
  <c r="I612" i="2"/>
  <c r="I613" i="2"/>
  <c r="I614" i="2"/>
  <c r="I615" i="2"/>
  <c r="I616" i="2"/>
  <c r="I617" i="2"/>
  <c r="I618" i="2"/>
  <c r="I619" i="2"/>
  <c r="I620" i="2"/>
  <c r="I621" i="2"/>
  <c r="I600" i="2"/>
  <c r="L601" i="2"/>
  <c r="O601" i="2"/>
  <c r="R601" i="2"/>
  <c r="U601" i="2"/>
  <c r="X601" i="2"/>
  <c r="L602" i="2"/>
  <c r="O602" i="2"/>
  <c r="R602" i="2"/>
  <c r="U602" i="2"/>
  <c r="X602" i="2"/>
  <c r="L603" i="2"/>
  <c r="O603" i="2"/>
  <c r="R603" i="2"/>
  <c r="U603" i="2"/>
  <c r="X603" i="2"/>
  <c r="L604" i="2"/>
  <c r="O604" i="2"/>
  <c r="R604" i="2"/>
  <c r="U604" i="2"/>
  <c r="X604" i="2"/>
  <c r="L605" i="2"/>
  <c r="O605" i="2"/>
  <c r="R605" i="2"/>
  <c r="U605" i="2"/>
  <c r="X605" i="2"/>
  <c r="L606" i="2"/>
  <c r="O606" i="2"/>
  <c r="R606" i="2"/>
  <c r="U606" i="2"/>
  <c r="X606" i="2"/>
  <c r="L607" i="2"/>
  <c r="O607" i="2"/>
  <c r="R607" i="2"/>
  <c r="U607" i="2"/>
  <c r="X607" i="2"/>
  <c r="L608" i="2"/>
  <c r="O608" i="2"/>
  <c r="R608" i="2"/>
  <c r="U608" i="2"/>
  <c r="X608" i="2"/>
  <c r="L609" i="2"/>
  <c r="O609" i="2"/>
  <c r="R609" i="2"/>
  <c r="U609" i="2"/>
  <c r="X609" i="2"/>
  <c r="L610" i="2"/>
  <c r="O610" i="2"/>
  <c r="R610" i="2"/>
  <c r="U610" i="2"/>
  <c r="X610" i="2"/>
  <c r="L611" i="2"/>
  <c r="O611" i="2"/>
  <c r="R611" i="2"/>
  <c r="U611" i="2"/>
  <c r="X611" i="2"/>
  <c r="L612" i="2"/>
  <c r="O612" i="2"/>
  <c r="R612" i="2"/>
  <c r="U612" i="2"/>
  <c r="X612" i="2"/>
  <c r="L613" i="2"/>
  <c r="O613" i="2"/>
  <c r="R613" i="2"/>
  <c r="U613" i="2"/>
  <c r="X613" i="2"/>
  <c r="L614" i="2"/>
  <c r="O614" i="2"/>
  <c r="R614" i="2"/>
  <c r="U614" i="2"/>
  <c r="X614" i="2"/>
  <c r="L615" i="2"/>
  <c r="O615" i="2"/>
  <c r="R615" i="2"/>
  <c r="U615" i="2"/>
  <c r="X615" i="2"/>
  <c r="L616" i="2"/>
  <c r="O616" i="2"/>
  <c r="R616" i="2"/>
  <c r="U616" i="2"/>
  <c r="X616" i="2"/>
  <c r="L617" i="2"/>
  <c r="O617" i="2"/>
  <c r="R617" i="2"/>
  <c r="U617" i="2"/>
  <c r="X617" i="2"/>
  <c r="L618" i="2"/>
  <c r="O618" i="2"/>
  <c r="R618" i="2"/>
  <c r="U618" i="2"/>
  <c r="X618" i="2"/>
  <c r="L619" i="2"/>
  <c r="O619" i="2"/>
  <c r="R619" i="2"/>
  <c r="U619" i="2"/>
  <c r="X619" i="2"/>
  <c r="L620" i="2"/>
  <c r="O620" i="2"/>
  <c r="R620" i="2"/>
  <c r="U620" i="2"/>
  <c r="X620" i="2"/>
  <c r="L621" i="2"/>
  <c r="O621" i="2"/>
  <c r="R621" i="2"/>
  <c r="U621" i="2"/>
  <c r="X621" i="2"/>
  <c r="X600" i="2"/>
  <c r="U600" i="2"/>
  <c r="R600" i="2"/>
  <c r="O600" i="2"/>
  <c r="L600" i="2"/>
  <c r="I599" i="2"/>
  <c r="L599" i="2"/>
  <c r="O599" i="2"/>
  <c r="R599" i="2"/>
  <c r="U599" i="2"/>
  <c r="X599" i="2"/>
  <c r="AA618" i="2" l="1"/>
  <c r="AA606" i="2"/>
  <c r="AA602" i="2"/>
  <c r="AA613" i="2"/>
  <c r="AA611" i="2"/>
  <c r="AA615" i="2"/>
  <c r="AA620" i="2"/>
  <c r="AA610" i="2"/>
  <c r="AA619" i="2"/>
  <c r="AA616" i="2"/>
  <c r="AA603" i="2"/>
  <c r="AA614" i="2"/>
  <c r="AA621" i="2"/>
  <c r="AA607" i="2"/>
  <c r="AA617" i="2"/>
  <c r="AA604" i="2"/>
  <c r="AA605" i="2"/>
  <c r="AA612" i="2"/>
  <c r="AA609" i="2"/>
  <c r="AA608" i="2"/>
  <c r="AA601" i="2"/>
  <c r="AA600" i="2"/>
  <c r="AA599" i="2"/>
  <c r="I589" i="2"/>
  <c r="I590" i="2"/>
  <c r="I591" i="2"/>
  <c r="I592" i="2"/>
  <c r="I593" i="2"/>
  <c r="I594" i="2"/>
  <c r="I595" i="2"/>
  <c r="I596" i="2"/>
  <c r="I597" i="2"/>
  <c r="I598" i="2"/>
  <c r="I588" i="2"/>
  <c r="L589" i="2"/>
  <c r="O589" i="2"/>
  <c r="R589" i="2"/>
  <c r="U589" i="2"/>
  <c r="X589" i="2"/>
  <c r="L590" i="2"/>
  <c r="O590" i="2"/>
  <c r="R590" i="2"/>
  <c r="U590" i="2"/>
  <c r="X590" i="2"/>
  <c r="L591" i="2"/>
  <c r="O591" i="2"/>
  <c r="R591" i="2"/>
  <c r="U591" i="2"/>
  <c r="X591" i="2"/>
  <c r="L592" i="2"/>
  <c r="O592" i="2"/>
  <c r="R592" i="2"/>
  <c r="U592" i="2"/>
  <c r="X592" i="2"/>
  <c r="L593" i="2"/>
  <c r="O593" i="2"/>
  <c r="R593" i="2"/>
  <c r="U593" i="2"/>
  <c r="X593" i="2"/>
  <c r="L594" i="2"/>
  <c r="O594" i="2"/>
  <c r="R594" i="2"/>
  <c r="U594" i="2"/>
  <c r="X594" i="2"/>
  <c r="L595" i="2"/>
  <c r="O595" i="2"/>
  <c r="R595" i="2"/>
  <c r="U595" i="2"/>
  <c r="X595" i="2"/>
  <c r="L596" i="2"/>
  <c r="O596" i="2"/>
  <c r="R596" i="2"/>
  <c r="U596" i="2"/>
  <c r="X596" i="2"/>
  <c r="L597" i="2"/>
  <c r="O597" i="2"/>
  <c r="R597" i="2"/>
  <c r="U597" i="2"/>
  <c r="X597" i="2"/>
  <c r="L598" i="2"/>
  <c r="O598" i="2"/>
  <c r="R598" i="2"/>
  <c r="U598" i="2"/>
  <c r="X598" i="2"/>
  <c r="X588" i="2"/>
  <c r="U588" i="2"/>
  <c r="R588" i="2"/>
  <c r="O588" i="2"/>
  <c r="L588" i="2"/>
  <c r="V580" i="2"/>
  <c r="U580" i="2" s="1"/>
  <c r="I571" i="2"/>
  <c r="I572" i="2"/>
  <c r="I573" i="2"/>
  <c r="I574" i="2"/>
  <c r="I575" i="2"/>
  <c r="I576" i="2"/>
  <c r="I577" i="2"/>
  <c r="I578" i="2"/>
  <c r="I579" i="2"/>
  <c r="I580" i="2"/>
  <c r="I581" i="2"/>
  <c r="I582" i="2"/>
  <c r="I583" i="2"/>
  <c r="I584" i="2"/>
  <c r="I585" i="2"/>
  <c r="I586" i="2"/>
  <c r="I587" i="2"/>
  <c r="I570" i="2"/>
  <c r="L571" i="2"/>
  <c r="O571" i="2"/>
  <c r="R571" i="2"/>
  <c r="U571" i="2"/>
  <c r="X571" i="2"/>
  <c r="L572" i="2"/>
  <c r="O572" i="2"/>
  <c r="R572" i="2"/>
  <c r="U572" i="2"/>
  <c r="X572" i="2"/>
  <c r="L573" i="2"/>
  <c r="O573" i="2"/>
  <c r="R573" i="2"/>
  <c r="U573" i="2"/>
  <c r="X573" i="2"/>
  <c r="L574" i="2"/>
  <c r="O574" i="2"/>
  <c r="R574" i="2"/>
  <c r="U574" i="2"/>
  <c r="X574" i="2"/>
  <c r="L575" i="2"/>
  <c r="O575" i="2"/>
  <c r="R575" i="2"/>
  <c r="U575" i="2"/>
  <c r="X575" i="2"/>
  <c r="L576" i="2"/>
  <c r="O576" i="2"/>
  <c r="R576" i="2"/>
  <c r="U576" i="2"/>
  <c r="X576" i="2"/>
  <c r="L577" i="2"/>
  <c r="O577" i="2"/>
  <c r="R577" i="2"/>
  <c r="U577" i="2"/>
  <c r="X577" i="2"/>
  <c r="L578" i="2"/>
  <c r="O578" i="2"/>
  <c r="R578" i="2"/>
  <c r="U578" i="2"/>
  <c r="X578" i="2"/>
  <c r="L579" i="2"/>
  <c r="O579" i="2"/>
  <c r="R579" i="2"/>
  <c r="U579" i="2"/>
  <c r="X579" i="2"/>
  <c r="L580" i="2"/>
  <c r="O580" i="2"/>
  <c r="R580" i="2"/>
  <c r="X580" i="2"/>
  <c r="L581" i="2"/>
  <c r="O581" i="2"/>
  <c r="R581" i="2"/>
  <c r="U581" i="2"/>
  <c r="X581" i="2"/>
  <c r="L582" i="2"/>
  <c r="O582" i="2"/>
  <c r="R582" i="2"/>
  <c r="U582" i="2"/>
  <c r="X582" i="2"/>
  <c r="L583" i="2"/>
  <c r="O583" i="2"/>
  <c r="R583" i="2"/>
  <c r="U583" i="2"/>
  <c r="X583" i="2"/>
  <c r="L584" i="2"/>
  <c r="O584" i="2"/>
  <c r="R584" i="2"/>
  <c r="U584" i="2"/>
  <c r="X584" i="2"/>
  <c r="L585" i="2"/>
  <c r="O585" i="2"/>
  <c r="R585" i="2"/>
  <c r="U585" i="2"/>
  <c r="X585" i="2"/>
  <c r="L586" i="2"/>
  <c r="O586" i="2"/>
  <c r="R586" i="2"/>
  <c r="U586" i="2"/>
  <c r="X586" i="2"/>
  <c r="L587" i="2"/>
  <c r="O587" i="2"/>
  <c r="R587" i="2"/>
  <c r="U587" i="2"/>
  <c r="X587" i="2"/>
  <c r="X570" i="2"/>
  <c r="U570" i="2"/>
  <c r="R570" i="2"/>
  <c r="O570" i="2"/>
  <c r="L570" i="2"/>
  <c r="P79" i="2"/>
  <c r="AA590" i="2" l="1"/>
  <c r="AA591" i="2"/>
  <c r="AA592" i="2"/>
  <c r="AA598" i="2"/>
  <c r="AA597" i="2"/>
  <c r="AA596" i="2"/>
  <c r="AA593" i="2"/>
  <c r="AA589" i="2"/>
  <c r="AA595" i="2"/>
  <c r="AA594" i="2"/>
  <c r="AA588" i="2"/>
  <c r="AA582" i="2"/>
  <c r="AA577" i="2"/>
  <c r="AA584" i="2"/>
  <c r="AA571" i="2"/>
  <c r="AA586" i="2"/>
  <c r="AA581" i="2"/>
  <c r="AA579" i="2"/>
  <c r="AA585" i="2"/>
  <c r="AA575" i="2"/>
  <c r="AA583" i="2"/>
  <c r="AA570" i="2"/>
  <c r="AA587" i="2"/>
  <c r="AA580" i="2"/>
  <c r="AA574" i="2"/>
  <c r="AA573" i="2"/>
  <c r="AA578" i="2"/>
  <c r="AA576" i="2"/>
  <c r="AA572" i="2"/>
  <c r="I566" i="2"/>
  <c r="I567" i="2"/>
  <c r="I568" i="2"/>
  <c r="I569" i="2"/>
  <c r="L566" i="2"/>
  <c r="O566" i="2"/>
  <c r="R566" i="2"/>
  <c r="U566" i="2"/>
  <c r="X566" i="2"/>
  <c r="L567" i="2"/>
  <c r="O567" i="2"/>
  <c r="R567" i="2"/>
  <c r="U567" i="2"/>
  <c r="X567" i="2"/>
  <c r="L568" i="2"/>
  <c r="O568" i="2"/>
  <c r="R568" i="2"/>
  <c r="U568" i="2"/>
  <c r="X568" i="2"/>
  <c r="L569" i="2"/>
  <c r="O569" i="2"/>
  <c r="R569" i="2"/>
  <c r="U569" i="2"/>
  <c r="X569" i="2"/>
  <c r="I565" i="2"/>
  <c r="L565" i="2"/>
  <c r="O565" i="2"/>
  <c r="R565" i="2"/>
  <c r="U565" i="2"/>
  <c r="X565" i="2"/>
  <c r="I553" i="2"/>
  <c r="I554" i="2"/>
  <c r="I555" i="2"/>
  <c r="I556" i="2"/>
  <c r="I557" i="2"/>
  <c r="I558" i="2"/>
  <c r="I559" i="2"/>
  <c r="I560" i="2"/>
  <c r="I561" i="2"/>
  <c r="I562" i="2"/>
  <c r="I563" i="2"/>
  <c r="I564" i="2"/>
  <c r="I552" i="2"/>
  <c r="L553" i="2"/>
  <c r="O553" i="2"/>
  <c r="R553" i="2"/>
  <c r="U553" i="2"/>
  <c r="X553" i="2"/>
  <c r="L554" i="2"/>
  <c r="O554" i="2"/>
  <c r="R554" i="2"/>
  <c r="U554" i="2"/>
  <c r="X554" i="2"/>
  <c r="L555" i="2"/>
  <c r="O555" i="2"/>
  <c r="R555" i="2"/>
  <c r="U555" i="2"/>
  <c r="X555" i="2"/>
  <c r="L556" i="2"/>
  <c r="O556" i="2"/>
  <c r="R556" i="2"/>
  <c r="U556" i="2"/>
  <c r="X556" i="2"/>
  <c r="L557" i="2"/>
  <c r="O557" i="2"/>
  <c r="R557" i="2"/>
  <c r="U557" i="2"/>
  <c r="X557" i="2"/>
  <c r="L558" i="2"/>
  <c r="O558" i="2"/>
  <c r="R558" i="2"/>
  <c r="U558" i="2"/>
  <c r="X558" i="2"/>
  <c r="L559" i="2"/>
  <c r="O559" i="2"/>
  <c r="R559" i="2"/>
  <c r="U559" i="2"/>
  <c r="X559" i="2"/>
  <c r="L560" i="2"/>
  <c r="O560" i="2"/>
  <c r="R560" i="2"/>
  <c r="U560" i="2"/>
  <c r="X560" i="2"/>
  <c r="L561" i="2"/>
  <c r="O561" i="2"/>
  <c r="R561" i="2"/>
  <c r="U561" i="2"/>
  <c r="X561" i="2"/>
  <c r="L562" i="2"/>
  <c r="O562" i="2"/>
  <c r="R562" i="2"/>
  <c r="U562" i="2"/>
  <c r="X562" i="2"/>
  <c r="L563" i="2"/>
  <c r="O563" i="2"/>
  <c r="R563" i="2"/>
  <c r="U563" i="2"/>
  <c r="X563" i="2"/>
  <c r="L564" i="2"/>
  <c r="O564" i="2"/>
  <c r="R564" i="2"/>
  <c r="U564" i="2"/>
  <c r="X564" i="2"/>
  <c r="X552" i="2"/>
  <c r="U552" i="2"/>
  <c r="R552" i="2"/>
  <c r="O552" i="2"/>
  <c r="L552" i="2"/>
  <c r="AA554" i="2" l="1"/>
  <c r="AA566" i="2"/>
  <c r="AA559" i="2"/>
  <c r="AA568" i="2"/>
  <c r="AA567" i="2"/>
  <c r="AA569" i="2"/>
  <c r="AA557" i="2"/>
  <c r="AA558" i="2"/>
  <c r="AA556" i="2"/>
  <c r="AA562" i="2"/>
  <c r="AA555" i="2"/>
  <c r="AA561" i="2"/>
  <c r="AA560" i="2"/>
  <c r="AA553" i="2"/>
  <c r="AA564" i="2"/>
  <c r="AA563" i="2"/>
  <c r="AA565" i="2"/>
  <c r="AA552" i="2"/>
  <c r="I551" i="2"/>
  <c r="L551" i="2"/>
  <c r="O551" i="2"/>
  <c r="R551" i="2"/>
  <c r="U551" i="2"/>
  <c r="X551" i="2"/>
  <c r="AA551" i="2" l="1"/>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24" i="2"/>
  <c r="L525" i="2"/>
  <c r="O525" i="2"/>
  <c r="R525" i="2"/>
  <c r="U525" i="2"/>
  <c r="X525" i="2"/>
  <c r="L526" i="2"/>
  <c r="O526" i="2"/>
  <c r="R526" i="2"/>
  <c r="U526" i="2"/>
  <c r="X526" i="2"/>
  <c r="L527" i="2"/>
  <c r="O527" i="2"/>
  <c r="R527" i="2"/>
  <c r="U527" i="2"/>
  <c r="X527" i="2"/>
  <c r="L528" i="2"/>
  <c r="O528" i="2"/>
  <c r="R528" i="2"/>
  <c r="U528" i="2"/>
  <c r="X528" i="2"/>
  <c r="L529" i="2"/>
  <c r="O529" i="2"/>
  <c r="R529" i="2"/>
  <c r="U529" i="2"/>
  <c r="X529" i="2"/>
  <c r="L530" i="2"/>
  <c r="O530" i="2"/>
  <c r="R530" i="2"/>
  <c r="U530" i="2"/>
  <c r="X530" i="2"/>
  <c r="L531" i="2"/>
  <c r="O531" i="2"/>
  <c r="R531" i="2"/>
  <c r="U531" i="2"/>
  <c r="X531" i="2"/>
  <c r="L532" i="2"/>
  <c r="O532" i="2"/>
  <c r="R532" i="2"/>
  <c r="U532" i="2"/>
  <c r="X532" i="2"/>
  <c r="L533" i="2"/>
  <c r="O533" i="2"/>
  <c r="R533" i="2"/>
  <c r="U533" i="2"/>
  <c r="X533" i="2"/>
  <c r="L534" i="2"/>
  <c r="O534" i="2"/>
  <c r="R534" i="2"/>
  <c r="U534" i="2"/>
  <c r="X534" i="2"/>
  <c r="L535" i="2"/>
  <c r="O535" i="2"/>
  <c r="R535" i="2"/>
  <c r="U535" i="2"/>
  <c r="X535" i="2"/>
  <c r="L536" i="2"/>
  <c r="O536" i="2"/>
  <c r="R536" i="2"/>
  <c r="U536" i="2"/>
  <c r="X536" i="2"/>
  <c r="L537" i="2"/>
  <c r="O537" i="2"/>
  <c r="R537" i="2"/>
  <c r="U537" i="2"/>
  <c r="X537" i="2"/>
  <c r="L538" i="2"/>
  <c r="O538" i="2"/>
  <c r="R538" i="2"/>
  <c r="U538" i="2"/>
  <c r="X538" i="2"/>
  <c r="L539" i="2"/>
  <c r="O539" i="2"/>
  <c r="R539" i="2"/>
  <c r="U539" i="2"/>
  <c r="X539" i="2"/>
  <c r="L540" i="2"/>
  <c r="O540" i="2"/>
  <c r="R540" i="2"/>
  <c r="U540" i="2"/>
  <c r="X540" i="2"/>
  <c r="L541" i="2"/>
  <c r="O541" i="2"/>
  <c r="R541" i="2"/>
  <c r="U541" i="2"/>
  <c r="X541" i="2"/>
  <c r="L542" i="2"/>
  <c r="O542" i="2"/>
  <c r="R542" i="2"/>
  <c r="U542" i="2"/>
  <c r="X542" i="2"/>
  <c r="L543" i="2"/>
  <c r="O543" i="2"/>
  <c r="R543" i="2"/>
  <c r="U543" i="2"/>
  <c r="X543" i="2"/>
  <c r="L544" i="2"/>
  <c r="O544" i="2"/>
  <c r="R544" i="2"/>
  <c r="U544" i="2"/>
  <c r="X544" i="2"/>
  <c r="L545" i="2"/>
  <c r="O545" i="2"/>
  <c r="R545" i="2"/>
  <c r="U545" i="2"/>
  <c r="X545" i="2"/>
  <c r="L546" i="2"/>
  <c r="O546" i="2"/>
  <c r="R546" i="2"/>
  <c r="U546" i="2"/>
  <c r="X546" i="2"/>
  <c r="L547" i="2"/>
  <c r="O547" i="2"/>
  <c r="R547" i="2"/>
  <c r="U547" i="2"/>
  <c r="X547" i="2"/>
  <c r="L548" i="2"/>
  <c r="O548" i="2"/>
  <c r="R548" i="2"/>
  <c r="U548" i="2"/>
  <c r="X548" i="2"/>
  <c r="L549" i="2"/>
  <c r="O549" i="2"/>
  <c r="R549" i="2"/>
  <c r="U549" i="2"/>
  <c r="X549" i="2"/>
  <c r="L550" i="2"/>
  <c r="O550" i="2"/>
  <c r="R550" i="2"/>
  <c r="U550" i="2"/>
  <c r="X550" i="2"/>
  <c r="X524" i="2"/>
  <c r="U524" i="2"/>
  <c r="R524" i="2"/>
  <c r="O524" i="2"/>
  <c r="L524" i="2"/>
  <c r="AA525" i="2" l="1"/>
  <c r="AA527" i="2"/>
  <c r="AA538" i="2"/>
  <c r="AA548" i="2"/>
  <c r="AA536" i="2"/>
  <c r="AA550" i="2"/>
  <c r="AA529" i="2"/>
  <c r="AA549" i="2"/>
  <c r="AA542" i="2"/>
  <c r="AA540" i="2"/>
  <c r="AA545" i="2"/>
  <c r="AA531" i="2"/>
  <c r="AA546" i="2"/>
  <c r="AA537" i="2"/>
  <c r="AA526" i="2"/>
  <c r="AA543" i="2"/>
  <c r="AA528" i="2"/>
  <c r="AA539" i="2"/>
  <c r="AA541" i="2"/>
  <c r="AA535" i="2"/>
  <c r="AA533" i="2"/>
  <c r="AA532" i="2"/>
  <c r="AA530" i="2"/>
  <c r="AA547" i="2"/>
  <c r="AA544" i="2"/>
  <c r="AA534" i="2"/>
  <c r="AA524" i="2"/>
  <c r="P277" i="2" l="1"/>
  <c r="I512" i="2" l="1"/>
  <c r="I513" i="2"/>
  <c r="I514" i="2"/>
  <c r="I515" i="2"/>
  <c r="I516" i="2"/>
  <c r="I517" i="2"/>
  <c r="I518" i="2"/>
  <c r="I519" i="2"/>
  <c r="I520" i="2"/>
  <c r="I521" i="2"/>
  <c r="I522" i="2"/>
  <c r="I523" i="2"/>
  <c r="I511" i="2"/>
  <c r="L512" i="2"/>
  <c r="O512" i="2"/>
  <c r="R512" i="2"/>
  <c r="U512" i="2"/>
  <c r="X512" i="2"/>
  <c r="L513" i="2"/>
  <c r="O513" i="2"/>
  <c r="R513" i="2"/>
  <c r="U513" i="2"/>
  <c r="X513" i="2"/>
  <c r="L514" i="2"/>
  <c r="O514" i="2"/>
  <c r="R514" i="2"/>
  <c r="U514" i="2"/>
  <c r="X514" i="2"/>
  <c r="L515" i="2"/>
  <c r="O515" i="2"/>
  <c r="R515" i="2"/>
  <c r="U515" i="2"/>
  <c r="X515" i="2"/>
  <c r="L516" i="2"/>
  <c r="O516" i="2"/>
  <c r="R516" i="2"/>
  <c r="U516" i="2"/>
  <c r="X516" i="2"/>
  <c r="L517" i="2"/>
  <c r="O517" i="2"/>
  <c r="R517" i="2"/>
  <c r="U517" i="2"/>
  <c r="X517" i="2"/>
  <c r="L518" i="2"/>
  <c r="O518" i="2"/>
  <c r="R518" i="2"/>
  <c r="U518" i="2"/>
  <c r="X518" i="2"/>
  <c r="L519" i="2"/>
  <c r="O519" i="2"/>
  <c r="R519" i="2"/>
  <c r="U519" i="2"/>
  <c r="X519" i="2"/>
  <c r="L520" i="2"/>
  <c r="O520" i="2"/>
  <c r="R520" i="2"/>
  <c r="U520" i="2"/>
  <c r="X520" i="2"/>
  <c r="L521" i="2"/>
  <c r="O521" i="2"/>
  <c r="R521" i="2"/>
  <c r="U521" i="2"/>
  <c r="X521" i="2"/>
  <c r="L522" i="2"/>
  <c r="O522" i="2"/>
  <c r="R522" i="2"/>
  <c r="U522" i="2"/>
  <c r="X522" i="2"/>
  <c r="L523" i="2"/>
  <c r="O523" i="2"/>
  <c r="R523" i="2"/>
  <c r="U523" i="2"/>
  <c r="X523" i="2"/>
  <c r="X511" i="2"/>
  <c r="U511" i="2"/>
  <c r="R511" i="2"/>
  <c r="O511" i="2"/>
  <c r="L511" i="2"/>
  <c r="I510" i="2"/>
  <c r="L510" i="2"/>
  <c r="O510" i="2"/>
  <c r="R510" i="2"/>
  <c r="U510" i="2"/>
  <c r="X510" i="2"/>
  <c r="AA515" i="2" l="1"/>
  <c r="AA517" i="2"/>
  <c r="AA512" i="2"/>
  <c r="AA511" i="2"/>
  <c r="AA521" i="2"/>
  <c r="AA519" i="2"/>
  <c r="AA523" i="2"/>
  <c r="AA522" i="2"/>
  <c r="AA513" i="2"/>
  <c r="AA518" i="2"/>
  <c r="AA520" i="2"/>
  <c r="AA514" i="2"/>
  <c r="AA516" i="2"/>
  <c r="AA510" i="2"/>
  <c r="I509" i="2" l="1"/>
  <c r="L509" i="2"/>
  <c r="O509" i="2"/>
  <c r="R509" i="2"/>
  <c r="U509" i="2"/>
  <c r="X509" i="2"/>
  <c r="I487" i="2"/>
  <c r="I488" i="2"/>
  <c r="I489" i="2"/>
  <c r="I490" i="2"/>
  <c r="I491" i="2"/>
  <c r="I492" i="2"/>
  <c r="I493" i="2"/>
  <c r="I494" i="2"/>
  <c r="I495" i="2"/>
  <c r="I496" i="2"/>
  <c r="I497" i="2"/>
  <c r="I498" i="2"/>
  <c r="I499" i="2"/>
  <c r="I500" i="2"/>
  <c r="I501" i="2"/>
  <c r="I502" i="2"/>
  <c r="I503" i="2"/>
  <c r="I504" i="2"/>
  <c r="I505" i="2"/>
  <c r="I506" i="2"/>
  <c r="I507" i="2"/>
  <c r="I508" i="2"/>
  <c r="I486" i="2"/>
  <c r="L487" i="2"/>
  <c r="O487" i="2"/>
  <c r="R487" i="2"/>
  <c r="U487" i="2"/>
  <c r="X487" i="2"/>
  <c r="L488" i="2"/>
  <c r="O488" i="2"/>
  <c r="R488" i="2"/>
  <c r="U488" i="2"/>
  <c r="X488" i="2"/>
  <c r="L489" i="2"/>
  <c r="O489" i="2"/>
  <c r="R489" i="2"/>
  <c r="U489" i="2"/>
  <c r="X489" i="2"/>
  <c r="L490" i="2"/>
  <c r="O490" i="2"/>
  <c r="R490" i="2"/>
  <c r="U490" i="2"/>
  <c r="X490" i="2"/>
  <c r="L491" i="2"/>
  <c r="O491" i="2"/>
  <c r="R491" i="2"/>
  <c r="U491" i="2"/>
  <c r="X491" i="2"/>
  <c r="L492" i="2"/>
  <c r="O492" i="2"/>
  <c r="R492" i="2"/>
  <c r="U492" i="2"/>
  <c r="X492" i="2"/>
  <c r="L493" i="2"/>
  <c r="O493" i="2"/>
  <c r="R493" i="2"/>
  <c r="U493" i="2"/>
  <c r="X493" i="2"/>
  <c r="L494" i="2"/>
  <c r="O494" i="2"/>
  <c r="R494" i="2"/>
  <c r="U494" i="2"/>
  <c r="X494" i="2"/>
  <c r="L495" i="2"/>
  <c r="O495" i="2"/>
  <c r="R495" i="2"/>
  <c r="U495" i="2"/>
  <c r="X495" i="2"/>
  <c r="L496" i="2"/>
  <c r="O496" i="2"/>
  <c r="R496" i="2"/>
  <c r="U496" i="2"/>
  <c r="X496" i="2"/>
  <c r="L497" i="2"/>
  <c r="O497" i="2"/>
  <c r="R497" i="2"/>
  <c r="U497" i="2"/>
  <c r="X497" i="2"/>
  <c r="L498" i="2"/>
  <c r="O498" i="2"/>
  <c r="R498" i="2"/>
  <c r="U498" i="2"/>
  <c r="X498" i="2"/>
  <c r="L499" i="2"/>
  <c r="O499" i="2"/>
  <c r="R499" i="2"/>
  <c r="U499" i="2"/>
  <c r="X499" i="2"/>
  <c r="L500" i="2"/>
  <c r="O500" i="2"/>
  <c r="R500" i="2"/>
  <c r="U500" i="2"/>
  <c r="X500" i="2"/>
  <c r="L501" i="2"/>
  <c r="O501" i="2"/>
  <c r="R501" i="2"/>
  <c r="U501" i="2"/>
  <c r="X501" i="2"/>
  <c r="L502" i="2"/>
  <c r="O502" i="2"/>
  <c r="R502" i="2"/>
  <c r="U502" i="2"/>
  <c r="X502" i="2"/>
  <c r="L503" i="2"/>
  <c r="O503" i="2"/>
  <c r="R503" i="2"/>
  <c r="U503" i="2"/>
  <c r="X503" i="2"/>
  <c r="L504" i="2"/>
  <c r="O504" i="2"/>
  <c r="R504" i="2"/>
  <c r="U504" i="2"/>
  <c r="X504" i="2"/>
  <c r="L505" i="2"/>
  <c r="O505" i="2"/>
  <c r="R505" i="2"/>
  <c r="U505" i="2"/>
  <c r="X505" i="2"/>
  <c r="L506" i="2"/>
  <c r="O506" i="2"/>
  <c r="R506" i="2"/>
  <c r="U506" i="2"/>
  <c r="X506" i="2"/>
  <c r="L507" i="2"/>
  <c r="O507" i="2"/>
  <c r="R507" i="2"/>
  <c r="U507" i="2"/>
  <c r="X507" i="2"/>
  <c r="L508" i="2"/>
  <c r="O508" i="2"/>
  <c r="R508" i="2"/>
  <c r="U508" i="2"/>
  <c r="X508" i="2"/>
  <c r="X486" i="2"/>
  <c r="U486" i="2"/>
  <c r="R486" i="2"/>
  <c r="O486" i="2"/>
  <c r="L486" i="2"/>
  <c r="L482" i="2"/>
  <c r="O482" i="2"/>
  <c r="R482" i="2"/>
  <c r="U482" i="2"/>
  <c r="X482" i="2"/>
  <c r="L483" i="2"/>
  <c r="O483" i="2"/>
  <c r="R483" i="2"/>
  <c r="U483" i="2"/>
  <c r="X483" i="2"/>
  <c r="L484" i="2"/>
  <c r="O484" i="2"/>
  <c r="R484" i="2"/>
  <c r="U484" i="2"/>
  <c r="X484" i="2"/>
  <c r="L485" i="2"/>
  <c r="O485" i="2"/>
  <c r="R485" i="2"/>
  <c r="U485" i="2"/>
  <c r="X485" i="2"/>
  <c r="I482" i="2"/>
  <c r="I483" i="2"/>
  <c r="I484" i="2"/>
  <c r="I485" i="2"/>
  <c r="AA509" i="2" l="1"/>
  <c r="AA488" i="2"/>
  <c r="AA504" i="2"/>
  <c r="AA487" i="2"/>
  <c r="AA483" i="2"/>
  <c r="AA492" i="2"/>
  <c r="AA508" i="2"/>
  <c r="AA490" i="2"/>
  <c r="AA494" i="2"/>
  <c r="AA502" i="2"/>
  <c r="AA500" i="2"/>
  <c r="AA496" i="2"/>
  <c r="AA486" i="2"/>
  <c r="AA499" i="2"/>
  <c r="AA501" i="2"/>
  <c r="AA503" i="2"/>
  <c r="AA498" i="2"/>
  <c r="AA489" i="2"/>
  <c r="AA491" i="2"/>
  <c r="AA506" i="2"/>
  <c r="AA497" i="2"/>
  <c r="AA507" i="2"/>
  <c r="AA495" i="2"/>
  <c r="AA493" i="2"/>
  <c r="AA505" i="2"/>
  <c r="AA482" i="2"/>
  <c r="AA484" i="2"/>
  <c r="AA485" i="2"/>
  <c r="I480" i="2"/>
  <c r="I481" i="2"/>
  <c r="L480" i="2"/>
  <c r="O480" i="2"/>
  <c r="R480" i="2"/>
  <c r="U480" i="2"/>
  <c r="X480" i="2"/>
  <c r="L481" i="2"/>
  <c r="O481" i="2"/>
  <c r="R481" i="2"/>
  <c r="U481" i="2"/>
  <c r="X481" i="2"/>
  <c r="I477" i="2"/>
  <c r="I478" i="2"/>
  <c r="I479" i="2"/>
  <c r="L477" i="2"/>
  <c r="O477" i="2"/>
  <c r="R477" i="2"/>
  <c r="U477" i="2"/>
  <c r="X477" i="2"/>
  <c r="L478" i="2"/>
  <c r="O478" i="2"/>
  <c r="R478" i="2"/>
  <c r="U478" i="2"/>
  <c r="X478" i="2"/>
  <c r="L479" i="2"/>
  <c r="O479" i="2"/>
  <c r="R479" i="2"/>
  <c r="U479" i="2"/>
  <c r="X479" i="2"/>
  <c r="AA478" i="2" l="1"/>
  <c r="AA481" i="2"/>
  <c r="AA479" i="2"/>
  <c r="AA477" i="2"/>
  <c r="AA480" i="2"/>
  <c r="I476" i="2"/>
  <c r="L476" i="2"/>
  <c r="O476" i="2"/>
  <c r="R476" i="2"/>
  <c r="U476" i="2"/>
  <c r="X476" i="2"/>
  <c r="I470" i="2"/>
  <c r="I471" i="2"/>
  <c r="I472" i="2"/>
  <c r="I473" i="2"/>
  <c r="I474" i="2"/>
  <c r="I475" i="2"/>
  <c r="I469" i="2"/>
  <c r="L470" i="2"/>
  <c r="O470" i="2"/>
  <c r="R470" i="2"/>
  <c r="U470" i="2"/>
  <c r="X470" i="2"/>
  <c r="L471" i="2"/>
  <c r="O471" i="2"/>
  <c r="R471" i="2"/>
  <c r="U471" i="2"/>
  <c r="X471" i="2"/>
  <c r="L472" i="2"/>
  <c r="O472" i="2"/>
  <c r="R472" i="2"/>
  <c r="U472" i="2"/>
  <c r="X472" i="2"/>
  <c r="L473" i="2"/>
  <c r="O473" i="2"/>
  <c r="R473" i="2"/>
  <c r="U473" i="2"/>
  <c r="X473" i="2"/>
  <c r="L474" i="2"/>
  <c r="O474" i="2"/>
  <c r="R474" i="2"/>
  <c r="U474" i="2"/>
  <c r="X474" i="2"/>
  <c r="L475" i="2"/>
  <c r="O475" i="2"/>
  <c r="R475" i="2"/>
  <c r="U475" i="2"/>
  <c r="X475" i="2"/>
  <c r="X469" i="2"/>
  <c r="U469" i="2"/>
  <c r="R469" i="2"/>
  <c r="O469" i="2"/>
  <c r="L469" i="2"/>
  <c r="AA476" i="2" l="1"/>
  <c r="AA472" i="2"/>
  <c r="AA473" i="2"/>
  <c r="AA470" i="2"/>
  <c r="AA474" i="2"/>
  <c r="AA475" i="2"/>
  <c r="AA471" i="2"/>
  <c r="AA469" i="2"/>
  <c r="W449" i="2"/>
  <c r="I456" i="2"/>
  <c r="I457" i="2"/>
  <c r="I458" i="2"/>
  <c r="I459" i="2"/>
  <c r="I460" i="2"/>
  <c r="I461" i="2"/>
  <c r="I462" i="2"/>
  <c r="I463" i="2"/>
  <c r="I464" i="2"/>
  <c r="I465" i="2"/>
  <c r="I466" i="2"/>
  <c r="I467" i="2"/>
  <c r="I468" i="2"/>
  <c r="I455" i="2"/>
  <c r="L456" i="2"/>
  <c r="O456" i="2"/>
  <c r="R456" i="2"/>
  <c r="U456" i="2"/>
  <c r="X456" i="2"/>
  <c r="L457" i="2"/>
  <c r="O457" i="2"/>
  <c r="R457" i="2"/>
  <c r="U457" i="2"/>
  <c r="X457" i="2"/>
  <c r="L458" i="2"/>
  <c r="O458" i="2"/>
  <c r="R458" i="2"/>
  <c r="U458" i="2"/>
  <c r="X458" i="2"/>
  <c r="L459" i="2"/>
  <c r="O459" i="2"/>
  <c r="R459" i="2"/>
  <c r="U459" i="2"/>
  <c r="X459" i="2"/>
  <c r="L460" i="2"/>
  <c r="O460" i="2"/>
  <c r="R460" i="2"/>
  <c r="U460" i="2"/>
  <c r="X460" i="2"/>
  <c r="L461" i="2"/>
  <c r="O461" i="2"/>
  <c r="R461" i="2"/>
  <c r="U461" i="2"/>
  <c r="X461" i="2"/>
  <c r="L462" i="2"/>
  <c r="O462" i="2"/>
  <c r="R462" i="2"/>
  <c r="U462" i="2"/>
  <c r="X462" i="2"/>
  <c r="L463" i="2"/>
  <c r="O463" i="2"/>
  <c r="R463" i="2"/>
  <c r="U463" i="2"/>
  <c r="X463" i="2"/>
  <c r="L464" i="2"/>
  <c r="O464" i="2"/>
  <c r="R464" i="2"/>
  <c r="U464" i="2"/>
  <c r="X464" i="2"/>
  <c r="L465" i="2"/>
  <c r="O465" i="2"/>
  <c r="R465" i="2"/>
  <c r="U465" i="2"/>
  <c r="X465" i="2"/>
  <c r="L466" i="2"/>
  <c r="O466" i="2"/>
  <c r="R466" i="2"/>
  <c r="U466" i="2"/>
  <c r="X466" i="2"/>
  <c r="L467" i="2"/>
  <c r="O467" i="2"/>
  <c r="R467" i="2"/>
  <c r="U467" i="2"/>
  <c r="X467" i="2"/>
  <c r="L468" i="2"/>
  <c r="O468" i="2"/>
  <c r="R468" i="2"/>
  <c r="U468" i="2"/>
  <c r="X468" i="2"/>
  <c r="X455" i="2"/>
  <c r="U455" i="2"/>
  <c r="R455" i="2"/>
  <c r="O455" i="2"/>
  <c r="L455" i="2"/>
  <c r="AA468" i="2" l="1"/>
  <c r="AA456" i="2"/>
  <c r="AA465" i="2"/>
  <c r="AA463" i="2"/>
  <c r="AA466" i="2"/>
  <c r="AA457" i="2"/>
  <c r="AA467" i="2"/>
  <c r="AA462" i="2"/>
  <c r="AA461" i="2"/>
  <c r="AA459" i="2"/>
  <c r="AA460" i="2"/>
  <c r="AA458" i="2"/>
  <c r="AA464" i="2"/>
  <c r="AA455" i="2"/>
  <c r="I433" i="2"/>
  <c r="I434" i="2"/>
  <c r="I435" i="2"/>
  <c r="I436" i="2"/>
  <c r="I437" i="2"/>
  <c r="I438" i="2"/>
  <c r="I439" i="2"/>
  <c r="I440" i="2"/>
  <c r="I441" i="2"/>
  <c r="I442" i="2"/>
  <c r="I443" i="2"/>
  <c r="I444" i="2"/>
  <c r="I445" i="2"/>
  <c r="I446" i="2"/>
  <c r="I447" i="2"/>
  <c r="I448" i="2"/>
  <c r="I449" i="2"/>
  <c r="I450" i="2"/>
  <c r="I451" i="2"/>
  <c r="I452" i="2"/>
  <c r="I453" i="2"/>
  <c r="I454" i="2"/>
  <c r="I432" i="2"/>
  <c r="L433" i="2"/>
  <c r="O433" i="2"/>
  <c r="R433" i="2"/>
  <c r="U433" i="2"/>
  <c r="X433" i="2"/>
  <c r="L434" i="2"/>
  <c r="O434" i="2"/>
  <c r="R434" i="2"/>
  <c r="U434" i="2"/>
  <c r="X434" i="2"/>
  <c r="L435" i="2"/>
  <c r="O435" i="2"/>
  <c r="R435" i="2"/>
  <c r="U435" i="2"/>
  <c r="X435" i="2"/>
  <c r="L436" i="2"/>
  <c r="O436" i="2"/>
  <c r="R436" i="2"/>
  <c r="U436" i="2"/>
  <c r="X436" i="2"/>
  <c r="L437" i="2"/>
  <c r="O437" i="2"/>
  <c r="R437" i="2"/>
  <c r="U437" i="2"/>
  <c r="X437" i="2"/>
  <c r="L438" i="2"/>
  <c r="O438" i="2"/>
  <c r="R438" i="2"/>
  <c r="U438" i="2"/>
  <c r="X438" i="2"/>
  <c r="L439" i="2"/>
  <c r="O439" i="2"/>
  <c r="R439" i="2"/>
  <c r="U439" i="2"/>
  <c r="X439" i="2"/>
  <c r="L440" i="2"/>
  <c r="O440" i="2"/>
  <c r="R440" i="2"/>
  <c r="U440" i="2"/>
  <c r="X440" i="2"/>
  <c r="L441" i="2"/>
  <c r="O441" i="2"/>
  <c r="R441" i="2"/>
  <c r="U441" i="2"/>
  <c r="X441" i="2"/>
  <c r="L442" i="2"/>
  <c r="O442" i="2"/>
  <c r="R442" i="2"/>
  <c r="U442" i="2"/>
  <c r="X442" i="2"/>
  <c r="L443" i="2"/>
  <c r="O443" i="2"/>
  <c r="R443" i="2"/>
  <c r="U443" i="2"/>
  <c r="X443" i="2"/>
  <c r="L444" i="2"/>
  <c r="O444" i="2"/>
  <c r="R444" i="2"/>
  <c r="U444" i="2"/>
  <c r="X444" i="2"/>
  <c r="L445" i="2"/>
  <c r="O445" i="2"/>
  <c r="R445" i="2"/>
  <c r="U445" i="2"/>
  <c r="X445" i="2"/>
  <c r="L446" i="2"/>
  <c r="O446" i="2"/>
  <c r="R446" i="2"/>
  <c r="U446" i="2"/>
  <c r="X446" i="2"/>
  <c r="L447" i="2"/>
  <c r="O447" i="2"/>
  <c r="R447" i="2"/>
  <c r="U447" i="2"/>
  <c r="X447" i="2"/>
  <c r="L448" i="2"/>
  <c r="O448" i="2"/>
  <c r="R448" i="2"/>
  <c r="U448" i="2"/>
  <c r="X448" i="2"/>
  <c r="L449" i="2"/>
  <c r="O449" i="2"/>
  <c r="R449" i="2"/>
  <c r="U449" i="2"/>
  <c r="X449" i="2"/>
  <c r="L450" i="2"/>
  <c r="O450" i="2"/>
  <c r="R450" i="2"/>
  <c r="U450" i="2"/>
  <c r="X450" i="2"/>
  <c r="L451" i="2"/>
  <c r="O451" i="2"/>
  <c r="R451" i="2"/>
  <c r="U451" i="2"/>
  <c r="X451" i="2"/>
  <c r="L452" i="2"/>
  <c r="O452" i="2"/>
  <c r="R452" i="2"/>
  <c r="U452" i="2"/>
  <c r="X452" i="2"/>
  <c r="L453" i="2"/>
  <c r="O453" i="2"/>
  <c r="R453" i="2"/>
  <c r="U453" i="2"/>
  <c r="X453" i="2"/>
  <c r="L454" i="2"/>
  <c r="O454" i="2"/>
  <c r="R454" i="2"/>
  <c r="U454" i="2"/>
  <c r="X454" i="2"/>
  <c r="X432" i="2"/>
  <c r="U432" i="2"/>
  <c r="R432" i="2"/>
  <c r="O432" i="2"/>
  <c r="L432" i="2"/>
  <c r="I428" i="2"/>
  <c r="I429" i="2"/>
  <c r="I430" i="2"/>
  <c r="I431" i="2"/>
  <c r="L428" i="2"/>
  <c r="O428" i="2"/>
  <c r="R428" i="2"/>
  <c r="U428" i="2"/>
  <c r="X428" i="2"/>
  <c r="L429" i="2"/>
  <c r="O429" i="2"/>
  <c r="R429" i="2"/>
  <c r="U429" i="2"/>
  <c r="X429" i="2"/>
  <c r="L430" i="2"/>
  <c r="O430" i="2"/>
  <c r="R430" i="2"/>
  <c r="U430" i="2"/>
  <c r="X430" i="2"/>
  <c r="L431" i="2"/>
  <c r="O431" i="2"/>
  <c r="R431" i="2"/>
  <c r="U431" i="2"/>
  <c r="X431" i="2"/>
  <c r="I404" i="2"/>
  <c r="I405" i="2"/>
  <c r="I406" i="2"/>
  <c r="I407" i="2"/>
  <c r="I408" i="2"/>
  <c r="I409" i="2"/>
  <c r="I410" i="2"/>
  <c r="I411" i="2"/>
  <c r="I412" i="2"/>
  <c r="I413" i="2"/>
  <c r="I414" i="2"/>
  <c r="I415" i="2"/>
  <c r="I416" i="2"/>
  <c r="I417" i="2"/>
  <c r="I418" i="2"/>
  <c r="I419" i="2"/>
  <c r="I420" i="2"/>
  <c r="I421" i="2"/>
  <c r="I422" i="2"/>
  <c r="I423" i="2"/>
  <c r="I424" i="2"/>
  <c r="I425" i="2"/>
  <c r="I426" i="2"/>
  <c r="I427" i="2"/>
  <c r="I403" i="2"/>
  <c r="L404" i="2"/>
  <c r="O404" i="2"/>
  <c r="R404" i="2"/>
  <c r="U404" i="2"/>
  <c r="X404" i="2"/>
  <c r="L405" i="2"/>
  <c r="O405" i="2"/>
  <c r="R405" i="2"/>
  <c r="U405" i="2"/>
  <c r="X405" i="2"/>
  <c r="L406" i="2"/>
  <c r="O406" i="2"/>
  <c r="R406" i="2"/>
  <c r="U406" i="2"/>
  <c r="X406" i="2"/>
  <c r="L407" i="2"/>
  <c r="O407" i="2"/>
  <c r="R407" i="2"/>
  <c r="U407" i="2"/>
  <c r="X407" i="2"/>
  <c r="L408" i="2"/>
  <c r="O408" i="2"/>
  <c r="R408" i="2"/>
  <c r="U408" i="2"/>
  <c r="X408" i="2"/>
  <c r="L409" i="2"/>
  <c r="O409" i="2"/>
  <c r="R409" i="2"/>
  <c r="U409" i="2"/>
  <c r="X409" i="2"/>
  <c r="L410" i="2"/>
  <c r="O410" i="2"/>
  <c r="R410" i="2"/>
  <c r="U410" i="2"/>
  <c r="X410" i="2"/>
  <c r="L411" i="2"/>
  <c r="O411" i="2"/>
  <c r="R411" i="2"/>
  <c r="U411" i="2"/>
  <c r="X411" i="2"/>
  <c r="L412" i="2"/>
  <c r="O412" i="2"/>
  <c r="R412" i="2"/>
  <c r="U412" i="2"/>
  <c r="X412" i="2"/>
  <c r="L413" i="2"/>
  <c r="O413" i="2"/>
  <c r="R413" i="2"/>
  <c r="U413" i="2"/>
  <c r="X413" i="2"/>
  <c r="L414" i="2"/>
  <c r="O414" i="2"/>
  <c r="R414" i="2"/>
  <c r="U414" i="2"/>
  <c r="X414" i="2"/>
  <c r="L415" i="2"/>
  <c r="O415" i="2"/>
  <c r="R415" i="2"/>
  <c r="U415" i="2"/>
  <c r="X415" i="2"/>
  <c r="L416" i="2"/>
  <c r="O416" i="2"/>
  <c r="R416" i="2"/>
  <c r="U416" i="2"/>
  <c r="X416" i="2"/>
  <c r="L417" i="2"/>
  <c r="O417" i="2"/>
  <c r="R417" i="2"/>
  <c r="U417" i="2"/>
  <c r="X417" i="2"/>
  <c r="L418" i="2"/>
  <c r="O418" i="2"/>
  <c r="R418" i="2"/>
  <c r="U418" i="2"/>
  <c r="X418" i="2"/>
  <c r="L419" i="2"/>
  <c r="O419" i="2"/>
  <c r="R419" i="2"/>
  <c r="U419" i="2"/>
  <c r="X419" i="2"/>
  <c r="L420" i="2"/>
  <c r="O420" i="2"/>
  <c r="R420" i="2"/>
  <c r="U420" i="2"/>
  <c r="X420" i="2"/>
  <c r="L421" i="2"/>
  <c r="O421" i="2"/>
  <c r="R421" i="2"/>
  <c r="U421" i="2"/>
  <c r="X421" i="2"/>
  <c r="L422" i="2"/>
  <c r="O422" i="2"/>
  <c r="R422" i="2"/>
  <c r="U422" i="2"/>
  <c r="X422" i="2"/>
  <c r="L423" i="2"/>
  <c r="O423" i="2"/>
  <c r="R423" i="2"/>
  <c r="U423" i="2"/>
  <c r="X423" i="2"/>
  <c r="L424" i="2"/>
  <c r="O424" i="2"/>
  <c r="R424" i="2"/>
  <c r="U424" i="2"/>
  <c r="X424" i="2"/>
  <c r="L425" i="2"/>
  <c r="O425" i="2"/>
  <c r="R425" i="2"/>
  <c r="U425" i="2"/>
  <c r="X425" i="2"/>
  <c r="L426" i="2"/>
  <c r="O426" i="2"/>
  <c r="R426" i="2"/>
  <c r="U426" i="2"/>
  <c r="X426" i="2"/>
  <c r="L427" i="2"/>
  <c r="O427" i="2"/>
  <c r="R427" i="2"/>
  <c r="U427" i="2"/>
  <c r="X427" i="2"/>
  <c r="X403" i="2"/>
  <c r="U403" i="2"/>
  <c r="R403" i="2"/>
  <c r="O403" i="2"/>
  <c r="L403" i="2"/>
  <c r="AA445" i="2" l="1"/>
  <c r="AA438" i="2"/>
  <c r="AA447" i="2"/>
  <c r="AA434" i="2"/>
  <c r="AA454" i="2"/>
  <c r="AA440" i="2"/>
  <c r="AA436" i="2"/>
  <c r="AA449" i="2"/>
  <c r="AA433" i="2"/>
  <c r="AA453" i="2"/>
  <c r="AA435" i="2"/>
  <c r="AA452" i="2"/>
  <c r="AA450" i="2"/>
  <c r="AA442" i="2"/>
  <c r="AA446" i="2"/>
  <c r="AA448" i="2"/>
  <c r="AA441" i="2"/>
  <c r="AA451" i="2"/>
  <c r="AA444" i="2"/>
  <c r="AA443" i="2"/>
  <c r="AA439" i="2"/>
  <c r="AA437" i="2"/>
  <c r="AA432" i="2"/>
  <c r="AA430" i="2"/>
  <c r="AA404" i="2"/>
  <c r="AA406" i="2"/>
  <c r="AA428" i="2"/>
  <c r="AA411" i="2"/>
  <c r="AA418" i="2"/>
  <c r="AA408" i="2"/>
  <c r="AA422" i="2"/>
  <c r="AA410" i="2"/>
  <c r="AA429" i="2"/>
  <c r="AA407" i="2"/>
  <c r="AA424" i="2"/>
  <c r="AA416" i="2"/>
  <c r="AA412" i="2"/>
  <c r="AA423" i="2"/>
  <c r="AA419" i="2"/>
  <c r="AA427" i="2"/>
  <c r="AA415" i="2"/>
  <c r="AA421" i="2"/>
  <c r="AA420" i="2"/>
  <c r="AA417" i="2"/>
  <c r="AA431" i="2"/>
  <c r="AA426" i="2"/>
  <c r="AA414" i="2"/>
  <c r="AA409" i="2"/>
  <c r="AA405" i="2"/>
  <c r="AA403" i="2"/>
  <c r="AA425" i="2"/>
  <c r="AA413" i="2"/>
  <c r="I398" i="2"/>
  <c r="I399" i="2"/>
  <c r="I400" i="2"/>
  <c r="I401" i="2"/>
  <c r="I402" i="2"/>
  <c r="I397" i="2"/>
  <c r="I396" i="2"/>
  <c r="I395" i="2"/>
  <c r="I394" i="2"/>
  <c r="L395" i="2"/>
  <c r="O395" i="2"/>
  <c r="R395" i="2"/>
  <c r="U395" i="2"/>
  <c r="X395" i="2"/>
  <c r="L396" i="2"/>
  <c r="O396" i="2"/>
  <c r="R396" i="2"/>
  <c r="U396" i="2"/>
  <c r="X396" i="2"/>
  <c r="L397" i="2"/>
  <c r="O397" i="2"/>
  <c r="R397" i="2"/>
  <c r="U397" i="2"/>
  <c r="X397" i="2"/>
  <c r="L398" i="2"/>
  <c r="O398" i="2"/>
  <c r="R398" i="2"/>
  <c r="U398" i="2"/>
  <c r="X398" i="2"/>
  <c r="L399" i="2"/>
  <c r="O399" i="2"/>
  <c r="R399" i="2"/>
  <c r="U399" i="2"/>
  <c r="X399" i="2"/>
  <c r="L400" i="2"/>
  <c r="O400" i="2"/>
  <c r="R400" i="2"/>
  <c r="U400" i="2"/>
  <c r="X400" i="2"/>
  <c r="L401" i="2"/>
  <c r="O401" i="2"/>
  <c r="R401" i="2"/>
  <c r="U401" i="2"/>
  <c r="X401" i="2"/>
  <c r="L402" i="2"/>
  <c r="O402" i="2"/>
  <c r="R402" i="2"/>
  <c r="U402" i="2"/>
  <c r="X402" i="2"/>
  <c r="X394" i="2"/>
  <c r="U394" i="2"/>
  <c r="R394" i="2"/>
  <c r="O394" i="2"/>
  <c r="L394" i="2"/>
  <c r="I372" i="2"/>
  <c r="I373" i="2"/>
  <c r="I374" i="2"/>
  <c r="I375" i="2"/>
  <c r="I376" i="2"/>
  <c r="I377" i="2"/>
  <c r="I378" i="2"/>
  <c r="I379" i="2"/>
  <c r="I380" i="2"/>
  <c r="I381" i="2"/>
  <c r="I382" i="2"/>
  <c r="I383" i="2"/>
  <c r="I384" i="2"/>
  <c r="I385" i="2"/>
  <c r="I386" i="2"/>
  <c r="I387" i="2"/>
  <c r="I388" i="2"/>
  <c r="I389" i="2"/>
  <c r="I390" i="2"/>
  <c r="I391" i="2"/>
  <c r="I392" i="2"/>
  <c r="I393" i="2"/>
  <c r="I371" i="2"/>
  <c r="L372" i="2"/>
  <c r="O372" i="2"/>
  <c r="R372" i="2"/>
  <c r="U372" i="2"/>
  <c r="X372" i="2"/>
  <c r="L373" i="2"/>
  <c r="O373" i="2"/>
  <c r="R373" i="2"/>
  <c r="U373" i="2"/>
  <c r="X373" i="2"/>
  <c r="L374" i="2"/>
  <c r="O374" i="2"/>
  <c r="R374" i="2"/>
  <c r="U374" i="2"/>
  <c r="X374" i="2"/>
  <c r="L375" i="2"/>
  <c r="O375" i="2"/>
  <c r="R375" i="2"/>
  <c r="U375" i="2"/>
  <c r="X375" i="2"/>
  <c r="L376" i="2"/>
  <c r="O376" i="2"/>
  <c r="R376" i="2"/>
  <c r="U376" i="2"/>
  <c r="X376" i="2"/>
  <c r="L377" i="2"/>
  <c r="O377" i="2"/>
  <c r="R377" i="2"/>
  <c r="U377" i="2"/>
  <c r="X377" i="2"/>
  <c r="L378" i="2"/>
  <c r="O378" i="2"/>
  <c r="R378" i="2"/>
  <c r="U378" i="2"/>
  <c r="X378" i="2"/>
  <c r="L379" i="2"/>
  <c r="O379" i="2"/>
  <c r="R379" i="2"/>
  <c r="U379" i="2"/>
  <c r="X379" i="2"/>
  <c r="L380" i="2"/>
  <c r="O380" i="2"/>
  <c r="R380" i="2"/>
  <c r="U380" i="2"/>
  <c r="X380" i="2"/>
  <c r="L381" i="2"/>
  <c r="O381" i="2"/>
  <c r="R381" i="2"/>
  <c r="U381" i="2"/>
  <c r="X381" i="2"/>
  <c r="L382" i="2"/>
  <c r="O382" i="2"/>
  <c r="R382" i="2"/>
  <c r="U382" i="2"/>
  <c r="X382" i="2"/>
  <c r="L383" i="2"/>
  <c r="O383" i="2"/>
  <c r="R383" i="2"/>
  <c r="U383" i="2"/>
  <c r="X383" i="2"/>
  <c r="L384" i="2"/>
  <c r="O384" i="2"/>
  <c r="R384" i="2"/>
  <c r="U384" i="2"/>
  <c r="X384" i="2"/>
  <c r="L385" i="2"/>
  <c r="O385" i="2"/>
  <c r="R385" i="2"/>
  <c r="U385" i="2"/>
  <c r="X385" i="2"/>
  <c r="L386" i="2"/>
  <c r="O386" i="2"/>
  <c r="R386" i="2"/>
  <c r="U386" i="2"/>
  <c r="X386" i="2"/>
  <c r="L387" i="2"/>
  <c r="O387" i="2"/>
  <c r="R387" i="2"/>
  <c r="U387" i="2"/>
  <c r="X387" i="2"/>
  <c r="L388" i="2"/>
  <c r="O388" i="2"/>
  <c r="R388" i="2"/>
  <c r="U388" i="2"/>
  <c r="X388" i="2"/>
  <c r="L389" i="2"/>
  <c r="O389" i="2"/>
  <c r="R389" i="2"/>
  <c r="U389" i="2"/>
  <c r="X389" i="2"/>
  <c r="L390" i="2"/>
  <c r="O390" i="2"/>
  <c r="R390" i="2"/>
  <c r="U390" i="2"/>
  <c r="X390" i="2"/>
  <c r="L391" i="2"/>
  <c r="O391" i="2"/>
  <c r="R391" i="2"/>
  <c r="U391" i="2"/>
  <c r="X391" i="2"/>
  <c r="L392" i="2"/>
  <c r="O392" i="2"/>
  <c r="R392" i="2"/>
  <c r="U392" i="2"/>
  <c r="X392" i="2"/>
  <c r="L393" i="2"/>
  <c r="O393" i="2"/>
  <c r="R393" i="2"/>
  <c r="U393" i="2"/>
  <c r="X393" i="2"/>
  <c r="X371" i="2"/>
  <c r="U371" i="2"/>
  <c r="R371" i="2"/>
  <c r="O371" i="2"/>
  <c r="L371" i="2"/>
  <c r="AA401" i="2" l="1"/>
  <c r="AA397" i="2"/>
  <c r="AA395" i="2"/>
  <c r="AA394" i="2"/>
  <c r="AA399" i="2"/>
  <c r="AA398" i="2"/>
  <c r="AA396" i="2"/>
  <c r="AA402" i="2"/>
  <c r="AA400" i="2"/>
  <c r="AA377" i="2"/>
  <c r="AA386" i="2"/>
  <c r="AA374" i="2"/>
  <c r="AA391" i="2"/>
  <c r="AA392" i="2"/>
  <c r="AA375" i="2"/>
  <c r="AA373" i="2"/>
  <c r="AA384" i="2"/>
  <c r="AA372" i="2"/>
  <c r="AA385" i="2"/>
  <c r="AA383" i="2"/>
  <c r="AA382" i="2"/>
  <c r="AA393" i="2"/>
  <c r="AA379" i="2"/>
  <c r="AA390" i="2"/>
  <c r="AA378" i="2"/>
  <c r="AA389" i="2"/>
  <c r="AA388" i="2"/>
  <c r="AA376" i="2"/>
  <c r="AA387" i="2"/>
  <c r="AA371" i="2"/>
  <c r="AA381" i="2"/>
  <c r="AA380" i="2"/>
  <c r="I368" i="2" l="1"/>
  <c r="I369" i="2"/>
  <c r="I370" i="2"/>
  <c r="L368" i="2"/>
  <c r="O368" i="2"/>
  <c r="R368" i="2"/>
  <c r="U368" i="2"/>
  <c r="X368" i="2"/>
  <c r="L369" i="2"/>
  <c r="O369" i="2"/>
  <c r="R369" i="2"/>
  <c r="U369" i="2"/>
  <c r="X369" i="2"/>
  <c r="L370" i="2"/>
  <c r="O370" i="2"/>
  <c r="R370" i="2"/>
  <c r="U370" i="2"/>
  <c r="X370" i="2"/>
  <c r="I357" i="2"/>
  <c r="I358" i="2"/>
  <c r="I359" i="2"/>
  <c r="I360" i="2"/>
  <c r="I361" i="2"/>
  <c r="I362" i="2"/>
  <c r="I363" i="2"/>
  <c r="I364" i="2"/>
  <c r="I365" i="2"/>
  <c r="I366" i="2"/>
  <c r="I367" i="2"/>
  <c r="I356" i="2"/>
  <c r="L357" i="2"/>
  <c r="O357" i="2"/>
  <c r="R357" i="2"/>
  <c r="U357" i="2"/>
  <c r="X357" i="2"/>
  <c r="L358" i="2"/>
  <c r="O358" i="2"/>
  <c r="R358" i="2"/>
  <c r="U358" i="2"/>
  <c r="X358" i="2"/>
  <c r="L359" i="2"/>
  <c r="O359" i="2"/>
  <c r="R359" i="2"/>
  <c r="U359" i="2"/>
  <c r="X359" i="2"/>
  <c r="L360" i="2"/>
  <c r="O360" i="2"/>
  <c r="R360" i="2"/>
  <c r="U360" i="2"/>
  <c r="X360" i="2"/>
  <c r="L361" i="2"/>
  <c r="O361" i="2"/>
  <c r="R361" i="2"/>
  <c r="U361" i="2"/>
  <c r="X361" i="2"/>
  <c r="L362" i="2"/>
  <c r="O362" i="2"/>
  <c r="R362" i="2"/>
  <c r="U362" i="2"/>
  <c r="X362" i="2"/>
  <c r="L363" i="2"/>
  <c r="O363" i="2"/>
  <c r="R363" i="2"/>
  <c r="U363" i="2"/>
  <c r="X363" i="2"/>
  <c r="L364" i="2"/>
  <c r="O364" i="2"/>
  <c r="R364" i="2"/>
  <c r="U364" i="2"/>
  <c r="X364" i="2"/>
  <c r="L365" i="2"/>
  <c r="O365" i="2"/>
  <c r="R365" i="2"/>
  <c r="U365" i="2"/>
  <c r="X365" i="2"/>
  <c r="L366" i="2"/>
  <c r="O366" i="2"/>
  <c r="R366" i="2"/>
  <c r="U366" i="2"/>
  <c r="X366" i="2"/>
  <c r="L367" i="2"/>
  <c r="O367" i="2"/>
  <c r="R367" i="2"/>
  <c r="U367" i="2"/>
  <c r="X367" i="2"/>
  <c r="X356" i="2"/>
  <c r="U356" i="2"/>
  <c r="R356" i="2"/>
  <c r="O356" i="2"/>
  <c r="L356" i="2"/>
  <c r="AA368" i="2" l="1"/>
  <c r="AA358" i="2"/>
  <c r="AA362" i="2"/>
  <c r="AA369" i="2"/>
  <c r="AA364" i="2"/>
  <c r="AA370" i="2"/>
  <c r="AA360" i="2"/>
  <c r="AA366" i="2"/>
  <c r="AA365" i="2"/>
  <c r="AA361" i="2"/>
  <c r="AA367" i="2"/>
  <c r="AA359" i="2"/>
  <c r="AA363" i="2"/>
  <c r="AA357" i="2"/>
  <c r="AA356" i="2"/>
  <c r="T100" i="2"/>
  <c r="X348" i="2"/>
  <c r="U348" i="2"/>
  <c r="R348" i="2"/>
  <c r="O348" i="2"/>
  <c r="L348" i="2"/>
  <c r="I348" i="2"/>
  <c r="I345" i="2"/>
  <c r="I346" i="2"/>
  <c r="I347" i="2"/>
  <c r="I349" i="2"/>
  <c r="I350" i="2"/>
  <c r="I351" i="2"/>
  <c r="I352" i="2"/>
  <c r="I353" i="2"/>
  <c r="I354" i="2"/>
  <c r="I355" i="2"/>
  <c r="I344" i="2"/>
  <c r="L345" i="2"/>
  <c r="O345" i="2"/>
  <c r="R345" i="2"/>
  <c r="U345" i="2"/>
  <c r="X345" i="2"/>
  <c r="L346" i="2"/>
  <c r="O346" i="2"/>
  <c r="R346" i="2"/>
  <c r="U346" i="2"/>
  <c r="X346" i="2"/>
  <c r="L347" i="2"/>
  <c r="O347" i="2"/>
  <c r="R347" i="2"/>
  <c r="U347" i="2"/>
  <c r="X347" i="2"/>
  <c r="L349" i="2"/>
  <c r="O349" i="2"/>
  <c r="R349" i="2"/>
  <c r="U349" i="2"/>
  <c r="X349" i="2"/>
  <c r="L350" i="2"/>
  <c r="O350" i="2"/>
  <c r="R350" i="2"/>
  <c r="U350" i="2"/>
  <c r="X350" i="2"/>
  <c r="L351" i="2"/>
  <c r="O351" i="2"/>
  <c r="R351" i="2"/>
  <c r="U351" i="2"/>
  <c r="X351" i="2"/>
  <c r="L352" i="2"/>
  <c r="O352" i="2"/>
  <c r="R352" i="2"/>
  <c r="U352" i="2"/>
  <c r="X352" i="2"/>
  <c r="L353" i="2"/>
  <c r="O353" i="2"/>
  <c r="R353" i="2"/>
  <c r="U353" i="2"/>
  <c r="X353" i="2"/>
  <c r="L354" i="2"/>
  <c r="O354" i="2"/>
  <c r="R354" i="2"/>
  <c r="U354" i="2"/>
  <c r="X354" i="2"/>
  <c r="L355" i="2"/>
  <c r="O355" i="2"/>
  <c r="R355" i="2"/>
  <c r="U355" i="2"/>
  <c r="X355" i="2"/>
  <c r="X344" i="2"/>
  <c r="U344" i="2"/>
  <c r="R344" i="2"/>
  <c r="O344" i="2"/>
  <c r="L344" i="2"/>
  <c r="X258" i="2"/>
  <c r="U258" i="2"/>
  <c r="R258" i="2"/>
  <c r="O258" i="2"/>
  <c r="L258" i="2"/>
  <c r="I258" i="2"/>
  <c r="I341" i="2"/>
  <c r="I342" i="2"/>
  <c r="I343" i="2"/>
  <c r="L341" i="2"/>
  <c r="O341" i="2"/>
  <c r="R341" i="2"/>
  <c r="U341" i="2"/>
  <c r="X341" i="2"/>
  <c r="L342" i="2"/>
  <c r="O342" i="2"/>
  <c r="R342" i="2"/>
  <c r="U342" i="2"/>
  <c r="X342" i="2"/>
  <c r="L343" i="2"/>
  <c r="O343" i="2"/>
  <c r="R343" i="2"/>
  <c r="U343" i="2"/>
  <c r="X343" i="2"/>
  <c r="S100" i="2"/>
  <c r="I339" i="2"/>
  <c r="I340" i="2"/>
  <c r="L339" i="2"/>
  <c r="O339" i="2"/>
  <c r="R339" i="2"/>
  <c r="U339" i="2"/>
  <c r="X339" i="2"/>
  <c r="L340" i="2"/>
  <c r="O340" i="2"/>
  <c r="R340" i="2"/>
  <c r="U340" i="2"/>
  <c r="X340" i="2"/>
  <c r="AA349" i="2" l="1"/>
  <c r="AA348" i="2"/>
  <c r="AA346" i="2"/>
  <c r="AA345" i="2"/>
  <c r="AA353" i="2"/>
  <c r="AA355" i="2"/>
  <c r="AA351" i="2"/>
  <c r="AA347" i="2"/>
  <c r="AA350" i="2"/>
  <c r="AA352" i="2"/>
  <c r="AA354" i="2"/>
  <c r="AA344" i="2"/>
  <c r="AA258" i="2"/>
  <c r="AA343" i="2"/>
  <c r="AA341" i="2"/>
  <c r="AA342" i="2"/>
  <c r="AA339" i="2"/>
  <c r="AA340"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05" i="2"/>
  <c r="L306" i="2"/>
  <c r="O306" i="2"/>
  <c r="R306" i="2"/>
  <c r="U306" i="2"/>
  <c r="X306" i="2"/>
  <c r="L307" i="2"/>
  <c r="O307" i="2"/>
  <c r="R307" i="2"/>
  <c r="U307" i="2"/>
  <c r="X307" i="2"/>
  <c r="L308" i="2"/>
  <c r="O308" i="2"/>
  <c r="R308" i="2"/>
  <c r="U308" i="2"/>
  <c r="X308" i="2"/>
  <c r="L309" i="2"/>
  <c r="O309" i="2"/>
  <c r="R309" i="2"/>
  <c r="U309" i="2"/>
  <c r="X309" i="2"/>
  <c r="L310" i="2"/>
  <c r="O310" i="2"/>
  <c r="R310" i="2"/>
  <c r="U310" i="2"/>
  <c r="X310" i="2"/>
  <c r="L311" i="2"/>
  <c r="O311" i="2"/>
  <c r="R311" i="2"/>
  <c r="U311" i="2"/>
  <c r="X311" i="2"/>
  <c r="L312" i="2"/>
  <c r="O312" i="2"/>
  <c r="R312" i="2"/>
  <c r="U312" i="2"/>
  <c r="X312" i="2"/>
  <c r="L313" i="2"/>
  <c r="O313" i="2"/>
  <c r="R313" i="2"/>
  <c r="U313" i="2"/>
  <c r="X313" i="2"/>
  <c r="L314" i="2"/>
  <c r="O314" i="2"/>
  <c r="R314" i="2"/>
  <c r="U314" i="2"/>
  <c r="X314" i="2"/>
  <c r="L315" i="2"/>
  <c r="O315" i="2"/>
  <c r="R315" i="2"/>
  <c r="U315" i="2"/>
  <c r="X315" i="2"/>
  <c r="L316" i="2"/>
  <c r="O316" i="2"/>
  <c r="R316" i="2"/>
  <c r="U316" i="2"/>
  <c r="X316" i="2"/>
  <c r="L317" i="2"/>
  <c r="O317" i="2"/>
  <c r="R317" i="2"/>
  <c r="U317" i="2"/>
  <c r="X317" i="2"/>
  <c r="L318" i="2"/>
  <c r="O318" i="2"/>
  <c r="R318" i="2"/>
  <c r="U318" i="2"/>
  <c r="X318" i="2"/>
  <c r="L319" i="2"/>
  <c r="O319" i="2"/>
  <c r="R319" i="2"/>
  <c r="U319" i="2"/>
  <c r="X319" i="2"/>
  <c r="L320" i="2"/>
  <c r="O320" i="2"/>
  <c r="R320" i="2"/>
  <c r="U320" i="2"/>
  <c r="X320" i="2"/>
  <c r="L321" i="2"/>
  <c r="O321" i="2"/>
  <c r="R321" i="2"/>
  <c r="U321" i="2"/>
  <c r="X321" i="2"/>
  <c r="L322" i="2"/>
  <c r="O322" i="2"/>
  <c r="R322" i="2"/>
  <c r="U322" i="2"/>
  <c r="X322" i="2"/>
  <c r="L323" i="2"/>
  <c r="O323" i="2"/>
  <c r="R323" i="2"/>
  <c r="U323" i="2"/>
  <c r="X323" i="2"/>
  <c r="L324" i="2"/>
  <c r="O324" i="2"/>
  <c r="R324" i="2"/>
  <c r="U324" i="2"/>
  <c r="X324" i="2"/>
  <c r="L325" i="2"/>
  <c r="O325" i="2"/>
  <c r="R325" i="2"/>
  <c r="U325" i="2"/>
  <c r="X325" i="2"/>
  <c r="L326" i="2"/>
  <c r="O326" i="2"/>
  <c r="R326" i="2"/>
  <c r="U326" i="2"/>
  <c r="X326" i="2"/>
  <c r="L327" i="2"/>
  <c r="O327" i="2"/>
  <c r="R327" i="2"/>
  <c r="U327" i="2"/>
  <c r="X327" i="2"/>
  <c r="L328" i="2"/>
  <c r="O328" i="2"/>
  <c r="R328" i="2"/>
  <c r="U328" i="2"/>
  <c r="X328" i="2"/>
  <c r="L329" i="2"/>
  <c r="O329" i="2"/>
  <c r="R329" i="2"/>
  <c r="U329" i="2"/>
  <c r="X329" i="2"/>
  <c r="L330" i="2"/>
  <c r="O330" i="2"/>
  <c r="R330" i="2"/>
  <c r="U330" i="2"/>
  <c r="X330" i="2"/>
  <c r="L331" i="2"/>
  <c r="O331" i="2"/>
  <c r="R331" i="2"/>
  <c r="U331" i="2"/>
  <c r="X331" i="2"/>
  <c r="L332" i="2"/>
  <c r="O332" i="2"/>
  <c r="R332" i="2"/>
  <c r="U332" i="2"/>
  <c r="X332" i="2"/>
  <c r="L333" i="2"/>
  <c r="O333" i="2"/>
  <c r="R333" i="2"/>
  <c r="U333" i="2"/>
  <c r="X333" i="2"/>
  <c r="L334" i="2"/>
  <c r="O334" i="2"/>
  <c r="R334" i="2"/>
  <c r="U334" i="2"/>
  <c r="X334" i="2"/>
  <c r="L335" i="2"/>
  <c r="O335" i="2"/>
  <c r="R335" i="2"/>
  <c r="U335" i="2"/>
  <c r="X335" i="2"/>
  <c r="L336" i="2"/>
  <c r="O336" i="2"/>
  <c r="R336" i="2"/>
  <c r="U336" i="2"/>
  <c r="X336" i="2"/>
  <c r="L337" i="2"/>
  <c r="O337" i="2"/>
  <c r="R337" i="2"/>
  <c r="U337" i="2"/>
  <c r="X337" i="2"/>
  <c r="L338" i="2"/>
  <c r="O338" i="2"/>
  <c r="R338" i="2"/>
  <c r="U338" i="2"/>
  <c r="X338" i="2"/>
  <c r="X305" i="2"/>
  <c r="U305" i="2"/>
  <c r="R305" i="2"/>
  <c r="O305" i="2"/>
  <c r="L305" i="2"/>
  <c r="AA309" i="2" l="1"/>
  <c r="AA318" i="2"/>
  <c r="AA311" i="2"/>
  <c r="AA325" i="2"/>
  <c r="AA313" i="2"/>
  <c r="AA323" i="2"/>
  <c r="AA307" i="2"/>
  <c r="AA320" i="2"/>
  <c r="AA327" i="2"/>
  <c r="AA333" i="2"/>
  <c r="AA338" i="2"/>
  <c r="AA322" i="2"/>
  <c r="AA330" i="2"/>
  <c r="AA329" i="2"/>
  <c r="AA316" i="2"/>
  <c r="AA331" i="2"/>
  <c r="AA317" i="2"/>
  <c r="AA328" i="2"/>
  <c r="AA326" i="2"/>
  <c r="AA312" i="2"/>
  <c r="AA335" i="2"/>
  <c r="AA315" i="2"/>
  <c r="AA324" i="2"/>
  <c r="AA321" i="2"/>
  <c r="AA337" i="2"/>
  <c r="AA332" i="2"/>
  <c r="AA306" i="2"/>
  <c r="AA336" i="2"/>
  <c r="AA334" i="2"/>
  <c r="AA319" i="2"/>
  <c r="AA305" i="2"/>
  <c r="AA314" i="2"/>
  <c r="AA310" i="2"/>
  <c r="AA308" i="2"/>
  <c r="O299" i="2" l="1"/>
  <c r="R299" i="2"/>
  <c r="U299" i="2"/>
  <c r="X299" i="2"/>
  <c r="L299" i="2"/>
  <c r="I299" i="2"/>
  <c r="L298" i="2"/>
  <c r="I298" i="2"/>
  <c r="I748" i="1"/>
  <c r="I749" i="1"/>
  <c r="X749" i="1"/>
  <c r="U749" i="1"/>
  <c r="R749" i="1"/>
  <c r="O749" i="1"/>
  <c r="L749" i="1"/>
  <c r="AA299" i="2" l="1"/>
  <c r="AA749" i="1"/>
  <c r="X5" i="2"/>
  <c r="X6" i="2"/>
  <c r="X7" i="2"/>
  <c r="X8" i="2"/>
  <c r="X9" i="2"/>
  <c r="X10" i="2"/>
  <c r="X11" i="2"/>
  <c r="X12" i="2"/>
  <c r="X13" i="2"/>
  <c r="X14" i="2"/>
  <c r="X15" i="2"/>
  <c r="X16" i="2"/>
  <c r="X17" i="2"/>
  <c r="X18" i="2"/>
  <c r="X19" i="2"/>
  <c r="X20" i="2"/>
  <c r="X21" i="2"/>
  <c r="X22" i="2"/>
  <c r="X23" i="2"/>
  <c r="X24" i="2"/>
  <c r="X25" i="2"/>
  <c r="X26" i="2"/>
  <c r="X27" i="2"/>
  <c r="X28" i="2"/>
  <c r="X29" i="2"/>
  <c r="X30" i="2"/>
  <c r="X31" i="2"/>
  <c r="X32" i="2"/>
  <c r="X33" i="2"/>
  <c r="X34" i="2"/>
  <c r="X35" i="2"/>
  <c r="X36" i="2"/>
  <c r="X37"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X213" i="2"/>
  <c r="X214" i="2"/>
  <c r="X215" i="2"/>
  <c r="X216" i="2"/>
  <c r="X217" i="2"/>
  <c r="X218" i="2"/>
  <c r="X219" i="2"/>
  <c r="X220" i="2"/>
  <c r="X221" i="2"/>
  <c r="X222" i="2"/>
  <c r="X223" i="2"/>
  <c r="X224" i="2"/>
  <c r="X225" i="2"/>
  <c r="X226" i="2"/>
  <c r="X227" i="2"/>
  <c r="X228" i="2"/>
  <c r="X229" i="2"/>
  <c r="X230" i="2"/>
  <c r="X231" i="2"/>
  <c r="X232" i="2"/>
  <c r="X233" i="2"/>
  <c r="X234" i="2"/>
  <c r="X235" i="2"/>
  <c r="X236" i="2"/>
  <c r="X237" i="2"/>
  <c r="X238" i="2"/>
  <c r="X239" i="2"/>
  <c r="X240" i="2"/>
  <c r="X241" i="2"/>
  <c r="X242" i="2"/>
  <c r="X243" i="2"/>
  <c r="X244" i="2"/>
  <c r="X245" i="2"/>
  <c r="X246" i="2"/>
  <c r="X247" i="2"/>
  <c r="X248" i="2"/>
  <c r="X249" i="2"/>
  <c r="X250" i="2"/>
  <c r="X251" i="2"/>
  <c r="X252" i="2"/>
  <c r="X253" i="2"/>
  <c r="X254" i="2"/>
  <c r="X255" i="2"/>
  <c r="X256" i="2"/>
  <c r="X257" i="2"/>
  <c r="X259" i="2"/>
  <c r="X260" i="2"/>
  <c r="X261" i="2"/>
  <c r="X262" i="2"/>
  <c r="X263" i="2"/>
  <c r="X264" i="2"/>
  <c r="X265" i="2"/>
  <c r="X266" i="2"/>
  <c r="X267" i="2"/>
  <c r="X268" i="2"/>
  <c r="X269" i="2"/>
  <c r="X270" i="2"/>
  <c r="X271" i="2"/>
  <c r="X272" i="2"/>
  <c r="X273" i="2"/>
  <c r="X274" i="2"/>
  <c r="X275" i="2"/>
  <c r="X276" i="2"/>
  <c r="X277" i="2"/>
  <c r="X278" i="2"/>
  <c r="X279" i="2"/>
  <c r="X280" i="2"/>
  <c r="X281" i="2"/>
  <c r="X282" i="2"/>
  <c r="X283" i="2"/>
  <c r="X284" i="2"/>
  <c r="X285" i="2"/>
  <c r="X286" i="2"/>
  <c r="X287" i="2"/>
  <c r="X288" i="2"/>
  <c r="X289" i="2"/>
  <c r="X290" i="2"/>
  <c r="X291" i="2"/>
  <c r="X292" i="2"/>
  <c r="X293" i="2"/>
  <c r="X294" i="2"/>
  <c r="X295" i="2"/>
  <c r="X296" i="2"/>
  <c r="X297" i="2"/>
  <c r="X298" i="2"/>
  <c r="X300" i="2"/>
  <c r="X301" i="2"/>
  <c r="X302" i="2"/>
  <c r="X303" i="2"/>
  <c r="X304" i="2"/>
  <c r="X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U71" i="2"/>
  <c r="U72" i="2"/>
  <c r="U73" i="2"/>
  <c r="U74" i="2"/>
  <c r="U75" i="2"/>
  <c r="U76" i="2"/>
  <c r="U77" i="2"/>
  <c r="U78" i="2"/>
  <c r="U79" i="2"/>
  <c r="U80" i="2"/>
  <c r="U81" i="2"/>
  <c r="U82" i="2"/>
  <c r="U83" i="2"/>
  <c r="U84" i="2"/>
  <c r="U85" i="2"/>
  <c r="U86" i="2"/>
  <c r="U87" i="2"/>
  <c r="U88" i="2"/>
  <c r="U89" i="2"/>
  <c r="U90" i="2"/>
  <c r="U91" i="2"/>
  <c r="U92" i="2"/>
  <c r="U93" i="2"/>
  <c r="U94" i="2"/>
  <c r="U95" i="2"/>
  <c r="U96" i="2"/>
  <c r="U97" i="2"/>
  <c r="U98" i="2"/>
  <c r="U99" i="2"/>
  <c r="U100" i="2"/>
  <c r="U101" i="2"/>
  <c r="U102" i="2"/>
  <c r="U103" i="2"/>
  <c r="U104" i="2"/>
  <c r="U105" i="2"/>
  <c r="U106" i="2"/>
  <c r="U107" i="2"/>
  <c r="U108" i="2"/>
  <c r="U109" i="2"/>
  <c r="U110" i="2"/>
  <c r="U111" i="2"/>
  <c r="U112" i="2"/>
  <c r="U113" i="2"/>
  <c r="U114" i="2"/>
  <c r="U115" i="2"/>
  <c r="U116" i="2"/>
  <c r="U117" i="2"/>
  <c r="U118" i="2"/>
  <c r="U119" i="2"/>
  <c r="U120" i="2"/>
  <c r="U121" i="2"/>
  <c r="U122" i="2"/>
  <c r="U123" i="2"/>
  <c r="U124" i="2"/>
  <c r="U125" i="2"/>
  <c r="U126" i="2"/>
  <c r="U127" i="2"/>
  <c r="U128" i="2"/>
  <c r="U129" i="2"/>
  <c r="U130" i="2"/>
  <c r="U131" i="2"/>
  <c r="U132" i="2"/>
  <c r="U133" i="2"/>
  <c r="U134" i="2"/>
  <c r="U135" i="2"/>
  <c r="U136" i="2"/>
  <c r="U137" i="2"/>
  <c r="U138" i="2"/>
  <c r="U139" i="2"/>
  <c r="U140" i="2"/>
  <c r="U141" i="2"/>
  <c r="U142" i="2"/>
  <c r="U143" i="2"/>
  <c r="U144" i="2"/>
  <c r="U145" i="2"/>
  <c r="U146" i="2"/>
  <c r="U147" i="2"/>
  <c r="U148" i="2"/>
  <c r="U149" i="2"/>
  <c r="U150" i="2"/>
  <c r="U151" i="2"/>
  <c r="U152" i="2"/>
  <c r="U153" i="2"/>
  <c r="U154" i="2"/>
  <c r="U155" i="2"/>
  <c r="U156" i="2"/>
  <c r="U157" i="2"/>
  <c r="U158" i="2"/>
  <c r="U159" i="2"/>
  <c r="U160" i="2"/>
  <c r="U161" i="2"/>
  <c r="U162" i="2"/>
  <c r="U163" i="2"/>
  <c r="U164" i="2"/>
  <c r="U165" i="2"/>
  <c r="U166" i="2"/>
  <c r="U167" i="2"/>
  <c r="U168" i="2"/>
  <c r="U169" i="2"/>
  <c r="U170" i="2"/>
  <c r="U171" i="2"/>
  <c r="U172" i="2"/>
  <c r="U173" i="2"/>
  <c r="U174" i="2"/>
  <c r="U175" i="2"/>
  <c r="U176" i="2"/>
  <c r="U177" i="2"/>
  <c r="U178" i="2"/>
  <c r="U179" i="2"/>
  <c r="U180" i="2"/>
  <c r="U181" i="2"/>
  <c r="U182" i="2"/>
  <c r="U183" i="2"/>
  <c r="U184" i="2"/>
  <c r="U185" i="2"/>
  <c r="U186" i="2"/>
  <c r="U187" i="2"/>
  <c r="U188" i="2"/>
  <c r="U189" i="2"/>
  <c r="U190" i="2"/>
  <c r="U191" i="2"/>
  <c r="U192" i="2"/>
  <c r="U193" i="2"/>
  <c r="U194" i="2"/>
  <c r="U195" i="2"/>
  <c r="U196" i="2"/>
  <c r="U197" i="2"/>
  <c r="U198" i="2"/>
  <c r="U199" i="2"/>
  <c r="U200" i="2"/>
  <c r="U201" i="2"/>
  <c r="U202" i="2"/>
  <c r="U203" i="2"/>
  <c r="U204" i="2"/>
  <c r="U205" i="2"/>
  <c r="U206" i="2"/>
  <c r="U207" i="2"/>
  <c r="U208" i="2"/>
  <c r="U209" i="2"/>
  <c r="U210" i="2"/>
  <c r="U211" i="2"/>
  <c r="U212" i="2"/>
  <c r="U213" i="2"/>
  <c r="U214" i="2"/>
  <c r="U215" i="2"/>
  <c r="U216" i="2"/>
  <c r="U217" i="2"/>
  <c r="U218" i="2"/>
  <c r="U219" i="2"/>
  <c r="U220" i="2"/>
  <c r="U221" i="2"/>
  <c r="U222" i="2"/>
  <c r="U223" i="2"/>
  <c r="U224" i="2"/>
  <c r="U225" i="2"/>
  <c r="U226" i="2"/>
  <c r="U227" i="2"/>
  <c r="U228" i="2"/>
  <c r="U229" i="2"/>
  <c r="U230" i="2"/>
  <c r="U231" i="2"/>
  <c r="U232" i="2"/>
  <c r="U233" i="2"/>
  <c r="U234" i="2"/>
  <c r="U235" i="2"/>
  <c r="U236" i="2"/>
  <c r="U237" i="2"/>
  <c r="U238" i="2"/>
  <c r="U239" i="2"/>
  <c r="U240" i="2"/>
  <c r="U241" i="2"/>
  <c r="U242" i="2"/>
  <c r="U243" i="2"/>
  <c r="U244" i="2"/>
  <c r="U245" i="2"/>
  <c r="U246" i="2"/>
  <c r="U247" i="2"/>
  <c r="U248" i="2"/>
  <c r="U249" i="2"/>
  <c r="U250" i="2"/>
  <c r="U251" i="2"/>
  <c r="U252" i="2"/>
  <c r="U253" i="2"/>
  <c r="U254" i="2"/>
  <c r="U255" i="2"/>
  <c r="U256" i="2"/>
  <c r="U257" i="2"/>
  <c r="U259" i="2"/>
  <c r="U260" i="2"/>
  <c r="U261" i="2"/>
  <c r="U262" i="2"/>
  <c r="U263" i="2"/>
  <c r="U264" i="2"/>
  <c r="U265" i="2"/>
  <c r="U266" i="2"/>
  <c r="U267" i="2"/>
  <c r="U268" i="2"/>
  <c r="U269" i="2"/>
  <c r="U270" i="2"/>
  <c r="U271" i="2"/>
  <c r="U272" i="2"/>
  <c r="U273" i="2"/>
  <c r="U274" i="2"/>
  <c r="U275" i="2"/>
  <c r="U276" i="2"/>
  <c r="U277" i="2"/>
  <c r="U278" i="2"/>
  <c r="U279" i="2"/>
  <c r="U280" i="2"/>
  <c r="U281" i="2"/>
  <c r="U282" i="2"/>
  <c r="U283" i="2"/>
  <c r="U284" i="2"/>
  <c r="U285" i="2"/>
  <c r="U286" i="2"/>
  <c r="U287" i="2"/>
  <c r="U288" i="2"/>
  <c r="U289" i="2"/>
  <c r="U290" i="2"/>
  <c r="U291" i="2"/>
  <c r="U292" i="2"/>
  <c r="U293" i="2"/>
  <c r="U294" i="2"/>
  <c r="U295" i="2"/>
  <c r="U296" i="2"/>
  <c r="U297" i="2"/>
  <c r="U298" i="2"/>
  <c r="U300" i="2"/>
  <c r="U301" i="2"/>
  <c r="U302" i="2"/>
  <c r="U303" i="2"/>
  <c r="U304" i="2"/>
  <c r="U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300" i="2"/>
  <c r="R301" i="2"/>
  <c r="R302" i="2"/>
  <c r="R303" i="2"/>
  <c r="R304" i="2"/>
  <c r="R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300" i="2"/>
  <c r="O301" i="2"/>
  <c r="O302" i="2"/>
  <c r="O303" i="2"/>
  <c r="O304" i="2"/>
  <c r="O4"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300" i="2"/>
  <c r="L301" i="2"/>
  <c r="L302" i="2"/>
  <c r="L303" i="2"/>
  <c r="L304" i="2"/>
  <c r="L41" i="2"/>
  <c r="L42" i="2"/>
  <c r="L43"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300" i="2"/>
  <c r="I301" i="2"/>
  <c r="I302" i="2"/>
  <c r="I303" i="2"/>
  <c r="I304" i="2"/>
  <c r="I67" i="2"/>
  <c r="I68" i="2"/>
  <c r="I69" i="2"/>
  <c r="I70" i="2"/>
  <c r="I71" i="2"/>
  <c r="I72" i="2"/>
  <c r="I73" i="2"/>
  <c r="I74" i="2"/>
  <c r="I75" i="2"/>
  <c r="I76"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4" i="2"/>
  <c r="I738" i="1"/>
  <c r="I739" i="1"/>
  <c r="I740" i="1"/>
  <c r="I741" i="1"/>
  <c r="I742" i="1"/>
  <c r="I743" i="1"/>
  <c r="I744" i="1"/>
  <c r="I745" i="1"/>
  <c r="I746" i="1"/>
  <c r="I747" i="1"/>
  <c r="I750" i="1"/>
  <c r="I751" i="1"/>
  <c r="I752" i="1"/>
  <c r="I753" i="1"/>
  <c r="I754" i="1"/>
  <c r="I737" i="1"/>
  <c r="L738" i="1"/>
  <c r="O738" i="1"/>
  <c r="R738" i="1"/>
  <c r="U738" i="1"/>
  <c r="X738" i="1"/>
  <c r="L739" i="1"/>
  <c r="O739" i="1"/>
  <c r="R739" i="1"/>
  <c r="U739" i="1"/>
  <c r="X739" i="1"/>
  <c r="L740" i="1"/>
  <c r="O740" i="1"/>
  <c r="R740" i="1"/>
  <c r="U740" i="1"/>
  <c r="X740" i="1"/>
  <c r="L741" i="1"/>
  <c r="O741" i="1"/>
  <c r="R741" i="1"/>
  <c r="U741" i="1"/>
  <c r="X741" i="1"/>
  <c r="L742" i="1"/>
  <c r="O742" i="1"/>
  <c r="R742" i="1"/>
  <c r="U742" i="1"/>
  <c r="X742" i="1"/>
  <c r="L743" i="1"/>
  <c r="O743" i="1"/>
  <c r="R743" i="1"/>
  <c r="U743" i="1"/>
  <c r="X743" i="1"/>
  <c r="L744" i="1"/>
  <c r="O744" i="1"/>
  <c r="R744" i="1"/>
  <c r="U744" i="1"/>
  <c r="X744" i="1"/>
  <c r="L745" i="1"/>
  <c r="O745" i="1"/>
  <c r="R745" i="1"/>
  <c r="U745" i="1"/>
  <c r="X745" i="1"/>
  <c r="L746" i="1"/>
  <c r="O746" i="1"/>
  <c r="R746" i="1"/>
  <c r="U746" i="1"/>
  <c r="X746" i="1"/>
  <c r="L747" i="1"/>
  <c r="O747" i="1"/>
  <c r="R747" i="1"/>
  <c r="U747" i="1"/>
  <c r="X747" i="1"/>
  <c r="L748" i="1"/>
  <c r="O748" i="1"/>
  <c r="R748" i="1"/>
  <c r="U748" i="1"/>
  <c r="X748" i="1"/>
  <c r="L750" i="1"/>
  <c r="O750" i="1"/>
  <c r="R750" i="1"/>
  <c r="U750" i="1"/>
  <c r="X750" i="1"/>
  <c r="L751" i="1"/>
  <c r="O751" i="1"/>
  <c r="R751" i="1"/>
  <c r="U751" i="1"/>
  <c r="X751" i="1"/>
  <c r="L752" i="1"/>
  <c r="O752" i="1"/>
  <c r="R752" i="1"/>
  <c r="U752" i="1"/>
  <c r="X752" i="1"/>
  <c r="L753" i="1"/>
  <c r="O753" i="1"/>
  <c r="R753" i="1"/>
  <c r="U753" i="1"/>
  <c r="X753" i="1"/>
  <c r="L754" i="1"/>
  <c r="O754" i="1"/>
  <c r="R754" i="1"/>
  <c r="U754" i="1"/>
  <c r="X754" i="1"/>
  <c r="X737" i="1"/>
  <c r="U737" i="1"/>
  <c r="R737" i="1"/>
  <c r="O737" i="1"/>
  <c r="L737" i="1"/>
  <c r="AA304" i="2" l="1"/>
  <c r="AA279" i="2"/>
  <c r="AA244" i="2"/>
  <c r="AA208" i="2"/>
  <c r="AA184" i="2"/>
  <c r="AA148" i="2"/>
  <c r="AA124" i="2"/>
  <c r="AA112" i="2"/>
  <c r="AA291" i="2"/>
  <c r="AA256" i="2"/>
  <c r="AA220" i="2"/>
  <c r="AA160" i="2"/>
  <c r="AA100" i="2"/>
  <c r="AA269" i="2"/>
  <c r="AA232" i="2"/>
  <c r="AA196" i="2"/>
  <c r="AA172" i="2"/>
  <c r="AA136" i="2"/>
  <c r="AA88" i="2"/>
  <c r="AA64" i="2"/>
  <c r="AA52" i="2"/>
  <c r="AA42" i="2"/>
  <c r="AA294" i="2"/>
  <c r="AA282" i="2"/>
  <c r="AA260" i="2"/>
  <c r="AA247" i="2"/>
  <c r="AA235" i="2"/>
  <c r="AA223" i="2"/>
  <c r="AA211" i="2"/>
  <c r="AA199" i="2"/>
  <c r="AA187" i="2"/>
  <c r="AA175" i="2"/>
  <c r="AA163" i="2"/>
  <c r="AA151" i="2"/>
  <c r="AA139" i="2"/>
  <c r="AA127" i="2"/>
  <c r="AA115" i="2"/>
  <c r="AA103" i="2"/>
  <c r="AA53" i="2"/>
  <c r="AA65" i="2"/>
  <c r="AA91" i="2"/>
  <c r="AA79" i="2"/>
  <c r="AA55" i="2"/>
  <c r="AA43" i="2"/>
  <c r="AA32" i="2"/>
  <c r="AA20" i="2"/>
  <c r="AA41" i="2"/>
  <c r="AA290" i="2"/>
  <c r="AA255" i="2"/>
  <c r="AA219" i="2"/>
  <c r="AA183" i="2"/>
  <c r="AA147" i="2"/>
  <c r="AA87" i="2"/>
  <c r="AA293" i="2"/>
  <c r="AA246" i="2"/>
  <c r="AA234" i="2"/>
  <c r="AA210" i="2"/>
  <c r="AA186" i="2"/>
  <c r="AA174" i="2"/>
  <c r="AA162" i="2"/>
  <c r="AA138" i="2"/>
  <c r="AA114" i="2"/>
  <c r="AA78" i="2"/>
  <c r="AA278" i="2"/>
  <c r="AA243" i="2"/>
  <c r="AA207" i="2"/>
  <c r="AA171" i="2"/>
  <c r="AA135" i="2"/>
  <c r="AA111" i="2"/>
  <c r="AA126" i="2"/>
  <c r="AA102" i="2"/>
  <c r="AA90" i="2"/>
  <c r="AA63" i="2"/>
  <c r="AA51" i="2"/>
  <c r="AA303" i="2"/>
  <c r="AA268" i="2"/>
  <c r="AA231" i="2"/>
  <c r="AA195" i="2"/>
  <c r="AA159" i="2"/>
  <c r="AA123" i="2"/>
  <c r="AA99" i="2"/>
  <c r="AA281" i="2"/>
  <c r="AA259" i="2"/>
  <c r="AA222" i="2"/>
  <c r="AA198" i="2"/>
  <c r="AA150" i="2"/>
  <c r="AA75" i="2"/>
  <c r="AA7" i="2"/>
  <c r="AA29" i="2"/>
  <c r="AA66" i="2"/>
  <c r="AA54" i="2"/>
  <c r="AA31" i="2"/>
  <c r="AA19" i="2"/>
  <c r="AA40" i="2"/>
  <c r="AA28" i="2"/>
  <c r="AA16" i="2"/>
  <c r="AA76" i="2"/>
  <c r="AA302" i="2"/>
  <c r="AA289" i="2"/>
  <c r="AA277" i="2"/>
  <c r="AA267" i="2"/>
  <c r="AA254" i="2"/>
  <c r="AA242" i="2"/>
  <c r="AA230" i="2"/>
  <c r="AA218" i="2"/>
  <c r="AA206" i="2"/>
  <c r="AA194" i="2"/>
  <c r="AA182" i="2"/>
  <c r="AA170" i="2"/>
  <c r="AA158" i="2"/>
  <c r="AA146" i="2"/>
  <c r="AA134" i="2"/>
  <c r="AA122" i="2"/>
  <c r="AA110" i="2"/>
  <c r="AA98" i="2"/>
  <c r="AA86" i="2"/>
  <c r="AA292" i="2"/>
  <c r="AA280" i="2"/>
  <c r="AA270" i="2"/>
  <c r="AA257" i="2"/>
  <c r="AA245" i="2"/>
  <c r="AA233" i="2"/>
  <c r="AA221" i="2"/>
  <c r="AA209" i="2"/>
  <c r="AA197" i="2"/>
  <c r="AA185" i="2"/>
  <c r="AA173" i="2"/>
  <c r="AA161" i="2"/>
  <c r="AA149" i="2"/>
  <c r="AA137" i="2"/>
  <c r="AA125" i="2"/>
  <c r="AA113" i="2"/>
  <c r="AA101" i="2"/>
  <c r="AA89" i="2"/>
  <c r="AA77" i="2"/>
  <c r="AA17" i="2"/>
  <c r="AA241" i="2"/>
  <c r="AA157" i="2"/>
  <c r="AA61" i="2"/>
  <c r="AA49" i="2"/>
  <c r="AA38" i="2"/>
  <c r="AA26" i="2"/>
  <c r="AA14" i="2"/>
  <c r="AA74" i="2"/>
  <c r="AA300" i="2"/>
  <c r="AA287" i="2"/>
  <c r="AA275" i="2"/>
  <c r="AA265" i="2"/>
  <c r="AA252" i="2"/>
  <c r="AA240" i="2"/>
  <c r="AA228" i="2"/>
  <c r="AA216" i="2"/>
  <c r="AA204" i="2"/>
  <c r="AA192" i="2"/>
  <c r="AA180" i="2"/>
  <c r="AA168" i="2"/>
  <c r="AA156" i="2"/>
  <c r="AA144" i="2"/>
  <c r="AA132" i="2"/>
  <c r="AA120" i="2"/>
  <c r="AA108" i="2"/>
  <c r="AA96" i="2"/>
  <c r="AA84" i="2"/>
  <c r="AA18" i="2"/>
  <c r="AA50" i="2"/>
  <c r="AA276" i="2"/>
  <c r="AA169" i="2"/>
  <c r="AA85" i="2"/>
  <c r="AA25" i="2"/>
  <c r="AA227" i="2"/>
  <c r="AA95" i="2"/>
  <c r="AA5" i="2"/>
  <c r="AA27" i="2"/>
  <c r="AA253" i="2"/>
  <c r="AA193" i="2"/>
  <c r="AA133" i="2"/>
  <c r="AA48" i="2"/>
  <c r="AA298" i="2"/>
  <c r="AA251" i="2"/>
  <c r="AA191" i="2"/>
  <c r="AA131" i="2"/>
  <c r="AA59" i="2"/>
  <c r="AA72" i="2"/>
  <c r="AA250" i="2"/>
  <c r="AA226" i="2"/>
  <c r="AA166" i="2"/>
  <c r="AA142" i="2"/>
  <c r="AA118" i="2"/>
  <c r="AA94" i="2"/>
  <c r="AA82" i="2"/>
  <c r="AA30" i="2"/>
  <c r="AA39" i="2"/>
  <c r="AA266" i="2"/>
  <c r="AA181" i="2"/>
  <c r="AA97" i="2"/>
  <c r="AA73" i="2"/>
  <c r="AA239" i="2"/>
  <c r="AA167" i="2"/>
  <c r="AA107" i="2"/>
  <c r="AA47" i="2"/>
  <c r="AA297" i="2"/>
  <c r="AA263" i="2"/>
  <c r="AA238" i="2"/>
  <c r="AA178" i="2"/>
  <c r="AA154" i="2"/>
  <c r="AA130" i="2"/>
  <c r="AA106" i="2"/>
  <c r="AA58" i="2"/>
  <c r="AA46" i="2"/>
  <c r="AA35" i="2"/>
  <c r="AA23" i="2"/>
  <c r="AA11" i="2"/>
  <c r="AA71" i="2"/>
  <c r="AA296" i="2"/>
  <c r="AA284" i="2"/>
  <c r="AA272" i="2"/>
  <c r="AA262" i="2"/>
  <c r="AA249" i="2"/>
  <c r="AA237" i="2"/>
  <c r="AA225" i="2"/>
  <c r="AA213" i="2"/>
  <c r="AA201" i="2"/>
  <c r="AA189" i="2"/>
  <c r="AA177" i="2"/>
  <c r="AA165" i="2"/>
  <c r="AA153" i="2"/>
  <c r="AA141" i="2"/>
  <c r="AA129" i="2"/>
  <c r="AA117" i="2"/>
  <c r="AA105" i="2"/>
  <c r="AA93" i="2"/>
  <c r="AA81" i="2"/>
  <c r="AA67" i="2"/>
  <c r="AA301" i="2"/>
  <c r="AA217" i="2"/>
  <c r="AA145" i="2"/>
  <c r="AA37" i="2"/>
  <c r="AA274" i="2"/>
  <c r="AA215" i="2"/>
  <c r="AA155" i="2"/>
  <c r="AA83" i="2"/>
  <c r="AA24" i="2"/>
  <c r="AA273" i="2"/>
  <c r="AA214" i="2"/>
  <c r="AA57" i="2"/>
  <c r="AA22" i="2"/>
  <c r="AA10" i="2"/>
  <c r="AA70" i="2"/>
  <c r="AA295" i="2"/>
  <c r="AA283" i="2"/>
  <c r="AA271" i="2"/>
  <c r="AA261" i="2"/>
  <c r="AA248" i="2"/>
  <c r="AA236" i="2"/>
  <c r="AA224" i="2"/>
  <c r="AA212" i="2"/>
  <c r="AA200" i="2"/>
  <c r="AA188" i="2"/>
  <c r="AA176" i="2"/>
  <c r="AA164" i="2"/>
  <c r="AA152" i="2"/>
  <c r="AA140" i="2"/>
  <c r="AA128" i="2"/>
  <c r="AA116" i="2"/>
  <c r="AA104" i="2"/>
  <c r="AA92" i="2"/>
  <c r="AA80" i="2"/>
  <c r="AA6" i="2"/>
  <c r="AA15" i="2"/>
  <c r="AA229" i="2"/>
  <c r="AA121" i="2"/>
  <c r="AA60" i="2"/>
  <c r="AA286" i="2"/>
  <c r="AA203" i="2"/>
  <c r="AA119" i="2"/>
  <c r="AA12" i="2"/>
  <c r="AA190" i="2"/>
  <c r="AA45" i="2"/>
  <c r="AA44" i="2"/>
  <c r="AA21" i="2"/>
  <c r="AA69" i="2"/>
  <c r="AA62" i="2"/>
  <c r="AA288" i="2"/>
  <c r="AA205" i="2"/>
  <c r="AA109" i="2"/>
  <c r="AA13" i="2"/>
  <c r="AA264" i="2"/>
  <c r="AA179" i="2"/>
  <c r="AA143" i="2"/>
  <c r="AA36" i="2"/>
  <c r="AA285" i="2"/>
  <c r="AA202" i="2"/>
  <c r="AA34" i="2"/>
  <c r="AA56" i="2"/>
  <c r="AA33" i="2"/>
  <c r="AA9" i="2"/>
  <c r="AA4" i="2"/>
  <c r="AA8" i="2"/>
  <c r="AA68" i="2"/>
  <c r="AA753" i="1"/>
  <c r="AA752" i="1"/>
  <c r="AA742" i="1"/>
  <c r="AA746" i="1"/>
  <c r="AA751" i="1"/>
  <c r="AA738" i="1"/>
  <c r="AA744" i="1"/>
  <c r="AA740" i="1"/>
  <c r="AA739" i="1"/>
  <c r="AA741" i="1"/>
  <c r="AA748" i="1"/>
  <c r="AA754" i="1"/>
  <c r="AA737" i="1"/>
  <c r="AA750" i="1"/>
  <c r="AA747" i="1"/>
  <c r="AA745" i="1"/>
  <c r="AA743" i="1"/>
  <c r="I736" i="1"/>
  <c r="L736" i="1"/>
  <c r="O736" i="1"/>
  <c r="R736" i="1"/>
  <c r="U736" i="1"/>
  <c r="X736" i="1"/>
  <c r="AA736" i="1" l="1"/>
  <c r="I714" i="1"/>
  <c r="I715" i="1"/>
  <c r="I716" i="1"/>
  <c r="I717" i="1"/>
  <c r="I718" i="1"/>
  <c r="I719" i="1"/>
  <c r="I720" i="1"/>
  <c r="I721" i="1"/>
  <c r="I722" i="1"/>
  <c r="I723" i="1"/>
  <c r="I724" i="1"/>
  <c r="I725" i="1"/>
  <c r="I726" i="1"/>
  <c r="I727" i="1"/>
  <c r="I728" i="1"/>
  <c r="I729" i="1"/>
  <c r="I730" i="1"/>
  <c r="I731" i="1"/>
  <c r="I732" i="1"/>
  <c r="I733" i="1"/>
  <c r="I734" i="1"/>
  <c r="I735" i="1"/>
  <c r="I713" i="1"/>
  <c r="L714" i="1"/>
  <c r="O714" i="1"/>
  <c r="R714" i="1"/>
  <c r="U714" i="1"/>
  <c r="X714" i="1"/>
  <c r="L715" i="1"/>
  <c r="O715" i="1"/>
  <c r="R715" i="1"/>
  <c r="U715" i="1"/>
  <c r="X715" i="1"/>
  <c r="L716" i="1"/>
  <c r="O716" i="1"/>
  <c r="R716" i="1"/>
  <c r="U716" i="1"/>
  <c r="X716" i="1"/>
  <c r="L717" i="1"/>
  <c r="O717" i="1"/>
  <c r="R717" i="1"/>
  <c r="U717" i="1"/>
  <c r="X717" i="1"/>
  <c r="L718" i="1"/>
  <c r="O718" i="1"/>
  <c r="R718" i="1"/>
  <c r="U718" i="1"/>
  <c r="X718" i="1"/>
  <c r="L719" i="1"/>
  <c r="O719" i="1"/>
  <c r="R719" i="1"/>
  <c r="U719" i="1"/>
  <c r="X719" i="1"/>
  <c r="L720" i="1"/>
  <c r="O720" i="1"/>
  <c r="R720" i="1"/>
  <c r="U720" i="1"/>
  <c r="X720" i="1"/>
  <c r="L721" i="1"/>
  <c r="O721" i="1"/>
  <c r="R721" i="1"/>
  <c r="U721" i="1"/>
  <c r="X721" i="1"/>
  <c r="L722" i="1"/>
  <c r="O722" i="1"/>
  <c r="R722" i="1"/>
  <c r="U722" i="1"/>
  <c r="X722" i="1"/>
  <c r="L723" i="1"/>
  <c r="O723" i="1"/>
  <c r="R723" i="1"/>
  <c r="U723" i="1"/>
  <c r="X723" i="1"/>
  <c r="L724" i="1"/>
  <c r="O724" i="1"/>
  <c r="R724" i="1"/>
  <c r="U724" i="1"/>
  <c r="X724" i="1"/>
  <c r="L725" i="1"/>
  <c r="O725" i="1"/>
  <c r="R725" i="1"/>
  <c r="U725" i="1"/>
  <c r="X725" i="1"/>
  <c r="L726" i="1"/>
  <c r="O726" i="1"/>
  <c r="R726" i="1"/>
  <c r="U726" i="1"/>
  <c r="X726" i="1"/>
  <c r="L727" i="1"/>
  <c r="O727" i="1"/>
  <c r="R727" i="1"/>
  <c r="U727" i="1"/>
  <c r="X727" i="1"/>
  <c r="L728" i="1"/>
  <c r="O728" i="1"/>
  <c r="R728" i="1"/>
  <c r="U728" i="1"/>
  <c r="X728" i="1"/>
  <c r="L729" i="1"/>
  <c r="O729" i="1"/>
  <c r="R729" i="1"/>
  <c r="U729" i="1"/>
  <c r="X729" i="1"/>
  <c r="L730" i="1"/>
  <c r="O730" i="1"/>
  <c r="R730" i="1"/>
  <c r="U730" i="1"/>
  <c r="X730" i="1"/>
  <c r="L731" i="1"/>
  <c r="O731" i="1"/>
  <c r="R731" i="1"/>
  <c r="U731" i="1"/>
  <c r="X731" i="1"/>
  <c r="L732" i="1"/>
  <c r="O732" i="1"/>
  <c r="R732" i="1"/>
  <c r="U732" i="1"/>
  <c r="X732" i="1"/>
  <c r="L733" i="1"/>
  <c r="O733" i="1"/>
  <c r="R733" i="1"/>
  <c r="U733" i="1"/>
  <c r="X733" i="1"/>
  <c r="L734" i="1"/>
  <c r="O734" i="1"/>
  <c r="R734" i="1"/>
  <c r="U734" i="1"/>
  <c r="X734" i="1"/>
  <c r="L735" i="1"/>
  <c r="O735" i="1"/>
  <c r="R735" i="1"/>
  <c r="U735" i="1"/>
  <c r="X735" i="1"/>
  <c r="X713" i="1"/>
  <c r="U713" i="1"/>
  <c r="R713" i="1"/>
  <c r="O713" i="1"/>
  <c r="L713" i="1"/>
  <c r="AA717" i="1" l="1"/>
  <c r="AA715" i="1"/>
  <c r="AA728" i="1"/>
  <c r="AA726" i="1"/>
  <c r="AA735" i="1"/>
  <c r="AA714" i="1"/>
  <c r="AA721" i="1"/>
  <c r="AA719" i="1"/>
  <c r="AA727" i="1"/>
  <c r="AA729" i="1"/>
  <c r="AA725" i="1"/>
  <c r="AA733" i="1"/>
  <c r="AA718" i="1"/>
  <c r="AA731" i="1"/>
  <c r="AA716" i="1"/>
  <c r="AA734" i="1"/>
  <c r="AA724" i="1"/>
  <c r="AA713" i="1"/>
  <c r="AA723" i="1"/>
  <c r="AA720" i="1"/>
  <c r="AA730" i="1"/>
  <c r="AA722" i="1"/>
  <c r="AA732" i="1"/>
  <c r="I712" i="1"/>
  <c r="L712" i="1"/>
  <c r="O712" i="1"/>
  <c r="R712" i="1"/>
  <c r="U712" i="1"/>
  <c r="X712" i="1"/>
  <c r="AA712" i="1" l="1"/>
  <c r="I689" i="1"/>
  <c r="I690" i="1"/>
  <c r="I691" i="1"/>
  <c r="I692" i="1"/>
  <c r="I693" i="1"/>
  <c r="I694" i="1"/>
  <c r="I695" i="1"/>
  <c r="I696" i="1"/>
  <c r="AA696" i="1" s="1"/>
  <c r="I697" i="1"/>
  <c r="I698" i="1"/>
  <c r="I699" i="1"/>
  <c r="I700" i="1"/>
  <c r="I701" i="1"/>
  <c r="I702" i="1"/>
  <c r="I703" i="1"/>
  <c r="I704" i="1"/>
  <c r="I705" i="1"/>
  <c r="I706" i="1"/>
  <c r="I707" i="1"/>
  <c r="I708" i="1"/>
  <c r="I709" i="1"/>
  <c r="I710" i="1"/>
  <c r="I711" i="1"/>
  <c r="I688" i="1"/>
  <c r="L689" i="1"/>
  <c r="O689" i="1"/>
  <c r="R689" i="1"/>
  <c r="U689" i="1"/>
  <c r="X689" i="1"/>
  <c r="L690" i="1"/>
  <c r="O690" i="1"/>
  <c r="R690" i="1"/>
  <c r="U690" i="1"/>
  <c r="X690" i="1"/>
  <c r="L691" i="1"/>
  <c r="O691" i="1"/>
  <c r="R691" i="1"/>
  <c r="U691" i="1"/>
  <c r="X691" i="1"/>
  <c r="L692" i="1"/>
  <c r="O692" i="1"/>
  <c r="R692" i="1"/>
  <c r="U692" i="1"/>
  <c r="X692" i="1"/>
  <c r="L693" i="1"/>
  <c r="O693" i="1"/>
  <c r="R693" i="1"/>
  <c r="U693" i="1"/>
  <c r="X693" i="1"/>
  <c r="L694" i="1"/>
  <c r="O694" i="1"/>
  <c r="R694" i="1"/>
  <c r="U694" i="1"/>
  <c r="X694" i="1"/>
  <c r="L695" i="1"/>
  <c r="O695" i="1"/>
  <c r="R695" i="1"/>
  <c r="U695" i="1"/>
  <c r="X695" i="1"/>
  <c r="L696" i="1"/>
  <c r="O696" i="1"/>
  <c r="R696" i="1"/>
  <c r="U696" i="1"/>
  <c r="X696" i="1"/>
  <c r="L697" i="1"/>
  <c r="O697" i="1"/>
  <c r="R697" i="1"/>
  <c r="U697" i="1"/>
  <c r="X697" i="1"/>
  <c r="L698" i="1"/>
  <c r="O698" i="1"/>
  <c r="R698" i="1"/>
  <c r="U698" i="1"/>
  <c r="X698" i="1"/>
  <c r="L699" i="1"/>
  <c r="O699" i="1"/>
  <c r="R699" i="1"/>
  <c r="U699" i="1"/>
  <c r="X699" i="1"/>
  <c r="L700" i="1"/>
  <c r="O700" i="1"/>
  <c r="R700" i="1"/>
  <c r="U700" i="1"/>
  <c r="X700" i="1"/>
  <c r="L701" i="1"/>
  <c r="O701" i="1"/>
  <c r="R701" i="1"/>
  <c r="U701" i="1"/>
  <c r="X701" i="1"/>
  <c r="L702" i="1"/>
  <c r="O702" i="1"/>
  <c r="R702" i="1"/>
  <c r="U702" i="1"/>
  <c r="X702" i="1"/>
  <c r="L703" i="1"/>
  <c r="O703" i="1"/>
  <c r="R703" i="1"/>
  <c r="U703" i="1"/>
  <c r="X703" i="1"/>
  <c r="L704" i="1"/>
  <c r="O704" i="1"/>
  <c r="R704" i="1"/>
  <c r="U704" i="1"/>
  <c r="X704" i="1"/>
  <c r="L705" i="1"/>
  <c r="O705" i="1"/>
  <c r="R705" i="1"/>
  <c r="U705" i="1"/>
  <c r="X705" i="1"/>
  <c r="L706" i="1"/>
  <c r="O706" i="1"/>
  <c r="R706" i="1"/>
  <c r="U706" i="1"/>
  <c r="X706" i="1"/>
  <c r="L707" i="1"/>
  <c r="O707" i="1"/>
  <c r="R707" i="1"/>
  <c r="U707" i="1"/>
  <c r="X707" i="1"/>
  <c r="L708" i="1"/>
  <c r="O708" i="1"/>
  <c r="R708" i="1"/>
  <c r="U708" i="1"/>
  <c r="X708" i="1"/>
  <c r="L709" i="1"/>
  <c r="O709" i="1"/>
  <c r="R709" i="1"/>
  <c r="U709" i="1"/>
  <c r="X709" i="1"/>
  <c r="L710" i="1"/>
  <c r="O710" i="1"/>
  <c r="R710" i="1"/>
  <c r="U710" i="1"/>
  <c r="X710" i="1"/>
  <c r="L711" i="1"/>
  <c r="O711" i="1"/>
  <c r="R711" i="1"/>
  <c r="U711" i="1"/>
  <c r="X711" i="1"/>
  <c r="X688" i="1"/>
  <c r="U688" i="1"/>
  <c r="R688" i="1"/>
  <c r="O688" i="1"/>
  <c r="L688" i="1"/>
  <c r="AA692" i="1" l="1"/>
  <c r="AA698" i="1"/>
  <c r="AA693" i="1"/>
  <c r="AA690" i="1"/>
  <c r="AA689" i="1"/>
  <c r="AA691" i="1"/>
  <c r="AA694" i="1"/>
  <c r="AA702" i="1"/>
  <c r="AA700" i="1"/>
  <c r="AA708" i="1"/>
  <c r="AA706" i="1"/>
  <c r="AA704" i="1"/>
  <c r="AA701" i="1"/>
  <c r="AA703" i="1"/>
  <c r="AA695" i="1"/>
  <c r="AA705" i="1"/>
  <c r="AA710" i="1"/>
  <c r="AA699" i="1"/>
  <c r="AA711" i="1"/>
  <c r="AA709" i="1"/>
  <c r="AA697" i="1"/>
  <c r="AA707" i="1"/>
  <c r="AA688" i="1"/>
  <c r="X532" i="1"/>
  <c r="U532" i="1"/>
  <c r="R532" i="1"/>
  <c r="O532" i="1"/>
  <c r="L532" i="1"/>
  <c r="X448" i="1"/>
  <c r="X449" i="1"/>
  <c r="U448" i="1"/>
  <c r="R448" i="1"/>
  <c r="O448" i="1"/>
  <c r="L448" i="1"/>
  <c r="I448" i="1"/>
  <c r="X447" i="1"/>
  <c r="U447" i="1"/>
  <c r="R447" i="1"/>
  <c r="O447" i="1"/>
  <c r="L447" i="1"/>
  <c r="I447" i="1"/>
  <c r="X600" i="1"/>
  <c r="U600" i="1"/>
  <c r="R600" i="1"/>
  <c r="O600" i="1"/>
  <c r="L600" i="1"/>
  <c r="I600" i="1"/>
  <c r="I532" i="1"/>
  <c r="X680" i="1"/>
  <c r="U680" i="1"/>
  <c r="U681" i="1"/>
  <c r="R680" i="1"/>
  <c r="O680" i="1"/>
  <c r="L680" i="1"/>
  <c r="I680" i="1"/>
  <c r="X673" i="1"/>
  <c r="U673" i="1"/>
  <c r="R673" i="1"/>
  <c r="O673" i="1"/>
  <c r="L673" i="1"/>
  <c r="I673" i="1"/>
  <c r="AA447" i="1" l="1"/>
  <c r="AA532" i="1"/>
  <c r="AA448" i="1"/>
  <c r="AA600" i="1"/>
  <c r="AA680" i="1"/>
  <c r="AA673" i="1"/>
  <c r="P421" i="1" l="1"/>
  <c r="S184" i="1" l="1"/>
  <c r="I650" i="1"/>
  <c r="I651" i="1"/>
  <c r="I652" i="1"/>
  <c r="I653" i="1"/>
  <c r="I654" i="1"/>
  <c r="I655" i="1"/>
  <c r="I656" i="1"/>
  <c r="I657" i="1"/>
  <c r="I658" i="1"/>
  <c r="I659" i="1"/>
  <c r="I660" i="1"/>
  <c r="I661" i="1"/>
  <c r="I662" i="1"/>
  <c r="I663" i="1"/>
  <c r="I664" i="1"/>
  <c r="I665" i="1"/>
  <c r="I666" i="1"/>
  <c r="I667" i="1"/>
  <c r="I668" i="1"/>
  <c r="I669" i="1"/>
  <c r="I670" i="1"/>
  <c r="I671" i="1"/>
  <c r="I672" i="1"/>
  <c r="I674" i="1"/>
  <c r="I675" i="1"/>
  <c r="I676" i="1"/>
  <c r="I677" i="1"/>
  <c r="I678" i="1"/>
  <c r="I679" i="1"/>
  <c r="I681" i="1"/>
  <c r="I682" i="1"/>
  <c r="I683" i="1"/>
  <c r="I684" i="1"/>
  <c r="I685" i="1"/>
  <c r="I686" i="1"/>
  <c r="I687" i="1"/>
  <c r="I649" i="1"/>
  <c r="L650" i="1"/>
  <c r="O650" i="1"/>
  <c r="R650" i="1"/>
  <c r="U650" i="1"/>
  <c r="X650" i="1"/>
  <c r="L651" i="1"/>
  <c r="O651" i="1"/>
  <c r="R651" i="1"/>
  <c r="U651" i="1"/>
  <c r="X651" i="1"/>
  <c r="L652" i="1"/>
  <c r="O652" i="1"/>
  <c r="R652" i="1"/>
  <c r="U652" i="1"/>
  <c r="X652" i="1"/>
  <c r="L653" i="1"/>
  <c r="O653" i="1"/>
  <c r="R653" i="1"/>
  <c r="U653" i="1"/>
  <c r="X653" i="1"/>
  <c r="L654" i="1"/>
  <c r="O654" i="1"/>
  <c r="R654" i="1"/>
  <c r="U654" i="1"/>
  <c r="X654" i="1"/>
  <c r="L655" i="1"/>
  <c r="O655" i="1"/>
  <c r="R655" i="1"/>
  <c r="U655" i="1"/>
  <c r="X655" i="1"/>
  <c r="L656" i="1"/>
  <c r="O656" i="1"/>
  <c r="R656" i="1"/>
  <c r="U656" i="1"/>
  <c r="X656" i="1"/>
  <c r="L657" i="1"/>
  <c r="O657" i="1"/>
  <c r="R657" i="1"/>
  <c r="U657" i="1"/>
  <c r="X657" i="1"/>
  <c r="L658" i="1"/>
  <c r="O658" i="1"/>
  <c r="R658" i="1"/>
  <c r="U658" i="1"/>
  <c r="X658" i="1"/>
  <c r="L659" i="1"/>
  <c r="O659" i="1"/>
  <c r="R659" i="1"/>
  <c r="U659" i="1"/>
  <c r="X659" i="1"/>
  <c r="L660" i="1"/>
  <c r="O660" i="1"/>
  <c r="R660" i="1"/>
  <c r="U660" i="1"/>
  <c r="X660" i="1"/>
  <c r="L661" i="1"/>
  <c r="O661" i="1"/>
  <c r="R661" i="1"/>
  <c r="U661" i="1"/>
  <c r="X661" i="1"/>
  <c r="L662" i="1"/>
  <c r="O662" i="1"/>
  <c r="R662" i="1"/>
  <c r="U662" i="1"/>
  <c r="X662" i="1"/>
  <c r="L663" i="1"/>
  <c r="O663" i="1"/>
  <c r="R663" i="1"/>
  <c r="U663" i="1"/>
  <c r="X663" i="1"/>
  <c r="L664" i="1"/>
  <c r="O664" i="1"/>
  <c r="R664" i="1"/>
  <c r="U664" i="1"/>
  <c r="X664" i="1"/>
  <c r="L665" i="1"/>
  <c r="O665" i="1"/>
  <c r="R665" i="1"/>
  <c r="U665" i="1"/>
  <c r="X665" i="1"/>
  <c r="L666" i="1"/>
  <c r="O666" i="1"/>
  <c r="R666" i="1"/>
  <c r="U666" i="1"/>
  <c r="X666" i="1"/>
  <c r="L667" i="1"/>
  <c r="O667" i="1"/>
  <c r="R667" i="1"/>
  <c r="U667" i="1"/>
  <c r="X667" i="1"/>
  <c r="L668" i="1"/>
  <c r="O668" i="1"/>
  <c r="R668" i="1"/>
  <c r="U668" i="1"/>
  <c r="X668" i="1"/>
  <c r="L669" i="1"/>
  <c r="O669" i="1"/>
  <c r="R669" i="1"/>
  <c r="U669" i="1"/>
  <c r="X669" i="1"/>
  <c r="L670" i="1"/>
  <c r="O670" i="1"/>
  <c r="R670" i="1"/>
  <c r="U670" i="1"/>
  <c r="X670" i="1"/>
  <c r="L671" i="1"/>
  <c r="O671" i="1"/>
  <c r="R671" i="1"/>
  <c r="U671" i="1"/>
  <c r="X671" i="1"/>
  <c r="L672" i="1"/>
  <c r="O672" i="1"/>
  <c r="R672" i="1"/>
  <c r="U672" i="1"/>
  <c r="X672" i="1"/>
  <c r="L674" i="1"/>
  <c r="O674" i="1"/>
  <c r="R674" i="1"/>
  <c r="U674" i="1"/>
  <c r="X674" i="1"/>
  <c r="L675" i="1"/>
  <c r="O675" i="1"/>
  <c r="R675" i="1"/>
  <c r="U675" i="1"/>
  <c r="X675" i="1"/>
  <c r="L676" i="1"/>
  <c r="O676" i="1"/>
  <c r="R676" i="1"/>
  <c r="U676" i="1"/>
  <c r="X676" i="1"/>
  <c r="L677" i="1"/>
  <c r="O677" i="1"/>
  <c r="R677" i="1"/>
  <c r="U677" i="1"/>
  <c r="X677" i="1"/>
  <c r="L678" i="1"/>
  <c r="O678" i="1"/>
  <c r="R678" i="1"/>
  <c r="U678" i="1"/>
  <c r="X678" i="1"/>
  <c r="L679" i="1"/>
  <c r="O679" i="1"/>
  <c r="R679" i="1"/>
  <c r="U679" i="1"/>
  <c r="X679" i="1"/>
  <c r="L681" i="1"/>
  <c r="O681" i="1"/>
  <c r="R681" i="1"/>
  <c r="X681" i="1"/>
  <c r="L682" i="1"/>
  <c r="O682" i="1"/>
  <c r="R682" i="1"/>
  <c r="U682" i="1"/>
  <c r="X682" i="1"/>
  <c r="L683" i="1"/>
  <c r="O683" i="1"/>
  <c r="R683" i="1"/>
  <c r="U683" i="1"/>
  <c r="X683" i="1"/>
  <c r="L684" i="1"/>
  <c r="O684" i="1"/>
  <c r="R684" i="1"/>
  <c r="U684" i="1"/>
  <c r="X684" i="1"/>
  <c r="L685" i="1"/>
  <c r="O685" i="1"/>
  <c r="R685" i="1"/>
  <c r="U685" i="1"/>
  <c r="X685" i="1"/>
  <c r="L686" i="1"/>
  <c r="O686" i="1"/>
  <c r="R686" i="1"/>
  <c r="U686" i="1"/>
  <c r="X686" i="1"/>
  <c r="L687" i="1"/>
  <c r="O687" i="1"/>
  <c r="R687" i="1"/>
  <c r="U687" i="1"/>
  <c r="X687" i="1"/>
  <c r="X649" i="1"/>
  <c r="U649" i="1"/>
  <c r="R649" i="1"/>
  <c r="O649" i="1"/>
  <c r="L649" i="1"/>
  <c r="AA664" i="1" l="1"/>
  <c r="AA662" i="1"/>
  <c r="AA650" i="1"/>
  <c r="AA660" i="1"/>
  <c r="AA657" i="1"/>
  <c r="AA674" i="1"/>
  <c r="AA681" i="1"/>
  <c r="AA666" i="1"/>
  <c r="AA676" i="1"/>
  <c r="AA668" i="1"/>
  <c r="AA678" i="1"/>
  <c r="AA663" i="1"/>
  <c r="AA665" i="1"/>
  <c r="AA685" i="1"/>
  <c r="AA675" i="1"/>
  <c r="AA667" i="1"/>
  <c r="AA670" i="1"/>
  <c r="AA677" i="1"/>
  <c r="AA682" i="1"/>
  <c r="AA679" i="1"/>
  <c r="AA658" i="1"/>
  <c r="AA671" i="1"/>
  <c r="AA669" i="1"/>
  <c r="AA655" i="1"/>
  <c r="AA654" i="1"/>
  <c r="AA653" i="1"/>
  <c r="AA687" i="1"/>
  <c r="AA686" i="1"/>
  <c r="AA684" i="1"/>
  <c r="AA683" i="1"/>
  <c r="AA652" i="1"/>
  <c r="AA672" i="1"/>
  <c r="AA651" i="1"/>
  <c r="AA661" i="1"/>
  <c r="AA659" i="1"/>
  <c r="AA656" i="1"/>
  <c r="AA649" i="1"/>
  <c r="I627" i="1" l="1"/>
  <c r="I628" i="1"/>
  <c r="I629" i="1"/>
  <c r="I630" i="1"/>
  <c r="I631" i="1"/>
  <c r="I632" i="1"/>
  <c r="I633" i="1"/>
  <c r="I634" i="1"/>
  <c r="I635" i="1"/>
  <c r="I636" i="1"/>
  <c r="I637" i="1"/>
  <c r="I638" i="1"/>
  <c r="I639" i="1"/>
  <c r="I640" i="1"/>
  <c r="I641" i="1"/>
  <c r="I642" i="1"/>
  <c r="I643" i="1"/>
  <c r="I644" i="1"/>
  <c r="I645" i="1"/>
  <c r="I646" i="1"/>
  <c r="I647" i="1"/>
  <c r="I648" i="1"/>
  <c r="I626" i="1"/>
  <c r="L627" i="1"/>
  <c r="O627" i="1"/>
  <c r="R627" i="1"/>
  <c r="U627" i="1"/>
  <c r="X627" i="1"/>
  <c r="L628" i="1"/>
  <c r="O628" i="1"/>
  <c r="R628" i="1"/>
  <c r="U628" i="1"/>
  <c r="X628" i="1"/>
  <c r="L629" i="1"/>
  <c r="O629" i="1"/>
  <c r="R629" i="1"/>
  <c r="U629" i="1"/>
  <c r="X629" i="1"/>
  <c r="L630" i="1"/>
  <c r="O630" i="1"/>
  <c r="R630" i="1"/>
  <c r="U630" i="1"/>
  <c r="X630" i="1"/>
  <c r="L631" i="1"/>
  <c r="O631" i="1"/>
  <c r="R631" i="1"/>
  <c r="U631" i="1"/>
  <c r="X631" i="1"/>
  <c r="L632" i="1"/>
  <c r="O632" i="1"/>
  <c r="R632" i="1"/>
  <c r="U632" i="1"/>
  <c r="X632" i="1"/>
  <c r="L633" i="1"/>
  <c r="O633" i="1"/>
  <c r="R633" i="1"/>
  <c r="U633" i="1"/>
  <c r="X633" i="1"/>
  <c r="L634" i="1"/>
  <c r="O634" i="1"/>
  <c r="R634" i="1"/>
  <c r="U634" i="1"/>
  <c r="X634" i="1"/>
  <c r="L635" i="1"/>
  <c r="O635" i="1"/>
  <c r="R635" i="1"/>
  <c r="U635" i="1"/>
  <c r="X635" i="1"/>
  <c r="L636" i="1"/>
  <c r="O636" i="1"/>
  <c r="R636" i="1"/>
  <c r="U636" i="1"/>
  <c r="X636" i="1"/>
  <c r="L637" i="1"/>
  <c r="O637" i="1"/>
  <c r="R637" i="1"/>
  <c r="U637" i="1"/>
  <c r="X637" i="1"/>
  <c r="L638" i="1"/>
  <c r="O638" i="1"/>
  <c r="R638" i="1"/>
  <c r="U638" i="1"/>
  <c r="X638" i="1"/>
  <c r="L639" i="1"/>
  <c r="O639" i="1"/>
  <c r="R639" i="1"/>
  <c r="U639" i="1"/>
  <c r="X639" i="1"/>
  <c r="L640" i="1"/>
  <c r="O640" i="1"/>
  <c r="R640" i="1"/>
  <c r="U640" i="1"/>
  <c r="X640" i="1"/>
  <c r="L641" i="1"/>
  <c r="O641" i="1"/>
  <c r="R641" i="1"/>
  <c r="U641" i="1"/>
  <c r="X641" i="1"/>
  <c r="L642" i="1"/>
  <c r="O642" i="1"/>
  <c r="R642" i="1"/>
  <c r="U642" i="1"/>
  <c r="X642" i="1"/>
  <c r="L643" i="1"/>
  <c r="O643" i="1"/>
  <c r="R643" i="1"/>
  <c r="U643" i="1"/>
  <c r="X643" i="1"/>
  <c r="L644" i="1"/>
  <c r="O644" i="1"/>
  <c r="R644" i="1"/>
  <c r="U644" i="1"/>
  <c r="X644" i="1"/>
  <c r="L645" i="1"/>
  <c r="O645" i="1"/>
  <c r="R645" i="1"/>
  <c r="U645" i="1"/>
  <c r="X645" i="1"/>
  <c r="L646" i="1"/>
  <c r="O646" i="1"/>
  <c r="R646" i="1"/>
  <c r="U646" i="1"/>
  <c r="X646" i="1"/>
  <c r="L647" i="1"/>
  <c r="O647" i="1"/>
  <c r="R647" i="1"/>
  <c r="U647" i="1"/>
  <c r="X647" i="1"/>
  <c r="L648" i="1"/>
  <c r="O648" i="1"/>
  <c r="R648" i="1"/>
  <c r="U648" i="1"/>
  <c r="X648" i="1"/>
  <c r="X626" i="1"/>
  <c r="U626" i="1"/>
  <c r="R626" i="1"/>
  <c r="O626" i="1"/>
  <c r="L626" i="1"/>
  <c r="I605" i="1"/>
  <c r="I606" i="1"/>
  <c r="I607" i="1"/>
  <c r="I608" i="1"/>
  <c r="I609" i="1"/>
  <c r="I610" i="1"/>
  <c r="I611" i="1"/>
  <c r="I612" i="1"/>
  <c r="I613" i="1"/>
  <c r="I614" i="1"/>
  <c r="I615" i="1"/>
  <c r="I616" i="1"/>
  <c r="I617" i="1"/>
  <c r="I618" i="1"/>
  <c r="I619" i="1"/>
  <c r="I620" i="1"/>
  <c r="I621" i="1"/>
  <c r="I622" i="1"/>
  <c r="I623" i="1"/>
  <c r="I624" i="1"/>
  <c r="I625" i="1"/>
  <c r="I604" i="1"/>
  <c r="L605" i="1"/>
  <c r="O605" i="1"/>
  <c r="R605" i="1"/>
  <c r="U605" i="1"/>
  <c r="X605" i="1"/>
  <c r="L606" i="1"/>
  <c r="O606" i="1"/>
  <c r="R606" i="1"/>
  <c r="U606" i="1"/>
  <c r="X606" i="1"/>
  <c r="L607" i="1"/>
  <c r="O607" i="1"/>
  <c r="R607" i="1"/>
  <c r="U607" i="1"/>
  <c r="X607" i="1"/>
  <c r="L608" i="1"/>
  <c r="O608" i="1"/>
  <c r="R608" i="1"/>
  <c r="U608" i="1"/>
  <c r="X608" i="1"/>
  <c r="L609" i="1"/>
  <c r="O609" i="1"/>
  <c r="R609" i="1"/>
  <c r="U609" i="1"/>
  <c r="X609" i="1"/>
  <c r="L610" i="1"/>
  <c r="O610" i="1"/>
  <c r="R610" i="1"/>
  <c r="U610" i="1"/>
  <c r="X610" i="1"/>
  <c r="L611" i="1"/>
  <c r="O611" i="1"/>
  <c r="R611" i="1"/>
  <c r="U611" i="1"/>
  <c r="X611" i="1"/>
  <c r="L612" i="1"/>
  <c r="O612" i="1"/>
  <c r="R612" i="1"/>
  <c r="U612" i="1"/>
  <c r="X612" i="1"/>
  <c r="L613" i="1"/>
  <c r="O613" i="1"/>
  <c r="R613" i="1"/>
  <c r="U613" i="1"/>
  <c r="X613" i="1"/>
  <c r="L614" i="1"/>
  <c r="O614" i="1"/>
  <c r="R614" i="1"/>
  <c r="U614" i="1"/>
  <c r="X614" i="1"/>
  <c r="L615" i="1"/>
  <c r="O615" i="1"/>
  <c r="R615" i="1"/>
  <c r="U615" i="1"/>
  <c r="X615" i="1"/>
  <c r="L616" i="1"/>
  <c r="O616" i="1"/>
  <c r="R616" i="1"/>
  <c r="U616" i="1"/>
  <c r="X616" i="1"/>
  <c r="L617" i="1"/>
  <c r="O617" i="1"/>
  <c r="R617" i="1"/>
  <c r="U617" i="1"/>
  <c r="X617" i="1"/>
  <c r="L618" i="1"/>
  <c r="O618" i="1"/>
  <c r="R618" i="1"/>
  <c r="U618" i="1"/>
  <c r="X618" i="1"/>
  <c r="L619" i="1"/>
  <c r="O619" i="1"/>
  <c r="R619" i="1"/>
  <c r="U619" i="1"/>
  <c r="X619" i="1"/>
  <c r="L620" i="1"/>
  <c r="O620" i="1"/>
  <c r="R620" i="1"/>
  <c r="U620" i="1"/>
  <c r="X620" i="1"/>
  <c r="L621" i="1"/>
  <c r="O621" i="1"/>
  <c r="R621" i="1"/>
  <c r="U621" i="1"/>
  <c r="X621" i="1"/>
  <c r="L622" i="1"/>
  <c r="O622" i="1"/>
  <c r="R622" i="1"/>
  <c r="U622" i="1"/>
  <c r="X622" i="1"/>
  <c r="L623" i="1"/>
  <c r="O623" i="1"/>
  <c r="R623" i="1"/>
  <c r="U623" i="1"/>
  <c r="X623" i="1"/>
  <c r="L624" i="1"/>
  <c r="O624" i="1"/>
  <c r="R624" i="1"/>
  <c r="U624" i="1"/>
  <c r="X624" i="1"/>
  <c r="L625" i="1"/>
  <c r="O625" i="1"/>
  <c r="R625" i="1"/>
  <c r="U625" i="1"/>
  <c r="X625" i="1"/>
  <c r="X604" i="1"/>
  <c r="U604" i="1"/>
  <c r="R604" i="1"/>
  <c r="O604" i="1"/>
  <c r="L604" i="1"/>
  <c r="I585" i="1"/>
  <c r="I586" i="1"/>
  <c r="I587" i="1"/>
  <c r="I588" i="1"/>
  <c r="I589" i="1"/>
  <c r="I590" i="1"/>
  <c r="I591" i="1"/>
  <c r="I592" i="1"/>
  <c r="I593" i="1"/>
  <c r="I594" i="1"/>
  <c r="I595" i="1"/>
  <c r="I596" i="1"/>
  <c r="I597" i="1"/>
  <c r="I598" i="1"/>
  <c r="I599" i="1"/>
  <c r="I601" i="1"/>
  <c r="I602" i="1"/>
  <c r="I603" i="1"/>
  <c r="I584" i="1"/>
  <c r="L585" i="1"/>
  <c r="O585" i="1"/>
  <c r="R585" i="1"/>
  <c r="U585" i="1"/>
  <c r="X585" i="1"/>
  <c r="L586" i="1"/>
  <c r="O586" i="1"/>
  <c r="R586" i="1"/>
  <c r="U586" i="1"/>
  <c r="X586" i="1"/>
  <c r="L587" i="1"/>
  <c r="O587" i="1"/>
  <c r="R587" i="1"/>
  <c r="U587" i="1"/>
  <c r="X587" i="1"/>
  <c r="L588" i="1"/>
  <c r="O588" i="1"/>
  <c r="R588" i="1"/>
  <c r="U588" i="1"/>
  <c r="X588" i="1"/>
  <c r="L589" i="1"/>
  <c r="O589" i="1"/>
  <c r="R589" i="1"/>
  <c r="U589" i="1"/>
  <c r="X589" i="1"/>
  <c r="L590" i="1"/>
  <c r="O590" i="1"/>
  <c r="R590" i="1"/>
  <c r="U590" i="1"/>
  <c r="X590" i="1"/>
  <c r="L591" i="1"/>
  <c r="O591" i="1"/>
  <c r="R591" i="1"/>
  <c r="U591" i="1"/>
  <c r="X591" i="1"/>
  <c r="L592" i="1"/>
  <c r="O592" i="1"/>
  <c r="R592" i="1"/>
  <c r="U592" i="1"/>
  <c r="X592" i="1"/>
  <c r="L593" i="1"/>
  <c r="O593" i="1"/>
  <c r="R593" i="1"/>
  <c r="U593" i="1"/>
  <c r="X593" i="1"/>
  <c r="L594" i="1"/>
  <c r="O594" i="1"/>
  <c r="R594" i="1"/>
  <c r="U594" i="1"/>
  <c r="X594" i="1"/>
  <c r="L595" i="1"/>
  <c r="O595" i="1"/>
  <c r="R595" i="1"/>
  <c r="U595" i="1"/>
  <c r="X595" i="1"/>
  <c r="L596" i="1"/>
  <c r="O596" i="1"/>
  <c r="R596" i="1"/>
  <c r="U596" i="1"/>
  <c r="X596" i="1"/>
  <c r="L597" i="1"/>
  <c r="O597" i="1"/>
  <c r="R597" i="1"/>
  <c r="U597" i="1"/>
  <c r="X597" i="1"/>
  <c r="L598" i="1"/>
  <c r="O598" i="1"/>
  <c r="R598" i="1"/>
  <c r="U598" i="1"/>
  <c r="X598" i="1"/>
  <c r="L599" i="1"/>
  <c r="O599" i="1"/>
  <c r="R599" i="1"/>
  <c r="U599" i="1"/>
  <c r="X599" i="1"/>
  <c r="L601" i="1"/>
  <c r="O601" i="1"/>
  <c r="R601" i="1"/>
  <c r="U601" i="1"/>
  <c r="X601" i="1"/>
  <c r="L602" i="1"/>
  <c r="O602" i="1"/>
  <c r="R602" i="1"/>
  <c r="U602" i="1"/>
  <c r="X602" i="1"/>
  <c r="L603" i="1"/>
  <c r="O603" i="1"/>
  <c r="R603" i="1"/>
  <c r="U603" i="1"/>
  <c r="X603" i="1"/>
  <c r="X584" i="1"/>
  <c r="U584" i="1"/>
  <c r="R584" i="1"/>
  <c r="O584" i="1"/>
  <c r="L584" i="1"/>
  <c r="AA627" i="1" l="1"/>
  <c r="AA630" i="1"/>
  <c r="AA628" i="1"/>
  <c r="AA632" i="1"/>
  <c r="AA634" i="1"/>
  <c r="AA648" i="1"/>
  <c r="AA636" i="1"/>
  <c r="AA642" i="1"/>
  <c r="AA640" i="1"/>
  <c r="AA615" i="1"/>
  <c r="AA629" i="1"/>
  <c r="AA644" i="1"/>
  <c r="AA631" i="1"/>
  <c r="AA638" i="1"/>
  <c r="AA626" i="1"/>
  <c r="AA646" i="1"/>
  <c r="AA639" i="1"/>
  <c r="AA608" i="1"/>
  <c r="AA641" i="1"/>
  <c r="AA643" i="1"/>
  <c r="AA637" i="1"/>
  <c r="AA635" i="1"/>
  <c r="AA647" i="1"/>
  <c r="AA633" i="1"/>
  <c r="AA645" i="1"/>
  <c r="AA619" i="1"/>
  <c r="AA610" i="1"/>
  <c r="AA617" i="1"/>
  <c r="AA616" i="1"/>
  <c r="AA612" i="1"/>
  <c r="AA606" i="1"/>
  <c r="AA605" i="1"/>
  <c r="AA614" i="1"/>
  <c r="AA607" i="1"/>
  <c r="AA620" i="1"/>
  <c r="AA624" i="1"/>
  <c r="AA625" i="1"/>
  <c r="AA618" i="1"/>
  <c r="AA622" i="1"/>
  <c r="AA613" i="1"/>
  <c r="AA609" i="1"/>
  <c r="AA604" i="1"/>
  <c r="AA611" i="1"/>
  <c r="AA621" i="1"/>
  <c r="AA623" i="1"/>
  <c r="AA596" i="1"/>
  <c r="AA598" i="1"/>
  <c r="AA593" i="1"/>
  <c r="AA591" i="1"/>
  <c r="AA586" i="1"/>
  <c r="AA603" i="1"/>
  <c r="AA601" i="1"/>
  <c r="AA599" i="1"/>
  <c r="AA597" i="1"/>
  <c r="AA585" i="1"/>
  <c r="AA595" i="1"/>
  <c r="AA602" i="1"/>
  <c r="AA590" i="1"/>
  <c r="AA588" i="1"/>
  <c r="AA594" i="1"/>
  <c r="AA592" i="1"/>
  <c r="AA587" i="1"/>
  <c r="AA589" i="1"/>
  <c r="AA584" i="1"/>
  <c r="I562" i="1"/>
  <c r="I563" i="1"/>
  <c r="I564" i="1"/>
  <c r="I565" i="1"/>
  <c r="I566" i="1"/>
  <c r="I567" i="1"/>
  <c r="I568" i="1"/>
  <c r="I569" i="1"/>
  <c r="I570" i="1"/>
  <c r="I571" i="1"/>
  <c r="I572" i="1"/>
  <c r="I573" i="1"/>
  <c r="I574" i="1"/>
  <c r="I575" i="1"/>
  <c r="I576" i="1"/>
  <c r="I577" i="1"/>
  <c r="I578" i="1"/>
  <c r="I579" i="1"/>
  <c r="I580" i="1"/>
  <c r="I581" i="1"/>
  <c r="I582" i="1"/>
  <c r="I583" i="1"/>
  <c r="I561" i="1"/>
  <c r="L562" i="1"/>
  <c r="O562" i="1"/>
  <c r="R562" i="1"/>
  <c r="U562" i="1"/>
  <c r="X562" i="1"/>
  <c r="L563" i="1"/>
  <c r="O563" i="1"/>
  <c r="R563" i="1"/>
  <c r="U563" i="1"/>
  <c r="X563" i="1"/>
  <c r="L564" i="1"/>
  <c r="O564" i="1"/>
  <c r="R564" i="1"/>
  <c r="U564" i="1"/>
  <c r="X564" i="1"/>
  <c r="L565" i="1"/>
  <c r="O565" i="1"/>
  <c r="R565" i="1"/>
  <c r="U565" i="1"/>
  <c r="X565" i="1"/>
  <c r="L566" i="1"/>
  <c r="O566" i="1"/>
  <c r="R566" i="1"/>
  <c r="U566" i="1"/>
  <c r="X566" i="1"/>
  <c r="L567" i="1"/>
  <c r="O567" i="1"/>
  <c r="R567" i="1"/>
  <c r="U567" i="1"/>
  <c r="X567" i="1"/>
  <c r="L568" i="1"/>
  <c r="O568" i="1"/>
  <c r="R568" i="1"/>
  <c r="U568" i="1"/>
  <c r="X568" i="1"/>
  <c r="L569" i="1"/>
  <c r="O569" i="1"/>
  <c r="R569" i="1"/>
  <c r="U569" i="1"/>
  <c r="X569" i="1"/>
  <c r="L570" i="1"/>
  <c r="O570" i="1"/>
  <c r="R570" i="1"/>
  <c r="U570" i="1"/>
  <c r="X570" i="1"/>
  <c r="L571" i="1"/>
  <c r="O571" i="1"/>
  <c r="R571" i="1"/>
  <c r="U571" i="1"/>
  <c r="X571" i="1"/>
  <c r="L572" i="1"/>
  <c r="O572" i="1"/>
  <c r="R572" i="1"/>
  <c r="U572" i="1"/>
  <c r="X572" i="1"/>
  <c r="L573" i="1"/>
  <c r="O573" i="1"/>
  <c r="R573" i="1"/>
  <c r="U573" i="1"/>
  <c r="X573" i="1"/>
  <c r="L574" i="1"/>
  <c r="O574" i="1"/>
  <c r="R574" i="1"/>
  <c r="U574" i="1"/>
  <c r="X574" i="1"/>
  <c r="L575" i="1"/>
  <c r="O575" i="1"/>
  <c r="R575" i="1"/>
  <c r="U575" i="1"/>
  <c r="X575" i="1"/>
  <c r="L576" i="1"/>
  <c r="O576" i="1"/>
  <c r="R576" i="1"/>
  <c r="U576" i="1"/>
  <c r="X576" i="1"/>
  <c r="L577" i="1"/>
  <c r="O577" i="1"/>
  <c r="R577" i="1"/>
  <c r="U577" i="1"/>
  <c r="X577" i="1"/>
  <c r="L578" i="1"/>
  <c r="O578" i="1"/>
  <c r="R578" i="1"/>
  <c r="U578" i="1"/>
  <c r="X578" i="1"/>
  <c r="L579" i="1"/>
  <c r="O579" i="1"/>
  <c r="R579" i="1"/>
  <c r="U579" i="1"/>
  <c r="X579" i="1"/>
  <c r="L580" i="1"/>
  <c r="O580" i="1"/>
  <c r="R580" i="1"/>
  <c r="U580" i="1"/>
  <c r="X580" i="1"/>
  <c r="L581" i="1"/>
  <c r="O581" i="1"/>
  <c r="R581" i="1"/>
  <c r="U581" i="1"/>
  <c r="X581" i="1"/>
  <c r="L582" i="1"/>
  <c r="O582" i="1"/>
  <c r="R582" i="1"/>
  <c r="U582" i="1"/>
  <c r="X582" i="1"/>
  <c r="L583" i="1"/>
  <c r="O583" i="1"/>
  <c r="R583" i="1"/>
  <c r="U583" i="1"/>
  <c r="X583" i="1"/>
  <c r="X561" i="1"/>
  <c r="U561" i="1"/>
  <c r="R561" i="1"/>
  <c r="O561" i="1"/>
  <c r="L561" i="1"/>
  <c r="AA567" i="1" l="1"/>
  <c r="AA565" i="1"/>
  <c r="AA563" i="1"/>
  <c r="AA581" i="1"/>
  <c r="AA569" i="1"/>
  <c r="AA583" i="1"/>
  <c r="AA575" i="1"/>
  <c r="AA571" i="1"/>
  <c r="AA577" i="1"/>
  <c r="AA564" i="1"/>
  <c r="AA566" i="1"/>
  <c r="AA574" i="1"/>
  <c r="AA568" i="1"/>
  <c r="AA576" i="1"/>
  <c r="AA573" i="1"/>
  <c r="AA579" i="1"/>
  <c r="AA562" i="1"/>
  <c r="AA561" i="1"/>
  <c r="AA572" i="1"/>
  <c r="AA578" i="1"/>
  <c r="AA580" i="1"/>
  <c r="AA570" i="1"/>
  <c r="AA582" i="1"/>
  <c r="S159" i="1"/>
  <c r="I554" i="1" l="1"/>
  <c r="I555" i="1"/>
  <c r="I556" i="1"/>
  <c r="I557" i="1"/>
  <c r="I558" i="1"/>
  <c r="I559" i="1"/>
  <c r="I560" i="1"/>
  <c r="L554" i="1"/>
  <c r="O554" i="1"/>
  <c r="R554" i="1"/>
  <c r="U554" i="1"/>
  <c r="X554" i="1"/>
  <c r="L555" i="1"/>
  <c r="O555" i="1"/>
  <c r="R555" i="1"/>
  <c r="U555" i="1"/>
  <c r="X555" i="1"/>
  <c r="L556" i="1"/>
  <c r="O556" i="1"/>
  <c r="R556" i="1"/>
  <c r="U556" i="1"/>
  <c r="X556" i="1"/>
  <c r="L557" i="1"/>
  <c r="O557" i="1"/>
  <c r="R557" i="1"/>
  <c r="U557" i="1"/>
  <c r="X557" i="1"/>
  <c r="L558" i="1"/>
  <c r="O558" i="1"/>
  <c r="R558" i="1"/>
  <c r="U558" i="1"/>
  <c r="X558" i="1"/>
  <c r="L559" i="1"/>
  <c r="O559" i="1"/>
  <c r="R559" i="1"/>
  <c r="U559" i="1"/>
  <c r="X559" i="1"/>
  <c r="L560" i="1"/>
  <c r="O560" i="1"/>
  <c r="R560" i="1"/>
  <c r="U560" i="1"/>
  <c r="X560" i="1"/>
  <c r="AA556" i="1" l="1"/>
  <c r="AA555" i="1"/>
  <c r="AA560" i="1"/>
  <c r="AA558" i="1"/>
  <c r="AA557" i="1"/>
  <c r="AA559" i="1"/>
  <c r="AA554" i="1"/>
  <c r="I533" i="1"/>
  <c r="I534" i="1"/>
  <c r="I535" i="1"/>
  <c r="I536" i="1"/>
  <c r="I537" i="1"/>
  <c r="I538" i="1"/>
  <c r="I539" i="1"/>
  <c r="I540" i="1"/>
  <c r="I541" i="1"/>
  <c r="I542" i="1"/>
  <c r="I543" i="1"/>
  <c r="I544" i="1"/>
  <c r="I545" i="1"/>
  <c r="I546" i="1"/>
  <c r="I547" i="1"/>
  <c r="I548" i="1"/>
  <c r="I549" i="1"/>
  <c r="I550" i="1"/>
  <c r="I551" i="1"/>
  <c r="I552" i="1"/>
  <c r="I553" i="1"/>
  <c r="I531" i="1"/>
  <c r="L533" i="1"/>
  <c r="O533" i="1"/>
  <c r="R533" i="1"/>
  <c r="U533" i="1"/>
  <c r="X533" i="1"/>
  <c r="L534" i="1"/>
  <c r="O534" i="1"/>
  <c r="R534" i="1"/>
  <c r="U534" i="1"/>
  <c r="X534" i="1"/>
  <c r="L535" i="1"/>
  <c r="O535" i="1"/>
  <c r="R535" i="1"/>
  <c r="U535" i="1"/>
  <c r="X535" i="1"/>
  <c r="L536" i="1"/>
  <c r="O536" i="1"/>
  <c r="R536" i="1"/>
  <c r="U536" i="1"/>
  <c r="X536" i="1"/>
  <c r="L537" i="1"/>
  <c r="O537" i="1"/>
  <c r="R537" i="1"/>
  <c r="U537" i="1"/>
  <c r="X537" i="1"/>
  <c r="L538" i="1"/>
  <c r="O538" i="1"/>
  <c r="R538" i="1"/>
  <c r="U538" i="1"/>
  <c r="X538" i="1"/>
  <c r="L539" i="1"/>
  <c r="O539" i="1"/>
  <c r="R539" i="1"/>
  <c r="U539" i="1"/>
  <c r="X539" i="1"/>
  <c r="L540" i="1"/>
  <c r="O540" i="1"/>
  <c r="R540" i="1"/>
  <c r="U540" i="1"/>
  <c r="X540" i="1"/>
  <c r="L541" i="1"/>
  <c r="O541" i="1"/>
  <c r="R541" i="1"/>
  <c r="U541" i="1"/>
  <c r="X541" i="1"/>
  <c r="L542" i="1"/>
  <c r="O542" i="1"/>
  <c r="R542" i="1"/>
  <c r="U542" i="1"/>
  <c r="X542" i="1"/>
  <c r="L543" i="1"/>
  <c r="O543" i="1"/>
  <c r="R543" i="1"/>
  <c r="U543" i="1"/>
  <c r="X543" i="1"/>
  <c r="L544" i="1"/>
  <c r="O544" i="1"/>
  <c r="R544" i="1"/>
  <c r="U544" i="1"/>
  <c r="X544" i="1"/>
  <c r="L545" i="1"/>
  <c r="O545" i="1"/>
  <c r="R545" i="1"/>
  <c r="U545" i="1"/>
  <c r="X545" i="1"/>
  <c r="L546" i="1"/>
  <c r="O546" i="1"/>
  <c r="R546" i="1"/>
  <c r="U546" i="1"/>
  <c r="X546" i="1"/>
  <c r="L547" i="1"/>
  <c r="O547" i="1"/>
  <c r="R547" i="1"/>
  <c r="U547" i="1"/>
  <c r="X547" i="1"/>
  <c r="L548" i="1"/>
  <c r="O548" i="1"/>
  <c r="R548" i="1"/>
  <c r="U548" i="1"/>
  <c r="X548" i="1"/>
  <c r="L549" i="1"/>
  <c r="O549" i="1"/>
  <c r="R549" i="1"/>
  <c r="U549" i="1"/>
  <c r="X549" i="1"/>
  <c r="L550" i="1"/>
  <c r="O550" i="1"/>
  <c r="R550" i="1"/>
  <c r="U550" i="1"/>
  <c r="X550" i="1"/>
  <c r="L551" i="1"/>
  <c r="O551" i="1"/>
  <c r="R551" i="1"/>
  <c r="U551" i="1"/>
  <c r="X551" i="1"/>
  <c r="L552" i="1"/>
  <c r="O552" i="1"/>
  <c r="R552" i="1"/>
  <c r="U552" i="1"/>
  <c r="X552" i="1"/>
  <c r="L553" i="1"/>
  <c r="O553" i="1"/>
  <c r="R553" i="1"/>
  <c r="U553" i="1"/>
  <c r="X553" i="1"/>
  <c r="X531" i="1"/>
  <c r="U531" i="1"/>
  <c r="R531" i="1"/>
  <c r="O531" i="1"/>
  <c r="L531" i="1"/>
  <c r="AA536" i="1" l="1"/>
  <c r="AA538" i="1"/>
  <c r="AA545" i="1"/>
  <c r="AA547" i="1"/>
  <c r="AA540" i="1"/>
  <c r="AA534" i="1"/>
  <c r="AA533" i="1"/>
  <c r="AA546" i="1"/>
  <c r="AA542" i="1"/>
  <c r="AA535" i="1"/>
  <c r="AA548" i="1"/>
  <c r="AA553" i="1"/>
  <c r="AA550" i="1"/>
  <c r="AA552" i="1"/>
  <c r="AA543" i="1"/>
  <c r="AA539" i="1"/>
  <c r="AA549" i="1"/>
  <c r="AA531" i="1"/>
  <c r="AA541" i="1"/>
  <c r="AA551" i="1"/>
  <c r="AA537" i="1"/>
  <c r="AA544" i="1"/>
  <c r="I514" i="1"/>
  <c r="I515" i="1"/>
  <c r="I516" i="1"/>
  <c r="I517" i="1"/>
  <c r="I518" i="1"/>
  <c r="I519" i="1"/>
  <c r="I520" i="1"/>
  <c r="I521" i="1"/>
  <c r="I522" i="1"/>
  <c r="I523" i="1"/>
  <c r="I524" i="1"/>
  <c r="I525" i="1"/>
  <c r="I526" i="1"/>
  <c r="I527" i="1"/>
  <c r="I528" i="1"/>
  <c r="I529" i="1"/>
  <c r="I530" i="1"/>
  <c r="I513" i="1"/>
  <c r="L514" i="1"/>
  <c r="O514" i="1"/>
  <c r="R514" i="1"/>
  <c r="U514" i="1"/>
  <c r="X514" i="1"/>
  <c r="L515" i="1"/>
  <c r="O515" i="1"/>
  <c r="R515" i="1"/>
  <c r="U515" i="1"/>
  <c r="X515" i="1"/>
  <c r="L516" i="1"/>
  <c r="O516" i="1"/>
  <c r="R516" i="1"/>
  <c r="U516" i="1"/>
  <c r="X516" i="1"/>
  <c r="L517" i="1"/>
  <c r="O517" i="1"/>
  <c r="R517" i="1"/>
  <c r="U517" i="1"/>
  <c r="X517" i="1"/>
  <c r="L518" i="1"/>
  <c r="O518" i="1"/>
  <c r="R518" i="1"/>
  <c r="U518" i="1"/>
  <c r="X518" i="1"/>
  <c r="L519" i="1"/>
  <c r="O519" i="1"/>
  <c r="R519" i="1"/>
  <c r="U519" i="1"/>
  <c r="X519" i="1"/>
  <c r="L520" i="1"/>
  <c r="O520" i="1"/>
  <c r="R520" i="1"/>
  <c r="U520" i="1"/>
  <c r="X520" i="1"/>
  <c r="L521" i="1"/>
  <c r="O521" i="1"/>
  <c r="R521" i="1"/>
  <c r="U521" i="1"/>
  <c r="X521" i="1"/>
  <c r="L522" i="1"/>
  <c r="O522" i="1"/>
  <c r="R522" i="1"/>
  <c r="U522" i="1"/>
  <c r="X522" i="1"/>
  <c r="L523" i="1"/>
  <c r="O523" i="1"/>
  <c r="R523" i="1"/>
  <c r="U523" i="1"/>
  <c r="X523" i="1"/>
  <c r="L524" i="1"/>
  <c r="O524" i="1"/>
  <c r="R524" i="1"/>
  <c r="U524" i="1"/>
  <c r="X524" i="1"/>
  <c r="L525" i="1"/>
  <c r="O525" i="1"/>
  <c r="R525" i="1"/>
  <c r="U525" i="1"/>
  <c r="X525" i="1"/>
  <c r="L526" i="1"/>
  <c r="O526" i="1"/>
  <c r="R526" i="1"/>
  <c r="U526" i="1"/>
  <c r="X526" i="1"/>
  <c r="L527" i="1"/>
  <c r="O527" i="1"/>
  <c r="R527" i="1"/>
  <c r="U527" i="1"/>
  <c r="X527" i="1"/>
  <c r="L528" i="1"/>
  <c r="O528" i="1"/>
  <c r="R528" i="1"/>
  <c r="U528" i="1"/>
  <c r="X528" i="1"/>
  <c r="L529" i="1"/>
  <c r="O529" i="1"/>
  <c r="R529" i="1"/>
  <c r="U529" i="1"/>
  <c r="X529" i="1"/>
  <c r="L530" i="1"/>
  <c r="O530" i="1"/>
  <c r="R530" i="1"/>
  <c r="U530" i="1"/>
  <c r="X530" i="1"/>
  <c r="X513" i="1"/>
  <c r="U513" i="1"/>
  <c r="R513" i="1"/>
  <c r="O513" i="1"/>
  <c r="L513" i="1"/>
  <c r="AA516" i="1" l="1"/>
  <c r="AA515" i="1"/>
  <c r="AA520" i="1"/>
  <c r="AA522" i="1"/>
  <c r="AA518" i="1"/>
  <c r="AA530" i="1"/>
  <c r="AA524" i="1"/>
  <c r="AA528" i="1"/>
  <c r="AA517" i="1"/>
  <c r="AA519" i="1"/>
  <c r="AA527" i="1"/>
  <c r="AA529" i="1"/>
  <c r="AA526" i="1"/>
  <c r="AA514" i="1"/>
  <c r="AA525" i="1"/>
  <c r="AA523" i="1"/>
  <c r="AA521" i="1"/>
  <c r="AA513" i="1"/>
  <c r="I499" i="1"/>
  <c r="I500" i="1"/>
  <c r="I501" i="1"/>
  <c r="I502" i="1"/>
  <c r="I503" i="1"/>
  <c r="I504" i="1"/>
  <c r="I505" i="1"/>
  <c r="I506" i="1"/>
  <c r="I507" i="1"/>
  <c r="I508" i="1"/>
  <c r="I509" i="1"/>
  <c r="I510" i="1"/>
  <c r="I511" i="1"/>
  <c r="I512" i="1"/>
  <c r="I498" i="1"/>
  <c r="L499" i="1"/>
  <c r="O499" i="1"/>
  <c r="R499" i="1"/>
  <c r="U499" i="1"/>
  <c r="X499" i="1"/>
  <c r="L500" i="1"/>
  <c r="O500" i="1"/>
  <c r="R500" i="1"/>
  <c r="U500" i="1"/>
  <c r="X500" i="1"/>
  <c r="L501" i="1"/>
  <c r="O501" i="1"/>
  <c r="R501" i="1"/>
  <c r="U501" i="1"/>
  <c r="X501" i="1"/>
  <c r="L502" i="1"/>
  <c r="O502" i="1"/>
  <c r="R502" i="1"/>
  <c r="U502" i="1"/>
  <c r="X502" i="1"/>
  <c r="L503" i="1"/>
  <c r="O503" i="1"/>
  <c r="R503" i="1"/>
  <c r="U503" i="1"/>
  <c r="X503" i="1"/>
  <c r="L504" i="1"/>
  <c r="O504" i="1"/>
  <c r="R504" i="1"/>
  <c r="U504" i="1"/>
  <c r="X504" i="1"/>
  <c r="L505" i="1"/>
  <c r="O505" i="1"/>
  <c r="R505" i="1"/>
  <c r="U505" i="1"/>
  <c r="X505" i="1"/>
  <c r="L506" i="1"/>
  <c r="O506" i="1"/>
  <c r="R506" i="1"/>
  <c r="U506" i="1"/>
  <c r="X506" i="1"/>
  <c r="L507" i="1"/>
  <c r="O507" i="1"/>
  <c r="R507" i="1"/>
  <c r="U507" i="1"/>
  <c r="X507" i="1"/>
  <c r="L508" i="1"/>
  <c r="O508" i="1"/>
  <c r="R508" i="1"/>
  <c r="U508" i="1"/>
  <c r="X508" i="1"/>
  <c r="L509" i="1"/>
  <c r="O509" i="1"/>
  <c r="R509" i="1"/>
  <c r="U509" i="1"/>
  <c r="X509" i="1"/>
  <c r="L510" i="1"/>
  <c r="O510" i="1"/>
  <c r="R510" i="1"/>
  <c r="U510" i="1"/>
  <c r="X510" i="1"/>
  <c r="L511" i="1"/>
  <c r="O511" i="1"/>
  <c r="R511" i="1"/>
  <c r="U511" i="1"/>
  <c r="X511" i="1"/>
  <c r="L512" i="1"/>
  <c r="O512" i="1"/>
  <c r="R512" i="1"/>
  <c r="U512" i="1"/>
  <c r="X512" i="1"/>
  <c r="X498" i="1"/>
  <c r="U498" i="1"/>
  <c r="R498" i="1"/>
  <c r="O498" i="1"/>
  <c r="L498" i="1"/>
  <c r="T1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59" i="1"/>
  <c r="L460" i="1"/>
  <c r="O460" i="1"/>
  <c r="R460" i="1"/>
  <c r="U460" i="1"/>
  <c r="X460" i="1"/>
  <c r="L461" i="1"/>
  <c r="O461" i="1"/>
  <c r="R461" i="1"/>
  <c r="U461" i="1"/>
  <c r="X461" i="1"/>
  <c r="L462" i="1"/>
  <c r="O462" i="1"/>
  <c r="R462" i="1"/>
  <c r="U462" i="1"/>
  <c r="X462" i="1"/>
  <c r="L463" i="1"/>
  <c r="O463" i="1"/>
  <c r="R463" i="1"/>
  <c r="U463" i="1"/>
  <c r="X463" i="1"/>
  <c r="L464" i="1"/>
  <c r="O464" i="1"/>
  <c r="R464" i="1"/>
  <c r="U464" i="1"/>
  <c r="X464" i="1"/>
  <c r="L465" i="1"/>
  <c r="O465" i="1"/>
  <c r="R465" i="1"/>
  <c r="U465" i="1"/>
  <c r="X465" i="1"/>
  <c r="L466" i="1"/>
  <c r="O466" i="1"/>
  <c r="R466" i="1"/>
  <c r="U466" i="1"/>
  <c r="X466" i="1"/>
  <c r="L467" i="1"/>
  <c r="O467" i="1"/>
  <c r="R467" i="1"/>
  <c r="U467" i="1"/>
  <c r="X467" i="1"/>
  <c r="L468" i="1"/>
  <c r="O468" i="1"/>
  <c r="R468" i="1"/>
  <c r="U468" i="1"/>
  <c r="X468" i="1"/>
  <c r="L469" i="1"/>
  <c r="O469" i="1"/>
  <c r="R469" i="1"/>
  <c r="U469" i="1"/>
  <c r="X469" i="1"/>
  <c r="L470" i="1"/>
  <c r="O470" i="1"/>
  <c r="R470" i="1"/>
  <c r="U470" i="1"/>
  <c r="X470" i="1"/>
  <c r="L471" i="1"/>
  <c r="O471" i="1"/>
  <c r="R471" i="1"/>
  <c r="U471" i="1"/>
  <c r="X471" i="1"/>
  <c r="L472" i="1"/>
  <c r="O472" i="1"/>
  <c r="R472" i="1"/>
  <c r="U472" i="1"/>
  <c r="X472" i="1"/>
  <c r="L473" i="1"/>
  <c r="O473" i="1"/>
  <c r="R473" i="1"/>
  <c r="U473" i="1"/>
  <c r="X473" i="1"/>
  <c r="L474" i="1"/>
  <c r="O474" i="1"/>
  <c r="R474" i="1"/>
  <c r="U474" i="1"/>
  <c r="X474" i="1"/>
  <c r="L475" i="1"/>
  <c r="O475" i="1"/>
  <c r="R475" i="1"/>
  <c r="U475" i="1"/>
  <c r="X475" i="1"/>
  <c r="L476" i="1"/>
  <c r="O476" i="1"/>
  <c r="R476" i="1"/>
  <c r="U476" i="1"/>
  <c r="X476" i="1"/>
  <c r="L477" i="1"/>
  <c r="O477" i="1"/>
  <c r="R477" i="1"/>
  <c r="U477" i="1"/>
  <c r="X477" i="1"/>
  <c r="L478" i="1"/>
  <c r="O478" i="1"/>
  <c r="R478" i="1"/>
  <c r="U478" i="1"/>
  <c r="X478" i="1"/>
  <c r="L479" i="1"/>
  <c r="O479" i="1"/>
  <c r="R479" i="1"/>
  <c r="U479" i="1"/>
  <c r="X479" i="1"/>
  <c r="L480" i="1"/>
  <c r="O480" i="1"/>
  <c r="R480" i="1"/>
  <c r="U480" i="1"/>
  <c r="X480" i="1"/>
  <c r="L481" i="1"/>
  <c r="O481" i="1"/>
  <c r="R481" i="1"/>
  <c r="U481" i="1"/>
  <c r="X481" i="1"/>
  <c r="L482" i="1"/>
  <c r="O482" i="1"/>
  <c r="R482" i="1"/>
  <c r="U482" i="1"/>
  <c r="X482" i="1"/>
  <c r="L483" i="1"/>
  <c r="O483" i="1"/>
  <c r="R483" i="1"/>
  <c r="U483" i="1"/>
  <c r="X483" i="1"/>
  <c r="L484" i="1"/>
  <c r="O484" i="1"/>
  <c r="R484" i="1"/>
  <c r="U484" i="1"/>
  <c r="X484" i="1"/>
  <c r="L485" i="1"/>
  <c r="O485" i="1"/>
  <c r="R485" i="1"/>
  <c r="U485" i="1"/>
  <c r="X485" i="1"/>
  <c r="L486" i="1"/>
  <c r="O486" i="1"/>
  <c r="R486" i="1"/>
  <c r="U486" i="1"/>
  <c r="X486" i="1"/>
  <c r="L487" i="1"/>
  <c r="O487" i="1"/>
  <c r="R487" i="1"/>
  <c r="U487" i="1"/>
  <c r="X487" i="1"/>
  <c r="L488" i="1"/>
  <c r="O488" i="1"/>
  <c r="R488" i="1"/>
  <c r="U488" i="1"/>
  <c r="X488" i="1"/>
  <c r="L489" i="1"/>
  <c r="O489" i="1"/>
  <c r="R489" i="1"/>
  <c r="U489" i="1"/>
  <c r="X489" i="1"/>
  <c r="L490" i="1"/>
  <c r="O490" i="1"/>
  <c r="R490" i="1"/>
  <c r="U490" i="1"/>
  <c r="X490" i="1"/>
  <c r="L491" i="1"/>
  <c r="O491" i="1"/>
  <c r="R491" i="1"/>
  <c r="U491" i="1"/>
  <c r="X491" i="1"/>
  <c r="L492" i="1"/>
  <c r="O492" i="1"/>
  <c r="R492" i="1"/>
  <c r="U492" i="1"/>
  <c r="X492" i="1"/>
  <c r="L493" i="1"/>
  <c r="O493" i="1"/>
  <c r="R493" i="1"/>
  <c r="U493" i="1"/>
  <c r="X493" i="1"/>
  <c r="L494" i="1"/>
  <c r="O494" i="1"/>
  <c r="R494" i="1"/>
  <c r="U494" i="1"/>
  <c r="X494" i="1"/>
  <c r="L495" i="1"/>
  <c r="O495" i="1"/>
  <c r="R495" i="1"/>
  <c r="U495" i="1"/>
  <c r="X495" i="1"/>
  <c r="L496" i="1"/>
  <c r="O496" i="1"/>
  <c r="R496" i="1"/>
  <c r="U496" i="1"/>
  <c r="X496" i="1"/>
  <c r="L497" i="1"/>
  <c r="O497" i="1"/>
  <c r="R497" i="1"/>
  <c r="U497" i="1"/>
  <c r="X497" i="1"/>
  <c r="X459" i="1"/>
  <c r="U459" i="1"/>
  <c r="R459" i="1"/>
  <c r="O459" i="1"/>
  <c r="L459" i="1"/>
  <c r="I441" i="1"/>
  <c r="I442" i="1"/>
  <c r="I443" i="1"/>
  <c r="I444" i="1"/>
  <c r="I445" i="1"/>
  <c r="I446" i="1"/>
  <c r="I449" i="1"/>
  <c r="I450" i="1"/>
  <c r="I451" i="1"/>
  <c r="I452" i="1"/>
  <c r="I453" i="1"/>
  <c r="I454" i="1"/>
  <c r="I455" i="1"/>
  <c r="I456" i="1"/>
  <c r="I457" i="1"/>
  <c r="I458" i="1"/>
  <c r="I440" i="1"/>
  <c r="L441" i="1"/>
  <c r="O441" i="1"/>
  <c r="R441" i="1"/>
  <c r="U441" i="1"/>
  <c r="X441" i="1"/>
  <c r="L442" i="1"/>
  <c r="O442" i="1"/>
  <c r="R442" i="1"/>
  <c r="U442" i="1"/>
  <c r="X442" i="1"/>
  <c r="L443" i="1"/>
  <c r="O443" i="1"/>
  <c r="R443" i="1"/>
  <c r="U443" i="1"/>
  <c r="X443" i="1"/>
  <c r="L444" i="1"/>
  <c r="O444" i="1"/>
  <c r="R444" i="1"/>
  <c r="U444" i="1"/>
  <c r="X444" i="1"/>
  <c r="L445" i="1"/>
  <c r="O445" i="1"/>
  <c r="R445" i="1"/>
  <c r="U445" i="1"/>
  <c r="X445" i="1"/>
  <c r="L446" i="1"/>
  <c r="O446" i="1"/>
  <c r="R446" i="1"/>
  <c r="U446" i="1"/>
  <c r="X446" i="1"/>
  <c r="L449" i="1"/>
  <c r="O449" i="1"/>
  <c r="R449" i="1"/>
  <c r="U449" i="1"/>
  <c r="L450" i="1"/>
  <c r="O450" i="1"/>
  <c r="R450" i="1"/>
  <c r="U450" i="1"/>
  <c r="X450" i="1"/>
  <c r="L451" i="1"/>
  <c r="O451" i="1"/>
  <c r="R451" i="1"/>
  <c r="U451" i="1"/>
  <c r="X451" i="1"/>
  <c r="L452" i="1"/>
  <c r="O452" i="1"/>
  <c r="R452" i="1"/>
  <c r="U452" i="1"/>
  <c r="X452" i="1"/>
  <c r="L453" i="1"/>
  <c r="O453" i="1"/>
  <c r="R453" i="1"/>
  <c r="U453" i="1"/>
  <c r="X453" i="1"/>
  <c r="L454" i="1"/>
  <c r="O454" i="1"/>
  <c r="R454" i="1"/>
  <c r="U454" i="1"/>
  <c r="X454" i="1"/>
  <c r="L455" i="1"/>
  <c r="O455" i="1"/>
  <c r="R455" i="1"/>
  <c r="U455" i="1"/>
  <c r="X455" i="1"/>
  <c r="L456" i="1"/>
  <c r="O456" i="1"/>
  <c r="R456" i="1"/>
  <c r="U456" i="1"/>
  <c r="X456" i="1"/>
  <c r="L457" i="1"/>
  <c r="O457" i="1"/>
  <c r="R457" i="1"/>
  <c r="U457" i="1"/>
  <c r="X457" i="1"/>
  <c r="L458" i="1"/>
  <c r="O458" i="1"/>
  <c r="R458" i="1"/>
  <c r="U458" i="1"/>
  <c r="X458" i="1"/>
  <c r="X440" i="1"/>
  <c r="U440" i="1"/>
  <c r="R440" i="1"/>
  <c r="O440" i="1"/>
  <c r="L440"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13" i="1"/>
  <c r="L415" i="1"/>
  <c r="O415" i="1"/>
  <c r="R415" i="1"/>
  <c r="U415" i="1"/>
  <c r="X415" i="1"/>
  <c r="L416" i="1"/>
  <c r="O416" i="1"/>
  <c r="R416" i="1"/>
  <c r="U416" i="1"/>
  <c r="X416" i="1"/>
  <c r="L417" i="1"/>
  <c r="O417" i="1"/>
  <c r="R417" i="1"/>
  <c r="U417" i="1"/>
  <c r="X417" i="1"/>
  <c r="L418" i="1"/>
  <c r="O418" i="1"/>
  <c r="R418" i="1"/>
  <c r="U418" i="1"/>
  <c r="X418" i="1"/>
  <c r="L419" i="1"/>
  <c r="O419" i="1"/>
  <c r="R419" i="1"/>
  <c r="U419" i="1"/>
  <c r="X419" i="1"/>
  <c r="L420" i="1"/>
  <c r="O420" i="1"/>
  <c r="R420" i="1"/>
  <c r="U420" i="1"/>
  <c r="X420" i="1"/>
  <c r="L421" i="1"/>
  <c r="O421" i="1"/>
  <c r="R421" i="1"/>
  <c r="U421" i="1"/>
  <c r="X421" i="1"/>
  <c r="L422" i="1"/>
  <c r="O422" i="1"/>
  <c r="R422" i="1"/>
  <c r="U422" i="1"/>
  <c r="X422" i="1"/>
  <c r="L423" i="1"/>
  <c r="O423" i="1"/>
  <c r="R423" i="1"/>
  <c r="U423" i="1"/>
  <c r="X423" i="1"/>
  <c r="L424" i="1"/>
  <c r="O424" i="1"/>
  <c r="R424" i="1"/>
  <c r="U424" i="1"/>
  <c r="X424" i="1"/>
  <c r="L425" i="1"/>
  <c r="O425" i="1"/>
  <c r="R425" i="1"/>
  <c r="U425" i="1"/>
  <c r="X425" i="1"/>
  <c r="L426" i="1"/>
  <c r="O426" i="1"/>
  <c r="R426" i="1"/>
  <c r="U426" i="1"/>
  <c r="X426" i="1"/>
  <c r="L427" i="1"/>
  <c r="O427" i="1"/>
  <c r="R427" i="1"/>
  <c r="U427" i="1"/>
  <c r="X427" i="1"/>
  <c r="L428" i="1"/>
  <c r="O428" i="1"/>
  <c r="R428" i="1"/>
  <c r="U428" i="1"/>
  <c r="X428" i="1"/>
  <c r="L429" i="1"/>
  <c r="O429" i="1"/>
  <c r="R429" i="1"/>
  <c r="U429" i="1"/>
  <c r="X429" i="1"/>
  <c r="L430" i="1"/>
  <c r="O430" i="1"/>
  <c r="R430" i="1"/>
  <c r="U430" i="1"/>
  <c r="X430" i="1"/>
  <c r="L431" i="1"/>
  <c r="O431" i="1"/>
  <c r="R431" i="1"/>
  <c r="U431" i="1"/>
  <c r="X431" i="1"/>
  <c r="L432" i="1"/>
  <c r="O432" i="1"/>
  <c r="R432" i="1"/>
  <c r="U432" i="1"/>
  <c r="X432" i="1"/>
  <c r="L433" i="1"/>
  <c r="O433" i="1"/>
  <c r="R433" i="1"/>
  <c r="U433" i="1"/>
  <c r="X433" i="1"/>
  <c r="L434" i="1"/>
  <c r="O434" i="1"/>
  <c r="R434" i="1"/>
  <c r="U434" i="1"/>
  <c r="X434" i="1"/>
  <c r="L435" i="1"/>
  <c r="O435" i="1"/>
  <c r="R435" i="1"/>
  <c r="U435" i="1"/>
  <c r="X435" i="1"/>
  <c r="L436" i="1"/>
  <c r="O436" i="1"/>
  <c r="R436" i="1"/>
  <c r="U436" i="1"/>
  <c r="X436" i="1"/>
  <c r="L437" i="1"/>
  <c r="O437" i="1"/>
  <c r="R437" i="1"/>
  <c r="U437" i="1"/>
  <c r="X437" i="1"/>
  <c r="L438" i="1"/>
  <c r="O438" i="1"/>
  <c r="R438" i="1"/>
  <c r="U438" i="1"/>
  <c r="X438" i="1"/>
  <c r="L439" i="1"/>
  <c r="O439" i="1"/>
  <c r="R439" i="1"/>
  <c r="U439" i="1"/>
  <c r="X439" i="1"/>
  <c r="X414" i="1"/>
  <c r="U414" i="1"/>
  <c r="R414" i="1"/>
  <c r="O414" i="1"/>
  <c r="L414" i="1"/>
  <c r="X413" i="1"/>
  <c r="U413" i="1"/>
  <c r="R413" i="1"/>
  <c r="O413" i="1"/>
  <c r="L413" i="1"/>
  <c r="AA511" i="1" l="1"/>
  <c r="AA501" i="1"/>
  <c r="AA510" i="1"/>
  <c r="AA508" i="1"/>
  <c r="AA499" i="1"/>
  <c r="AA503" i="1"/>
  <c r="AA512" i="1"/>
  <c r="AA507" i="1"/>
  <c r="AA505" i="1"/>
  <c r="AA504" i="1"/>
  <c r="AA506" i="1"/>
  <c r="AA502" i="1"/>
  <c r="AA500" i="1"/>
  <c r="AA509" i="1"/>
  <c r="AA498" i="1"/>
  <c r="AA486" i="1"/>
  <c r="AA490" i="1"/>
  <c r="AA443" i="1"/>
  <c r="AA497" i="1"/>
  <c r="AA445" i="1"/>
  <c r="AA464" i="1"/>
  <c r="AA460" i="1"/>
  <c r="AA456" i="1"/>
  <c r="AA488" i="1"/>
  <c r="AA462" i="1"/>
  <c r="AA471" i="1"/>
  <c r="AA449" i="1"/>
  <c r="AA492" i="1"/>
  <c r="AA478" i="1"/>
  <c r="AA484" i="1"/>
  <c r="AA441" i="1"/>
  <c r="AA495" i="1"/>
  <c r="AA482" i="1"/>
  <c r="AA473" i="1"/>
  <c r="AA487" i="1"/>
  <c r="AA463" i="1"/>
  <c r="AA479" i="1"/>
  <c r="AA461" i="1"/>
  <c r="AA472" i="1"/>
  <c r="AA476" i="1"/>
  <c r="AA475" i="1"/>
  <c r="AA496" i="1"/>
  <c r="AA468" i="1"/>
  <c r="AA474" i="1"/>
  <c r="AA466" i="1"/>
  <c r="AA485" i="1"/>
  <c r="AA493" i="1"/>
  <c r="AA480" i="1"/>
  <c r="AA491" i="1"/>
  <c r="AA467" i="1"/>
  <c r="AA483" i="1"/>
  <c r="AA469" i="1"/>
  <c r="AA489" i="1"/>
  <c r="AA494" i="1"/>
  <c r="AA465" i="1"/>
  <c r="AA470" i="1"/>
  <c r="AA481" i="1"/>
  <c r="AA477" i="1"/>
  <c r="AA458" i="1"/>
  <c r="AA454" i="1"/>
  <c r="AA459" i="1"/>
  <c r="AA442" i="1"/>
  <c r="AA451" i="1"/>
  <c r="AA438" i="1"/>
  <c r="AA433" i="1"/>
  <c r="AA453" i="1"/>
  <c r="AA457" i="1"/>
  <c r="AA415" i="1"/>
  <c r="AA429" i="1"/>
  <c r="AA444" i="1"/>
  <c r="AA427" i="1"/>
  <c r="AA455" i="1"/>
  <c r="AA452" i="1"/>
  <c r="AA446" i="1"/>
  <c r="AA450" i="1"/>
  <c r="AA440" i="1"/>
  <c r="AA424" i="1"/>
  <c r="AA426" i="1"/>
  <c r="AA414" i="1"/>
  <c r="AA439" i="1"/>
  <c r="AA428" i="1"/>
  <c r="AA431" i="1"/>
  <c r="AA437" i="1"/>
  <c r="AA435" i="1"/>
  <c r="AA419" i="1"/>
  <c r="AA421" i="1"/>
  <c r="AA422" i="1"/>
  <c r="AA417" i="1"/>
  <c r="AA436" i="1"/>
  <c r="AA434" i="1"/>
  <c r="AA430" i="1"/>
  <c r="AA416" i="1"/>
  <c r="AA425" i="1"/>
  <c r="AA420" i="1"/>
  <c r="AA418" i="1"/>
  <c r="AA423" i="1"/>
  <c r="AA432" i="1"/>
  <c r="AA413" i="1"/>
  <c r="Q133" i="1" l="1"/>
  <c r="I401" i="1"/>
  <c r="I402" i="1"/>
  <c r="I403" i="1"/>
  <c r="I404" i="1"/>
  <c r="I405" i="1"/>
  <c r="I406" i="1"/>
  <c r="I407" i="1"/>
  <c r="I408" i="1"/>
  <c r="I409" i="1"/>
  <c r="I410" i="1"/>
  <c r="I411" i="1"/>
  <c r="I412" i="1"/>
  <c r="I400" i="1"/>
  <c r="L401" i="1"/>
  <c r="O401" i="1"/>
  <c r="R401" i="1"/>
  <c r="U401" i="1"/>
  <c r="X401" i="1"/>
  <c r="L402" i="1"/>
  <c r="O402" i="1"/>
  <c r="R402" i="1"/>
  <c r="U402" i="1"/>
  <c r="X402" i="1"/>
  <c r="L403" i="1"/>
  <c r="O403" i="1"/>
  <c r="R403" i="1"/>
  <c r="U403" i="1"/>
  <c r="X403" i="1"/>
  <c r="L404" i="1"/>
  <c r="O404" i="1"/>
  <c r="R404" i="1"/>
  <c r="U404" i="1"/>
  <c r="X404" i="1"/>
  <c r="L405" i="1"/>
  <c r="O405" i="1"/>
  <c r="R405" i="1"/>
  <c r="U405" i="1"/>
  <c r="X405" i="1"/>
  <c r="L406" i="1"/>
  <c r="O406" i="1"/>
  <c r="R406" i="1"/>
  <c r="U406" i="1"/>
  <c r="X406" i="1"/>
  <c r="L407" i="1"/>
  <c r="O407" i="1"/>
  <c r="R407" i="1"/>
  <c r="U407" i="1"/>
  <c r="X407" i="1"/>
  <c r="L408" i="1"/>
  <c r="O408" i="1"/>
  <c r="R408" i="1"/>
  <c r="U408" i="1"/>
  <c r="X408" i="1"/>
  <c r="L409" i="1"/>
  <c r="O409" i="1"/>
  <c r="R409" i="1"/>
  <c r="U409" i="1"/>
  <c r="X409" i="1"/>
  <c r="L410" i="1"/>
  <c r="O410" i="1"/>
  <c r="R410" i="1"/>
  <c r="U410" i="1"/>
  <c r="X410" i="1"/>
  <c r="L411" i="1"/>
  <c r="O411" i="1"/>
  <c r="R411" i="1"/>
  <c r="U411" i="1"/>
  <c r="X411" i="1"/>
  <c r="L412" i="1"/>
  <c r="O412" i="1"/>
  <c r="R412" i="1"/>
  <c r="U412" i="1"/>
  <c r="X412" i="1"/>
  <c r="X400" i="1"/>
  <c r="U400" i="1"/>
  <c r="R400" i="1"/>
  <c r="O400" i="1"/>
  <c r="L400" i="1"/>
  <c r="I380" i="1"/>
  <c r="I381" i="1"/>
  <c r="I382" i="1"/>
  <c r="I383" i="1"/>
  <c r="I384" i="1"/>
  <c r="I385" i="1"/>
  <c r="I386" i="1"/>
  <c r="I387" i="1"/>
  <c r="I388" i="1"/>
  <c r="I389" i="1"/>
  <c r="I390" i="1"/>
  <c r="I391" i="1"/>
  <c r="I392" i="1"/>
  <c r="I393" i="1"/>
  <c r="I394" i="1"/>
  <c r="I395" i="1"/>
  <c r="I396" i="1"/>
  <c r="I397" i="1"/>
  <c r="I398" i="1"/>
  <c r="I399" i="1"/>
  <c r="I379" i="1"/>
  <c r="L380" i="1"/>
  <c r="O380" i="1"/>
  <c r="R380" i="1"/>
  <c r="U380" i="1"/>
  <c r="X380" i="1"/>
  <c r="L381" i="1"/>
  <c r="O381" i="1"/>
  <c r="R381" i="1"/>
  <c r="U381" i="1"/>
  <c r="X381" i="1"/>
  <c r="L382" i="1"/>
  <c r="O382" i="1"/>
  <c r="R382" i="1"/>
  <c r="U382" i="1"/>
  <c r="X382" i="1"/>
  <c r="L383" i="1"/>
  <c r="O383" i="1"/>
  <c r="R383" i="1"/>
  <c r="U383" i="1"/>
  <c r="X383" i="1"/>
  <c r="L384" i="1"/>
  <c r="O384" i="1"/>
  <c r="R384" i="1"/>
  <c r="U384" i="1"/>
  <c r="X384" i="1"/>
  <c r="L385" i="1"/>
  <c r="O385" i="1"/>
  <c r="R385" i="1"/>
  <c r="U385" i="1"/>
  <c r="X385" i="1"/>
  <c r="L386" i="1"/>
  <c r="O386" i="1"/>
  <c r="R386" i="1"/>
  <c r="U386" i="1"/>
  <c r="X386" i="1"/>
  <c r="L387" i="1"/>
  <c r="O387" i="1"/>
  <c r="R387" i="1"/>
  <c r="U387" i="1"/>
  <c r="X387" i="1"/>
  <c r="L388" i="1"/>
  <c r="O388" i="1"/>
  <c r="R388" i="1"/>
  <c r="U388" i="1"/>
  <c r="X388" i="1"/>
  <c r="L389" i="1"/>
  <c r="O389" i="1"/>
  <c r="R389" i="1"/>
  <c r="U389" i="1"/>
  <c r="X389" i="1"/>
  <c r="L390" i="1"/>
  <c r="O390" i="1"/>
  <c r="R390" i="1"/>
  <c r="U390" i="1"/>
  <c r="X390" i="1"/>
  <c r="L391" i="1"/>
  <c r="O391" i="1"/>
  <c r="R391" i="1"/>
  <c r="U391" i="1"/>
  <c r="X391" i="1"/>
  <c r="L392" i="1"/>
  <c r="O392" i="1"/>
  <c r="R392" i="1"/>
  <c r="U392" i="1"/>
  <c r="X392" i="1"/>
  <c r="L393" i="1"/>
  <c r="O393" i="1"/>
  <c r="R393" i="1"/>
  <c r="U393" i="1"/>
  <c r="X393" i="1"/>
  <c r="L394" i="1"/>
  <c r="O394" i="1"/>
  <c r="R394" i="1"/>
  <c r="U394" i="1"/>
  <c r="X394" i="1"/>
  <c r="L395" i="1"/>
  <c r="O395" i="1"/>
  <c r="R395" i="1"/>
  <c r="U395" i="1"/>
  <c r="X395" i="1"/>
  <c r="L396" i="1"/>
  <c r="O396" i="1"/>
  <c r="R396" i="1"/>
  <c r="U396" i="1"/>
  <c r="X396" i="1"/>
  <c r="L397" i="1"/>
  <c r="O397" i="1"/>
  <c r="R397" i="1"/>
  <c r="U397" i="1"/>
  <c r="X397" i="1"/>
  <c r="L398" i="1"/>
  <c r="O398" i="1"/>
  <c r="R398" i="1"/>
  <c r="U398" i="1"/>
  <c r="X398" i="1"/>
  <c r="L399" i="1"/>
  <c r="O399" i="1"/>
  <c r="R399" i="1"/>
  <c r="U399" i="1"/>
  <c r="X399" i="1"/>
  <c r="X379" i="1"/>
  <c r="U379" i="1"/>
  <c r="R379" i="1"/>
  <c r="O379" i="1"/>
  <c r="L379"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51" i="1"/>
  <c r="L352" i="1"/>
  <c r="O352" i="1"/>
  <c r="R352" i="1"/>
  <c r="U352" i="1"/>
  <c r="X352" i="1"/>
  <c r="L353" i="1"/>
  <c r="O353" i="1"/>
  <c r="R353" i="1"/>
  <c r="U353" i="1"/>
  <c r="X353" i="1"/>
  <c r="L354" i="1"/>
  <c r="O354" i="1"/>
  <c r="R354" i="1"/>
  <c r="U354" i="1"/>
  <c r="X354" i="1"/>
  <c r="L355" i="1"/>
  <c r="O355" i="1"/>
  <c r="R355" i="1"/>
  <c r="U355" i="1"/>
  <c r="X355" i="1"/>
  <c r="L356" i="1"/>
  <c r="O356" i="1"/>
  <c r="R356" i="1"/>
  <c r="U356" i="1"/>
  <c r="X356" i="1"/>
  <c r="L357" i="1"/>
  <c r="O357" i="1"/>
  <c r="R357" i="1"/>
  <c r="U357" i="1"/>
  <c r="X357" i="1"/>
  <c r="L358" i="1"/>
  <c r="O358" i="1"/>
  <c r="R358" i="1"/>
  <c r="U358" i="1"/>
  <c r="X358" i="1"/>
  <c r="L359" i="1"/>
  <c r="O359" i="1"/>
  <c r="R359" i="1"/>
  <c r="U359" i="1"/>
  <c r="X359" i="1"/>
  <c r="L360" i="1"/>
  <c r="O360" i="1"/>
  <c r="R360" i="1"/>
  <c r="U360" i="1"/>
  <c r="X360" i="1"/>
  <c r="L361" i="1"/>
  <c r="O361" i="1"/>
  <c r="R361" i="1"/>
  <c r="U361" i="1"/>
  <c r="X361" i="1"/>
  <c r="L362" i="1"/>
  <c r="O362" i="1"/>
  <c r="R362" i="1"/>
  <c r="U362" i="1"/>
  <c r="X362" i="1"/>
  <c r="L363" i="1"/>
  <c r="O363" i="1"/>
  <c r="R363" i="1"/>
  <c r="U363" i="1"/>
  <c r="X363" i="1"/>
  <c r="L364" i="1"/>
  <c r="O364" i="1"/>
  <c r="R364" i="1"/>
  <c r="U364" i="1"/>
  <c r="X364" i="1"/>
  <c r="L365" i="1"/>
  <c r="O365" i="1"/>
  <c r="R365" i="1"/>
  <c r="U365" i="1"/>
  <c r="X365" i="1"/>
  <c r="L366" i="1"/>
  <c r="O366" i="1"/>
  <c r="R366" i="1"/>
  <c r="U366" i="1"/>
  <c r="X366" i="1"/>
  <c r="L367" i="1"/>
  <c r="O367" i="1"/>
  <c r="R367" i="1"/>
  <c r="U367" i="1"/>
  <c r="X367" i="1"/>
  <c r="L368" i="1"/>
  <c r="O368" i="1"/>
  <c r="R368" i="1"/>
  <c r="U368" i="1"/>
  <c r="X368" i="1"/>
  <c r="L369" i="1"/>
  <c r="O369" i="1"/>
  <c r="R369" i="1"/>
  <c r="U369" i="1"/>
  <c r="X369" i="1"/>
  <c r="L370" i="1"/>
  <c r="O370" i="1"/>
  <c r="R370" i="1"/>
  <c r="U370" i="1"/>
  <c r="X370" i="1"/>
  <c r="L371" i="1"/>
  <c r="O371" i="1"/>
  <c r="R371" i="1"/>
  <c r="U371" i="1"/>
  <c r="X371" i="1"/>
  <c r="L372" i="1"/>
  <c r="O372" i="1"/>
  <c r="R372" i="1"/>
  <c r="U372" i="1"/>
  <c r="X372" i="1"/>
  <c r="L373" i="1"/>
  <c r="O373" i="1"/>
  <c r="R373" i="1"/>
  <c r="U373" i="1"/>
  <c r="X373" i="1"/>
  <c r="L374" i="1"/>
  <c r="O374" i="1"/>
  <c r="R374" i="1"/>
  <c r="U374" i="1"/>
  <c r="X374" i="1"/>
  <c r="L375" i="1"/>
  <c r="O375" i="1"/>
  <c r="R375" i="1"/>
  <c r="U375" i="1"/>
  <c r="X375" i="1"/>
  <c r="L376" i="1"/>
  <c r="O376" i="1"/>
  <c r="R376" i="1"/>
  <c r="U376" i="1"/>
  <c r="X376" i="1"/>
  <c r="L377" i="1"/>
  <c r="O377" i="1"/>
  <c r="R377" i="1"/>
  <c r="U377" i="1"/>
  <c r="X377" i="1"/>
  <c r="L378" i="1"/>
  <c r="O378" i="1"/>
  <c r="R378" i="1"/>
  <c r="U378" i="1"/>
  <c r="X378" i="1"/>
  <c r="X351" i="1"/>
  <c r="U351" i="1"/>
  <c r="R351" i="1"/>
  <c r="O351" i="1"/>
  <c r="L351" i="1"/>
  <c r="I332" i="1"/>
  <c r="I333" i="1"/>
  <c r="I334" i="1"/>
  <c r="I335" i="1"/>
  <c r="I336" i="1"/>
  <c r="I337" i="1"/>
  <c r="I338" i="1"/>
  <c r="I339" i="1"/>
  <c r="I340" i="1"/>
  <c r="I341" i="1"/>
  <c r="I342" i="1"/>
  <c r="I343" i="1"/>
  <c r="I344" i="1"/>
  <c r="I345" i="1"/>
  <c r="I346" i="1"/>
  <c r="I347" i="1"/>
  <c r="I348" i="1"/>
  <c r="I349" i="1"/>
  <c r="I350" i="1"/>
  <c r="I331" i="1"/>
  <c r="L332" i="1"/>
  <c r="O332" i="1"/>
  <c r="R332" i="1"/>
  <c r="U332" i="1"/>
  <c r="X332" i="1"/>
  <c r="L333" i="1"/>
  <c r="O333" i="1"/>
  <c r="R333" i="1"/>
  <c r="U333" i="1"/>
  <c r="X333" i="1"/>
  <c r="L334" i="1"/>
  <c r="O334" i="1"/>
  <c r="R334" i="1"/>
  <c r="U334" i="1"/>
  <c r="X334" i="1"/>
  <c r="L335" i="1"/>
  <c r="O335" i="1"/>
  <c r="R335" i="1"/>
  <c r="U335" i="1"/>
  <c r="X335" i="1"/>
  <c r="L336" i="1"/>
  <c r="O336" i="1"/>
  <c r="R336" i="1"/>
  <c r="U336" i="1"/>
  <c r="X336" i="1"/>
  <c r="L337" i="1"/>
  <c r="O337" i="1"/>
  <c r="R337" i="1"/>
  <c r="U337" i="1"/>
  <c r="X337" i="1"/>
  <c r="L338" i="1"/>
  <c r="O338" i="1"/>
  <c r="R338" i="1"/>
  <c r="U338" i="1"/>
  <c r="X338" i="1"/>
  <c r="L339" i="1"/>
  <c r="O339" i="1"/>
  <c r="R339" i="1"/>
  <c r="U339" i="1"/>
  <c r="X339" i="1"/>
  <c r="L340" i="1"/>
  <c r="O340" i="1"/>
  <c r="R340" i="1"/>
  <c r="U340" i="1"/>
  <c r="X340" i="1"/>
  <c r="L341" i="1"/>
  <c r="O341" i="1"/>
  <c r="R341" i="1"/>
  <c r="U341" i="1"/>
  <c r="X341" i="1"/>
  <c r="L342" i="1"/>
  <c r="O342" i="1"/>
  <c r="R342" i="1"/>
  <c r="U342" i="1"/>
  <c r="X342" i="1"/>
  <c r="L343" i="1"/>
  <c r="O343" i="1"/>
  <c r="R343" i="1"/>
  <c r="U343" i="1"/>
  <c r="X343" i="1"/>
  <c r="L344" i="1"/>
  <c r="O344" i="1"/>
  <c r="R344" i="1"/>
  <c r="U344" i="1"/>
  <c r="X344" i="1"/>
  <c r="L345" i="1"/>
  <c r="O345" i="1"/>
  <c r="R345" i="1"/>
  <c r="U345" i="1"/>
  <c r="X345" i="1"/>
  <c r="L346" i="1"/>
  <c r="O346" i="1"/>
  <c r="R346" i="1"/>
  <c r="U346" i="1"/>
  <c r="X346" i="1"/>
  <c r="L347" i="1"/>
  <c r="O347" i="1"/>
  <c r="R347" i="1"/>
  <c r="U347" i="1"/>
  <c r="X347" i="1"/>
  <c r="L348" i="1"/>
  <c r="O348" i="1"/>
  <c r="R348" i="1"/>
  <c r="U348" i="1"/>
  <c r="X348" i="1"/>
  <c r="L349" i="1"/>
  <c r="O349" i="1"/>
  <c r="R349" i="1"/>
  <c r="U349" i="1"/>
  <c r="X349" i="1"/>
  <c r="L350" i="1"/>
  <c r="O350" i="1"/>
  <c r="R350" i="1"/>
  <c r="U350" i="1"/>
  <c r="X350" i="1"/>
  <c r="X331" i="1"/>
  <c r="U331" i="1"/>
  <c r="R331" i="1"/>
  <c r="O331" i="1"/>
  <c r="L331" i="1"/>
  <c r="I315" i="1"/>
  <c r="I316" i="1"/>
  <c r="I317" i="1"/>
  <c r="I318" i="1"/>
  <c r="I319" i="1"/>
  <c r="I320" i="1"/>
  <c r="I321" i="1"/>
  <c r="I322" i="1"/>
  <c r="I323" i="1"/>
  <c r="I324" i="1"/>
  <c r="I325" i="1"/>
  <c r="I326" i="1"/>
  <c r="I327" i="1"/>
  <c r="I328" i="1"/>
  <c r="I329" i="1"/>
  <c r="I330" i="1"/>
  <c r="I314" i="1"/>
  <c r="L315" i="1"/>
  <c r="O315" i="1"/>
  <c r="R315" i="1"/>
  <c r="U315" i="1"/>
  <c r="X315" i="1"/>
  <c r="L316" i="1"/>
  <c r="O316" i="1"/>
  <c r="R316" i="1"/>
  <c r="U316" i="1"/>
  <c r="X316" i="1"/>
  <c r="L317" i="1"/>
  <c r="O317" i="1"/>
  <c r="R317" i="1"/>
  <c r="U317" i="1"/>
  <c r="X317" i="1"/>
  <c r="L318" i="1"/>
  <c r="O318" i="1"/>
  <c r="R318" i="1"/>
  <c r="U318" i="1"/>
  <c r="X318" i="1"/>
  <c r="L319" i="1"/>
  <c r="O319" i="1"/>
  <c r="R319" i="1"/>
  <c r="U319" i="1"/>
  <c r="X319" i="1"/>
  <c r="L320" i="1"/>
  <c r="O320" i="1"/>
  <c r="R320" i="1"/>
  <c r="U320" i="1"/>
  <c r="X320" i="1"/>
  <c r="L321" i="1"/>
  <c r="O321" i="1"/>
  <c r="R321" i="1"/>
  <c r="U321" i="1"/>
  <c r="X321" i="1"/>
  <c r="L322" i="1"/>
  <c r="O322" i="1"/>
  <c r="R322" i="1"/>
  <c r="U322" i="1"/>
  <c r="X322" i="1"/>
  <c r="L323" i="1"/>
  <c r="O323" i="1"/>
  <c r="R323" i="1"/>
  <c r="U323" i="1"/>
  <c r="X323" i="1"/>
  <c r="L324" i="1"/>
  <c r="O324" i="1"/>
  <c r="R324" i="1"/>
  <c r="U324" i="1"/>
  <c r="X324" i="1"/>
  <c r="L325" i="1"/>
  <c r="O325" i="1"/>
  <c r="R325" i="1"/>
  <c r="U325" i="1"/>
  <c r="X325" i="1"/>
  <c r="L326" i="1"/>
  <c r="O326" i="1"/>
  <c r="R326" i="1"/>
  <c r="U326" i="1"/>
  <c r="X326" i="1"/>
  <c r="L327" i="1"/>
  <c r="O327" i="1"/>
  <c r="R327" i="1"/>
  <c r="U327" i="1"/>
  <c r="X327" i="1"/>
  <c r="L328" i="1"/>
  <c r="O328" i="1"/>
  <c r="R328" i="1"/>
  <c r="U328" i="1"/>
  <c r="X328" i="1"/>
  <c r="L329" i="1"/>
  <c r="O329" i="1"/>
  <c r="R329" i="1"/>
  <c r="U329" i="1"/>
  <c r="X329" i="1"/>
  <c r="L330" i="1"/>
  <c r="O330" i="1"/>
  <c r="R330" i="1"/>
  <c r="U330" i="1"/>
  <c r="X330" i="1"/>
  <c r="X314" i="1"/>
  <c r="U314" i="1"/>
  <c r="R314" i="1"/>
  <c r="O314" i="1"/>
  <c r="L314" i="1"/>
  <c r="X101" i="1"/>
  <c r="U101" i="1"/>
  <c r="R101" i="1"/>
  <c r="O101" i="1"/>
  <c r="L101" i="1"/>
  <c r="I101" i="1"/>
  <c r="P216" i="1"/>
  <c r="I313" i="1"/>
  <c r="L313" i="1"/>
  <c r="O313" i="1"/>
  <c r="R313" i="1"/>
  <c r="U313" i="1"/>
  <c r="X313" i="1"/>
  <c r="AA401" i="1" l="1"/>
  <c r="AA400" i="1"/>
  <c r="AA403" i="1"/>
  <c r="AA404" i="1"/>
  <c r="AA410" i="1"/>
  <c r="AA383" i="1"/>
  <c r="AA405" i="1"/>
  <c r="AA407" i="1"/>
  <c r="AA412" i="1"/>
  <c r="AA381" i="1"/>
  <c r="AA411" i="1"/>
  <c r="AA406" i="1"/>
  <c r="AA408" i="1"/>
  <c r="AA402" i="1"/>
  <c r="AA409" i="1"/>
  <c r="AA392" i="1"/>
  <c r="AA390" i="1"/>
  <c r="AA394" i="1"/>
  <c r="AA399" i="1"/>
  <c r="AA385" i="1"/>
  <c r="AA389" i="1"/>
  <c r="AA395" i="1"/>
  <c r="AA382" i="1"/>
  <c r="AA393" i="1"/>
  <c r="AA380" i="1"/>
  <c r="AA397" i="1"/>
  <c r="AA387" i="1"/>
  <c r="AA388" i="1"/>
  <c r="AA398" i="1"/>
  <c r="AA386" i="1"/>
  <c r="AA391" i="1"/>
  <c r="AA384" i="1"/>
  <c r="AA396" i="1"/>
  <c r="AA379" i="1"/>
  <c r="AA354" i="1"/>
  <c r="AA356" i="1"/>
  <c r="AA377" i="1"/>
  <c r="AA358" i="1"/>
  <c r="AA352" i="1"/>
  <c r="AA365" i="1"/>
  <c r="AA372" i="1"/>
  <c r="AA360" i="1"/>
  <c r="AA367" i="1"/>
  <c r="AA347" i="1"/>
  <c r="AA351" i="1"/>
  <c r="AA376" i="1"/>
  <c r="AA378" i="1"/>
  <c r="AA353" i="1"/>
  <c r="AA333" i="1"/>
  <c r="AA375" i="1"/>
  <c r="AA363" i="1"/>
  <c r="AA364" i="1"/>
  <c r="AA366" i="1"/>
  <c r="AA368" i="1"/>
  <c r="AA362" i="1"/>
  <c r="AA355" i="1"/>
  <c r="AA373" i="1"/>
  <c r="AA370" i="1"/>
  <c r="AA345" i="1"/>
  <c r="AA374" i="1"/>
  <c r="AA361" i="1"/>
  <c r="AA371" i="1"/>
  <c r="AA369" i="1"/>
  <c r="AA359" i="1"/>
  <c r="AA357" i="1"/>
  <c r="AA335" i="1"/>
  <c r="AA340" i="1"/>
  <c r="AA342" i="1"/>
  <c r="AA343" i="1"/>
  <c r="AA344" i="1"/>
  <c r="AA349" i="1"/>
  <c r="AA321" i="1"/>
  <c r="AA331" i="1"/>
  <c r="AA328" i="1"/>
  <c r="AA317" i="1"/>
  <c r="AA346" i="1"/>
  <c r="AA319" i="1"/>
  <c r="AA348" i="1"/>
  <c r="AA339" i="1"/>
  <c r="AA337" i="1"/>
  <c r="AA326" i="1"/>
  <c r="AA350" i="1"/>
  <c r="AA330" i="1"/>
  <c r="AA323" i="1"/>
  <c r="AA338" i="1"/>
  <c r="AA334" i="1"/>
  <c r="AA341" i="1"/>
  <c r="AA336" i="1"/>
  <c r="AA332" i="1"/>
  <c r="AA315" i="1"/>
  <c r="AA324" i="1"/>
  <c r="AA318" i="1"/>
  <c r="AA327" i="1"/>
  <c r="AA316" i="1"/>
  <c r="AA325" i="1"/>
  <c r="AA314" i="1"/>
  <c r="AA320" i="1"/>
  <c r="AA329" i="1"/>
  <c r="AA322" i="1"/>
  <c r="AA101" i="1"/>
  <c r="AA313" i="1"/>
  <c r="I301" i="1"/>
  <c r="I302" i="1"/>
  <c r="I303" i="1"/>
  <c r="I304" i="1"/>
  <c r="I305" i="1"/>
  <c r="I306" i="1"/>
  <c r="I307" i="1"/>
  <c r="I308" i="1"/>
  <c r="I309" i="1"/>
  <c r="I310" i="1"/>
  <c r="I311" i="1"/>
  <c r="I312" i="1"/>
  <c r="I300" i="1"/>
  <c r="L301" i="1"/>
  <c r="O301" i="1"/>
  <c r="R301" i="1"/>
  <c r="U301" i="1"/>
  <c r="X301" i="1"/>
  <c r="L302" i="1"/>
  <c r="O302" i="1"/>
  <c r="R302" i="1"/>
  <c r="U302" i="1"/>
  <c r="X302" i="1"/>
  <c r="L303" i="1"/>
  <c r="O303" i="1"/>
  <c r="R303" i="1"/>
  <c r="U303" i="1"/>
  <c r="X303" i="1"/>
  <c r="L304" i="1"/>
  <c r="O304" i="1"/>
  <c r="R304" i="1"/>
  <c r="U304" i="1"/>
  <c r="X304" i="1"/>
  <c r="L305" i="1"/>
  <c r="O305" i="1"/>
  <c r="R305" i="1"/>
  <c r="U305" i="1"/>
  <c r="X305" i="1"/>
  <c r="L306" i="1"/>
  <c r="O306" i="1"/>
  <c r="R306" i="1"/>
  <c r="U306" i="1"/>
  <c r="X306" i="1"/>
  <c r="L307" i="1"/>
  <c r="O307" i="1"/>
  <c r="R307" i="1"/>
  <c r="U307" i="1"/>
  <c r="X307" i="1"/>
  <c r="L308" i="1"/>
  <c r="O308" i="1"/>
  <c r="R308" i="1"/>
  <c r="U308" i="1"/>
  <c r="X308" i="1"/>
  <c r="L309" i="1"/>
  <c r="O309" i="1"/>
  <c r="R309" i="1"/>
  <c r="U309" i="1"/>
  <c r="X309" i="1"/>
  <c r="L310" i="1"/>
  <c r="O310" i="1"/>
  <c r="R310" i="1"/>
  <c r="U310" i="1"/>
  <c r="X310" i="1"/>
  <c r="L311" i="1"/>
  <c r="O311" i="1"/>
  <c r="R311" i="1"/>
  <c r="U311" i="1"/>
  <c r="X311" i="1"/>
  <c r="L312" i="1"/>
  <c r="O312" i="1"/>
  <c r="R312" i="1"/>
  <c r="U312" i="1"/>
  <c r="X312" i="1"/>
  <c r="X300" i="1"/>
  <c r="U300" i="1"/>
  <c r="R300" i="1"/>
  <c r="O300" i="1"/>
  <c r="L300" i="1"/>
  <c r="I299" i="1"/>
  <c r="X299" i="1"/>
  <c r="U299" i="1"/>
  <c r="R299" i="1"/>
  <c r="O299" i="1"/>
  <c r="L299" i="1"/>
  <c r="I297" i="1"/>
  <c r="I298" i="1"/>
  <c r="L297" i="1"/>
  <c r="O297" i="1"/>
  <c r="R297" i="1"/>
  <c r="U297" i="1"/>
  <c r="X297" i="1"/>
  <c r="L298" i="1"/>
  <c r="O298" i="1"/>
  <c r="R298" i="1"/>
  <c r="U298" i="1"/>
  <c r="X298" i="1"/>
  <c r="AA301" i="1" l="1"/>
  <c r="AA310" i="1"/>
  <c r="AA308" i="1"/>
  <c r="AA306" i="1"/>
  <c r="AA305" i="1"/>
  <c r="AA307" i="1"/>
  <c r="AA304" i="1"/>
  <c r="AA309" i="1"/>
  <c r="AA303" i="1"/>
  <c r="AA311" i="1"/>
  <c r="AA302" i="1"/>
  <c r="AA312" i="1"/>
  <c r="AA300" i="1"/>
  <c r="AA297" i="1"/>
  <c r="AA299" i="1"/>
  <c r="AA298"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71" i="1"/>
  <c r="L272" i="1"/>
  <c r="O272" i="1"/>
  <c r="R272" i="1"/>
  <c r="U272" i="1"/>
  <c r="X272" i="1"/>
  <c r="L273" i="1"/>
  <c r="O273" i="1"/>
  <c r="R273" i="1"/>
  <c r="U273" i="1"/>
  <c r="X273" i="1"/>
  <c r="L274" i="1"/>
  <c r="O274" i="1"/>
  <c r="R274" i="1"/>
  <c r="U274" i="1"/>
  <c r="X274" i="1"/>
  <c r="L275" i="1"/>
  <c r="O275" i="1"/>
  <c r="R275" i="1"/>
  <c r="U275" i="1"/>
  <c r="X275" i="1"/>
  <c r="L276" i="1"/>
  <c r="O276" i="1"/>
  <c r="R276" i="1"/>
  <c r="U276" i="1"/>
  <c r="X276" i="1"/>
  <c r="L277" i="1"/>
  <c r="O277" i="1"/>
  <c r="R277" i="1"/>
  <c r="U277" i="1"/>
  <c r="X277" i="1"/>
  <c r="L278" i="1"/>
  <c r="O278" i="1"/>
  <c r="R278" i="1"/>
  <c r="U278" i="1"/>
  <c r="X278" i="1"/>
  <c r="L279" i="1"/>
  <c r="O279" i="1"/>
  <c r="R279" i="1"/>
  <c r="U279" i="1"/>
  <c r="X279" i="1"/>
  <c r="L280" i="1"/>
  <c r="O280" i="1"/>
  <c r="R280" i="1"/>
  <c r="U280" i="1"/>
  <c r="X280" i="1"/>
  <c r="L281" i="1"/>
  <c r="O281" i="1"/>
  <c r="R281" i="1"/>
  <c r="U281" i="1"/>
  <c r="X281" i="1"/>
  <c r="L282" i="1"/>
  <c r="O282" i="1"/>
  <c r="R282" i="1"/>
  <c r="U282" i="1"/>
  <c r="X282" i="1"/>
  <c r="L283" i="1"/>
  <c r="O283" i="1"/>
  <c r="R283" i="1"/>
  <c r="U283" i="1"/>
  <c r="X283" i="1"/>
  <c r="L284" i="1"/>
  <c r="O284" i="1"/>
  <c r="R284" i="1"/>
  <c r="U284" i="1"/>
  <c r="X284" i="1"/>
  <c r="L285" i="1"/>
  <c r="O285" i="1"/>
  <c r="R285" i="1"/>
  <c r="U285" i="1"/>
  <c r="X285" i="1"/>
  <c r="L286" i="1"/>
  <c r="O286" i="1"/>
  <c r="R286" i="1"/>
  <c r="U286" i="1"/>
  <c r="X286" i="1"/>
  <c r="L287" i="1"/>
  <c r="O287" i="1"/>
  <c r="R287" i="1"/>
  <c r="U287" i="1"/>
  <c r="X287" i="1"/>
  <c r="L288" i="1"/>
  <c r="O288" i="1"/>
  <c r="R288" i="1"/>
  <c r="U288" i="1"/>
  <c r="X288" i="1"/>
  <c r="L289" i="1"/>
  <c r="O289" i="1"/>
  <c r="R289" i="1"/>
  <c r="U289" i="1"/>
  <c r="X289" i="1"/>
  <c r="L290" i="1"/>
  <c r="O290" i="1"/>
  <c r="R290" i="1"/>
  <c r="U290" i="1"/>
  <c r="X290" i="1"/>
  <c r="L291" i="1"/>
  <c r="O291" i="1"/>
  <c r="R291" i="1"/>
  <c r="U291" i="1"/>
  <c r="X291" i="1"/>
  <c r="L292" i="1"/>
  <c r="O292" i="1"/>
  <c r="R292" i="1"/>
  <c r="U292" i="1"/>
  <c r="X292" i="1"/>
  <c r="L293" i="1"/>
  <c r="O293" i="1"/>
  <c r="R293" i="1"/>
  <c r="U293" i="1"/>
  <c r="X293" i="1"/>
  <c r="L294" i="1"/>
  <c r="O294" i="1"/>
  <c r="R294" i="1"/>
  <c r="U294" i="1"/>
  <c r="X294" i="1"/>
  <c r="L295" i="1"/>
  <c r="O295" i="1"/>
  <c r="R295" i="1"/>
  <c r="U295" i="1"/>
  <c r="X295" i="1"/>
  <c r="L296" i="1"/>
  <c r="O296" i="1"/>
  <c r="R296" i="1"/>
  <c r="U296" i="1"/>
  <c r="X296" i="1"/>
  <c r="X271" i="1"/>
  <c r="U271" i="1"/>
  <c r="R271" i="1"/>
  <c r="O271" i="1"/>
  <c r="L271" i="1"/>
  <c r="V270" i="1"/>
  <c r="X100" i="1"/>
  <c r="U100" i="1"/>
  <c r="R100" i="1"/>
  <c r="O100" i="1"/>
  <c r="L100" i="1"/>
  <c r="I100" i="1"/>
  <c r="AA272" i="1" l="1"/>
  <c r="AA286" i="1"/>
  <c r="AA288" i="1"/>
  <c r="AA290" i="1"/>
  <c r="AA284" i="1"/>
  <c r="AA292" i="1"/>
  <c r="AA274" i="1"/>
  <c r="AA281" i="1"/>
  <c r="AA276" i="1"/>
  <c r="AA295" i="1"/>
  <c r="AA287" i="1"/>
  <c r="AA285" i="1"/>
  <c r="AA296" i="1"/>
  <c r="AA294" i="1"/>
  <c r="AA282" i="1"/>
  <c r="AA293" i="1"/>
  <c r="AA280" i="1"/>
  <c r="AA275" i="1"/>
  <c r="AA283" i="1"/>
  <c r="AA291" i="1"/>
  <c r="AA277" i="1"/>
  <c r="AA278" i="1"/>
  <c r="AA273" i="1"/>
  <c r="AA289" i="1"/>
  <c r="AA279" i="1"/>
  <c r="AA271" i="1"/>
  <c r="AA100" i="1"/>
  <c r="I255" i="1"/>
  <c r="I256" i="1"/>
  <c r="I257" i="1"/>
  <c r="I258" i="1"/>
  <c r="I259" i="1"/>
  <c r="I260" i="1"/>
  <c r="I261" i="1"/>
  <c r="I262" i="1"/>
  <c r="I263" i="1"/>
  <c r="I264" i="1"/>
  <c r="I265" i="1"/>
  <c r="I266" i="1"/>
  <c r="I267" i="1"/>
  <c r="I268" i="1"/>
  <c r="I269" i="1"/>
  <c r="I270" i="1"/>
  <c r="I254" i="1"/>
  <c r="L255" i="1"/>
  <c r="O255" i="1"/>
  <c r="R255" i="1"/>
  <c r="U255" i="1"/>
  <c r="X255" i="1"/>
  <c r="L256" i="1"/>
  <c r="O256" i="1"/>
  <c r="R256" i="1"/>
  <c r="U256" i="1"/>
  <c r="X256" i="1"/>
  <c r="L257" i="1"/>
  <c r="O257" i="1"/>
  <c r="R257" i="1"/>
  <c r="U257" i="1"/>
  <c r="X257" i="1"/>
  <c r="L258" i="1"/>
  <c r="O258" i="1"/>
  <c r="R258" i="1"/>
  <c r="U258" i="1"/>
  <c r="X258" i="1"/>
  <c r="L259" i="1"/>
  <c r="O259" i="1"/>
  <c r="R259" i="1"/>
  <c r="U259" i="1"/>
  <c r="X259" i="1"/>
  <c r="L260" i="1"/>
  <c r="O260" i="1"/>
  <c r="R260" i="1"/>
  <c r="U260" i="1"/>
  <c r="X260" i="1"/>
  <c r="L261" i="1"/>
  <c r="O261" i="1"/>
  <c r="R261" i="1"/>
  <c r="U261" i="1"/>
  <c r="X261" i="1"/>
  <c r="L262" i="1"/>
  <c r="O262" i="1"/>
  <c r="R262" i="1"/>
  <c r="U262" i="1"/>
  <c r="X262" i="1"/>
  <c r="L263" i="1"/>
  <c r="O263" i="1"/>
  <c r="R263" i="1"/>
  <c r="U263" i="1"/>
  <c r="X263" i="1"/>
  <c r="L264" i="1"/>
  <c r="O264" i="1"/>
  <c r="R264" i="1"/>
  <c r="U264" i="1"/>
  <c r="X264" i="1"/>
  <c r="L265" i="1"/>
  <c r="O265" i="1"/>
  <c r="R265" i="1"/>
  <c r="U265" i="1"/>
  <c r="X265" i="1"/>
  <c r="L266" i="1"/>
  <c r="O266" i="1"/>
  <c r="R266" i="1"/>
  <c r="U266" i="1"/>
  <c r="X266" i="1"/>
  <c r="L267" i="1"/>
  <c r="O267" i="1"/>
  <c r="R267" i="1"/>
  <c r="U267" i="1"/>
  <c r="X267" i="1"/>
  <c r="L268" i="1"/>
  <c r="O268" i="1"/>
  <c r="R268" i="1"/>
  <c r="U268" i="1"/>
  <c r="X268" i="1"/>
  <c r="L269" i="1"/>
  <c r="O269" i="1"/>
  <c r="R269" i="1"/>
  <c r="U269" i="1"/>
  <c r="X269" i="1"/>
  <c r="L270" i="1"/>
  <c r="O270" i="1"/>
  <c r="R270" i="1"/>
  <c r="U270" i="1"/>
  <c r="X270" i="1"/>
  <c r="X254" i="1"/>
  <c r="U254" i="1"/>
  <c r="R254" i="1"/>
  <c r="O254" i="1"/>
  <c r="L254" i="1"/>
  <c r="AA259" i="1" l="1"/>
  <c r="AA263" i="1"/>
  <c r="AA257" i="1"/>
  <c r="AA261" i="1"/>
  <c r="AA255" i="1"/>
  <c r="AA256" i="1"/>
  <c r="AA267" i="1"/>
  <c r="AA269" i="1"/>
  <c r="AA265" i="1"/>
  <c r="AA268" i="1"/>
  <c r="AA258" i="1"/>
  <c r="AA270" i="1"/>
  <c r="AA254" i="1"/>
  <c r="AA264" i="1"/>
  <c r="AA262" i="1"/>
  <c r="AA260" i="1"/>
  <c r="AA266" i="1"/>
  <c r="T109" i="1"/>
  <c r="I239" i="1"/>
  <c r="I240" i="1"/>
  <c r="I241" i="1"/>
  <c r="I242" i="1"/>
  <c r="I243" i="1"/>
  <c r="I244" i="1"/>
  <c r="I245" i="1"/>
  <c r="I246" i="1"/>
  <c r="I247" i="1"/>
  <c r="I248" i="1"/>
  <c r="I249" i="1"/>
  <c r="I250" i="1"/>
  <c r="I251" i="1"/>
  <c r="I252" i="1"/>
  <c r="I253" i="1"/>
  <c r="I238" i="1"/>
  <c r="L239" i="1"/>
  <c r="O239" i="1"/>
  <c r="R239" i="1"/>
  <c r="U239" i="1"/>
  <c r="X239" i="1"/>
  <c r="L240" i="1"/>
  <c r="O240" i="1"/>
  <c r="R240" i="1"/>
  <c r="U240" i="1"/>
  <c r="X240" i="1"/>
  <c r="L241" i="1"/>
  <c r="O241" i="1"/>
  <c r="R241" i="1"/>
  <c r="U241" i="1"/>
  <c r="X241" i="1"/>
  <c r="L242" i="1"/>
  <c r="O242" i="1"/>
  <c r="R242" i="1"/>
  <c r="U242" i="1"/>
  <c r="X242" i="1"/>
  <c r="L243" i="1"/>
  <c r="O243" i="1"/>
  <c r="R243" i="1"/>
  <c r="U243" i="1"/>
  <c r="X243" i="1"/>
  <c r="L244" i="1"/>
  <c r="O244" i="1"/>
  <c r="R244" i="1"/>
  <c r="U244" i="1"/>
  <c r="X244" i="1"/>
  <c r="L245" i="1"/>
  <c r="O245" i="1"/>
  <c r="R245" i="1"/>
  <c r="U245" i="1"/>
  <c r="X245" i="1"/>
  <c r="L246" i="1"/>
  <c r="O246" i="1"/>
  <c r="R246" i="1"/>
  <c r="U246" i="1"/>
  <c r="X246" i="1"/>
  <c r="L247" i="1"/>
  <c r="O247" i="1"/>
  <c r="R247" i="1"/>
  <c r="U247" i="1"/>
  <c r="X247" i="1"/>
  <c r="L248" i="1"/>
  <c r="O248" i="1"/>
  <c r="R248" i="1"/>
  <c r="U248" i="1"/>
  <c r="X248" i="1"/>
  <c r="L249" i="1"/>
  <c r="O249" i="1"/>
  <c r="R249" i="1"/>
  <c r="U249" i="1"/>
  <c r="X249" i="1"/>
  <c r="L250" i="1"/>
  <c r="O250" i="1"/>
  <c r="R250" i="1"/>
  <c r="U250" i="1"/>
  <c r="X250" i="1"/>
  <c r="L251" i="1"/>
  <c r="O251" i="1"/>
  <c r="R251" i="1"/>
  <c r="U251" i="1"/>
  <c r="X251" i="1"/>
  <c r="L252" i="1"/>
  <c r="O252" i="1"/>
  <c r="R252" i="1"/>
  <c r="U252" i="1"/>
  <c r="X252" i="1"/>
  <c r="L253" i="1"/>
  <c r="O253" i="1"/>
  <c r="R253" i="1"/>
  <c r="U253" i="1"/>
  <c r="X253" i="1"/>
  <c r="X238" i="1"/>
  <c r="U238" i="1"/>
  <c r="R238" i="1"/>
  <c r="O238" i="1"/>
  <c r="L238" i="1"/>
  <c r="I216" i="1"/>
  <c r="I217" i="1"/>
  <c r="I218" i="1"/>
  <c r="I219" i="1"/>
  <c r="I220" i="1"/>
  <c r="I221" i="1"/>
  <c r="I222" i="1"/>
  <c r="I223" i="1"/>
  <c r="I224" i="1"/>
  <c r="I225" i="1"/>
  <c r="I226" i="1"/>
  <c r="I227" i="1"/>
  <c r="I228" i="1"/>
  <c r="I229" i="1"/>
  <c r="I230" i="1"/>
  <c r="I231" i="1"/>
  <c r="I232" i="1"/>
  <c r="I233" i="1"/>
  <c r="I234" i="1"/>
  <c r="I235" i="1"/>
  <c r="I236" i="1"/>
  <c r="I237" i="1"/>
  <c r="I215" i="1"/>
  <c r="L216" i="1"/>
  <c r="O216" i="1"/>
  <c r="R216" i="1"/>
  <c r="U216" i="1"/>
  <c r="X216" i="1"/>
  <c r="L217" i="1"/>
  <c r="O217" i="1"/>
  <c r="R217" i="1"/>
  <c r="U217" i="1"/>
  <c r="X217" i="1"/>
  <c r="L218" i="1"/>
  <c r="O218" i="1"/>
  <c r="R218" i="1"/>
  <c r="U218" i="1"/>
  <c r="X218" i="1"/>
  <c r="L219" i="1"/>
  <c r="O219" i="1"/>
  <c r="R219" i="1"/>
  <c r="U219" i="1"/>
  <c r="X219" i="1"/>
  <c r="L220" i="1"/>
  <c r="O220" i="1"/>
  <c r="R220" i="1"/>
  <c r="U220" i="1"/>
  <c r="X220" i="1"/>
  <c r="L221" i="1"/>
  <c r="O221" i="1"/>
  <c r="R221" i="1"/>
  <c r="U221" i="1"/>
  <c r="X221" i="1"/>
  <c r="L222" i="1"/>
  <c r="O222" i="1"/>
  <c r="R222" i="1"/>
  <c r="U222" i="1"/>
  <c r="X222" i="1"/>
  <c r="L223" i="1"/>
  <c r="O223" i="1"/>
  <c r="R223" i="1"/>
  <c r="U223" i="1"/>
  <c r="X223" i="1"/>
  <c r="L224" i="1"/>
  <c r="O224" i="1"/>
  <c r="R224" i="1"/>
  <c r="U224" i="1"/>
  <c r="X224" i="1"/>
  <c r="L225" i="1"/>
  <c r="O225" i="1"/>
  <c r="R225" i="1"/>
  <c r="U225" i="1"/>
  <c r="X225" i="1"/>
  <c r="L226" i="1"/>
  <c r="O226" i="1"/>
  <c r="R226" i="1"/>
  <c r="U226" i="1"/>
  <c r="X226" i="1"/>
  <c r="L227" i="1"/>
  <c r="O227" i="1"/>
  <c r="R227" i="1"/>
  <c r="U227" i="1"/>
  <c r="X227" i="1"/>
  <c r="L228" i="1"/>
  <c r="O228" i="1"/>
  <c r="R228" i="1"/>
  <c r="U228" i="1"/>
  <c r="X228" i="1"/>
  <c r="L229" i="1"/>
  <c r="O229" i="1"/>
  <c r="R229" i="1"/>
  <c r="U229" i="1"/>
  <c r="X229" i="1"/>
  <c r="L230" i="1"/>
  <c r="O230" i="1"/>
  <c r="R230" i="1"/>
  <c r="U230" i="1"/>
  <c r="X230" i="1"/>
  <c r="L231" i="1"/>
  <c r="O231" i="1"/>
  <c r="R231" i="1"/>
  <c r="U231" i="1"/>
  <c r="X231" i="1"/>
  <c r="L232" i="1"/>
  <c r="O232" i="1"/>
  <c r="R232" i="1"/>
  <c r="U232" i="1"/>
  <c r="X232" i="1"/>
  <c r="L233" i="1"/>
  <c r="O233" i="1"/>
  <c r="R233" i="1"/>
  <c r="U233" i="1"/>
  <c r="X233" i="1"/>
  <c r="L234" i="1"/>
  <c r="O234" i="1"/>
  <c r="R234" i="1"/>
  <c r="U234" i="1"/>
  <c r="X234" i="1"/>
  <c r="L235" i="1"/>
  <c r="O235" i="1"/>
  <c r="R235" i="1"/>
  <c r="U235" i="1"/>
  <c r="X235" i="1"/>
  <c r="L236" i="1"/>
  <c r="O236" i="1"/>
  <c r="R236" i="1"/>
  <c r="U236" i="1"/>
  <c r="X236" i="1"/>
  <c r="L237" i="1"/>
  <c r="O237" i="1"/>
  <c r="R237" i="1"/>
  <c r="U237" i="1"/>
  <c r="X237" i="1"/>
  <c r="X215" i="1"/>
  <c r="U215" i="1"/>
  <c r="R215" i="1"/>
  <c r="O215" i="1"/>
  <c r="L215" i="1"/>
  <c r="AA233" i="1" l="1"/>
  <c r="AA241" i="1"/>
  <c r="AA250" i="1"/>
  <c r="AA245" i="1"/>
  <c r="AA252" i="1"/>
  <c r="AA243" i="1"/>
  <c r="AA219" i="1"/>
  <c r="AA247" i="1"/>
  <c r="AA239" i="1"/>
  <c r="AA238" i="1"/>
  <c r="AA251" i="1"/>
  <c r="AA240" i="1"/>
  <c r="AA235" i="1"/>
  <c r="AA226" i="1"/>
  <c r="AA253" i="1"/>
  <c r="AA217" i="1"/>
  <c r="AA249" i="1"/>
  <c r="AA228" i="1"/>
  <c r="AA242" i="1"/>
  <c r="AA248" i="1"/>
  <c r="AA237" i="1"/>
  <c r="AA244" i="1"/>
  <c r="AA216" i="1"/>
  <c r="AA246" i="1"/>
  <c r="AA223" i="1"/>
  <c r="AA225" i="1"/>
  <c r="AA218" i="1"/>
  <c r="AA229" i="1"/>
  <c r="AA234" i="1"/>
  <c r="AA227" i="1"/>
  <c r="AA221" i="1"/>
  <c r="AA236" i="1"/>
  <c r="AA231" i="1"/>
  <c r="AA222" i="1"/>
  <c r="AA232" i="1"/>
  <c r="AA224" i="1"/>
  <c r="AA220" i="1"/>
  <c r="AA215" i="1"/>
  <c r="AA230" i="1"/>
  <c r="X214" i="1"/>
  <c r="U214" i="1"/>
  <c r="R214" i="1"/>
  <c r="O214" i="1"/>
  <c r="L214" i="1"/>
  <c r="I214" i="1"/>
  <c r="X213" i="1"/>
  <c r="U213" i="1"/>
  <c r="R213" i="1"/>
  <c r="O213" i="1"/>
  <c r="L213" i="1"/>
  <c r="I213" i="1"/>
  <c r="X212" i="1"/>
  <c r="U212" i="1"/>
  <c r="R212" i="1"/>
  <c r="O212" i="1"/>
  <c r="L212" i="1"/>
  <c r="I212" i="1"/>
  <c r="X211" i="1"/>
  <c r="U211" i="1"/>
  <c r="R211" i="1"/>
  <c r="O211" i="1"/>
  <c r="L211" i="1"/>
  <c r="I211" i="1"/>
  <c r="X210" i="1"/>
  <c r="U210" i="1"/>
  <c r="R210" i="1"/>
  <c r="O210" i="1"/>
  <c r="L210" i="1"/>
  <c r="I210" i="1"/>
  <c r="X209" i="1"/>
  <c r="U209" i="1"/>
  <c r="R209" i="1"/>
  <c r="O209" i="1"/>
  <c r="L209" i="1"/>
  <c r="I209" i="1"/>
  <c r="X208" i="1"/>
  <c r="U208" i="1"/>
  <c r="R208" i="1"/>
  <c r="O208" i="1"/>
  <c r="L208" i="1"/>
  <c r="I208" i="1"/>
  <c r="X207" i="1"/>
  <c r="U207" i="1"/>
  <c r="R207" i="1"/>
  <c r="O207" i="1"/>
  <c r="L207" i="1"/>
  <c r="I207" i="1"/>
  <c r="X206" i="1"/>
  <c r="U206" i="1"/>
  <c r="R206" i="1"/>
  <c r="O206" i="1"/>
  <c r="L206" i="1"/>
  <c r="I206" i="1"/>
  <c r="X205" i="1"/>
  <c r="U205" i="1"/>
  <c r="R205" i="1"/>
  <c r="O205" i="1"/>
  <c r="L205" i="1"/>
  <c r="I205" i="1"/>
  <c r="X204" i="1"/>
  <c r="U204" i="1"/>
  <c r="R204" i="1"/>
  <c r="O204" i="1"/>
  <c r="L204" i="1"/>
  <c r="I204" i="1"/>
  <c r="X203" i="1"/>
  <c r="U203" i="1"/>
  <c r="R203" i="1"/>
  <c r="O203" i="1"/>
  <c r="L203" i="1"/>
  <c r="I203" i="1"/>
  <c r="X202" i="1"/>
  <c r="U202" i="1"/>
  <c r="R202" i="1"/>
  <c r="O202" i="1"/>
  <c r="L202" i="1"/>
  <c r="I202" i="1"/>
  <c r="X201" i="1"/>
  <c r="U201" i="1"/>
  <c r="R201" i="1"/>
  <c r="O201" i="1"/>
  <c r="L201" i="1"/>
  <c r="I201" i="1"/>
  <c r="X200" i="1"/>
  <c r="U200" i="1"/>
  <c r="R200" i="1"/>
  <c r="O200" i="1"/>
  <c r="L200" i="1"/>
  <c r="I200" i="1"/>
  <c r="X199" i="1"/>
  <c r="U199" i="1"/>
  <c r="R199" i="1"/>
  <c r="O199" i="1"/>
  <c r="L199" i="1"/>
  <c r="I199" i="1"/>
  <c r="X198" i="1"/>
  <c r="U198" i="1"/>
  <c r="R198" i="1"/>
  <c r="O198" i="1"/>
  <c r="L198" i="1"/>
  <c r="I198" i="1"/>
  <c r="X197" i="1"/>
  <c r="U197" i="1"/>
  <c r="R197" i="1"/>
  <c r="O197" i="1"/>
  <c r="L197" i="1"/>
  <c r="I197" i="1"/>
  <c r="X196" i="1"/>
  <c r="U196" i="1"/>
  <c r="R196" i="1"/>
  <c r="O196" i="1"/>
  <c r="L196" i="1"/>
  <c r="I196" i="1"/>
  <c r="X195" i="1"/>
  <c r="U195" i="1"/>
  <c r="R195" i="1"/>
  <c r="O195" i="1"/>
  <c r="L195" i="1"/>
  <c r="I195" i="1"/>
  <c r="X194" i="1"/>
  <c r="U194" i="1"/>
  <c r="R194" i="1"/>
  <c r="O194" i="1"/>
  <c r="L194" i="1"/>
  <c r="I194" i="1"/>
  <c r="X193" i="1"/>
  <c r="U193" i="1"/>
  <c r="R193" i="1"/>
  <c r="O193" i="1"/>
  <c r="L193" i="1"/>
  <c r="I193" i="1"/>
  <c r="X192" i="1"/>
  <c r="U192" i="1"/>
  <c r="R192" i="1"/>
  <c r="O192" i="1"/>
  <c r="L192" i="1"/>
  <c r="I192" i="1"/>
  <c r="X191" i="1"/>
  <c r="U191" i="1"/>
  <c r="R191" i="1"/>
  <c r="O191" i="1"/>
  <c r="L191" i="1"/>
  <c r="I191" i="1"/>
  <c r="X190" i="1"/>
  <c r="U190" i="1"/>
  <c r="R190" i="1"/>
  <c r="O190" i="1"/>
  <c r="L190" i="1"/>
  <c r="I190" i="1"/>
  <c r="X189" i="1"/>
  <c r="U189" i="1"/>
  <c r="R189" i="1"/>
  <c r="O189" i="1"/>
  <c r="L189" i="1"/>
  <c r="I189" i="1"/>
  <c r="X188" i="1"/>
  <c r="U188" i="1"/>
  <c r="R188" i="1"/>
  <c r="O188" i="1"/>
  <c r="L188" i="1"/>
  <c r="I188" i="1"/>
  <c r="X187" i="1"/>
  <c r="U187" i="1"/>
  <c r="R187" i="1"/>
  <c r="O187" i="1"/>
  <c r="L187" i="1"/>
  <c r="I187" i="1"/>
  <c r="X186" i="1"/>
  <c r="U186" i="1"/>
  <c r="R186" i="1"/>
  <c r="O186" i="1"/>
  <c r="L186" i="1"/>
  <c r="I186" i="1"/>
  <c r="X185" i="1"/>
  <c r="U185" i="1"/>
  <c r="R185" i="1"/>
  <c r="O185" i="1"/>
  <c r="L185" i="1"/>
  <c r="I185" i="1"/>
  <c r="X184" i="1"/>
  <c r="U184" i="1"/>
  <c r="R184" i="1"/>
  <c r="O184" i="1"/>
  <c r="L184" i="1"/>
  <c r="I184" i="1"/>
  <c r="X183" i="1"/>
  <c r="U183" i="1"/>
  <c r="R183" i="1"/>
  <c r="O183" i="1"/>
  <c r="L183" i="1"/>
  <c r="I183" i="1"/>
  <c r="X182" i="1"/>
  <c r="U182" i="1"/>
  <c r="R182" i="1"/>
  <c r="O182" i="1"/>
  <c r="L182" i="1"/>
  <c r="I182" i="1"/>
  <c r="X181" i="1"/>
  <c r="U181" i="1"/>
  <c r="R181" i="1"/>
  <c r="O181" i="1"/>
  <c r="L181" i="1"/>
  <c r="I181" i="1"/>
  <c r="X180" i="1"/>
  <c r="U180" i="1"/>
  <c r="R180" i="1"/>
  <c r="O180" i="1"/>
  <c r="L180" i="1"/>
  <c r="I180" i="1"/>
  <c r="X179" i="1"/>
  <c r="U179" i="1"/>
  <c r="R179" i="1"/>
  <c r="O179" i="1"/>
  <c r="L179" i="1"/>
  <c r="I179" i="1"/>
  <c r="X178" i="1"/>
  <c r="U178" i="1"/>
  <c r="R178" i="1"/>
  <c r="O178" i="1"/>
  <c r="L178" i="1"/>
  <c r="I178" i="1"/>
  <c r="X177" i="1"/>
  <c r="U177" i="1"/>
  <c r="R177" i="1"/>
  <c r="O177" i="1"/>
  <c r="L177" i="1"/>
  <c r="I177" i="1"/>
  <c r="X176" i="1"/>
  <c r="U176" i="1"/>
  <c r="R176" i="1"/>
  <c r="O176" i="1"/>
  <c r="L176" i="1"/>
  <c r="I176" i="1"/>
  <c r="X175" i="1"/>
  <c r="U175" i="1"/>
  <c r="R175" i="1"/>
  <c r="O175" i="1"/>
  <c r="L175" i="1"/>
  <c r="I175" i="1"/>
  <c r="X174" i="1"/>
  <c r="U174" i="1"/>
  <c r="R174" i="1"/>
  <c r="O174" i="1"/>
  <c r="L174" i="1"/>
  <c r="I174" i="1"/>
  <c r="X173" i="1"/>
  <c r="U173" i="1"/>
  <c r="R173" i="1"/>
  <c r="O173" i="1"/>
  <c r="L173" i="1"/>
  <c r="I173" i="1"/>
  <c r="X172" i="1"/>
  <c r="U172" i="1"/>
  <c r="R172" i="1"/>
  <c r="O172" i="1"/>
  <c r="L172" i="1"/>
  <c r="I172" i="1"/>
  <c r="X171" i="1"/>
  <c r="U171" i="1"/>
  <c r="R171" i="1"/>
  <c r="O171" i="1"/>
  <c r="L171" i="1"/>
  <c r="I171" i="1"/>
  <c r="X170" i="1"/>
  <c r="U170" i="1"/>
  <c r="R170" i="1"/>
  <c r="O170" i="1"/>
  <c r="L170" i="1"/>
  <c r="I170" i="1"/>
  <c r="X169" i="1"/>
  <c r="U169" i="1"/>
  <c r="R169" i="1"/>
  <c r="O169" i="1"/>
  <c r="L169" i="1"/>
  <c r="I169" i="1"/>
  <c r="X168" i="1"/>
  <c r="U168" i="1"/>
  <c r="R168" i="1"/>
  <c r="O168" i="1"/>
  <c r="L168" i="1"/>
  <c r="I168" i="1"/>
  <c r="X167" i="1"/>
  <c r="U167" i="1"/>
  <c r="R167" i="1"/>
  <c r="O167" i="1"/>
  <c r="L167" i="1"/>
  <c r="I167" i="1"/>
  <c r="X166" i="1"/>
  <c r="U166" i="1"/>
  <c r="R166" i="1"/>
  <c r="O166" i="1"/>
  <c r="L166" i="1"/>
  <c r="I166" i="1"/>
  <c r="X165" i="1"/>
  <c r="U165" i="1"/>
  <c r="R165" i="1"/>
  <c r="O165" i="1"/>
  <c r="L165" i="1"/>
  <c r="I165" i="1"/>
  <c r="X164" i="1"/>
  <c r="U164" i="1"/>
  <c r="R164" i="1"/>
  <c r="O164" i="1"/>
  <c r="L164" i="1"/>
  <c r="I164" i="1"/>
  <c r="X163" i="1"/>
  <c r="U163" i="1"/>
  <c r="R163" i="1"/>
  <c r="O163" i="1"/>
  <c r="L163" i="1"/>
  <c r="I163" i="1"/>
  <c r="X162" i="1"/>
  <c r="U162" i="1"/>
  <c r="R162" i="1"/>
  <c r="O162" i="1"/>
  <c r="L162" i="1"/>
  <c r="I162" i="1"/>
  <c r="X161" i="1"/>
  <c r="U161" i="1"/>
  <c r="R161" i="1"/>
  <c r="O161" i="1"/>
  <c r="L161" i="1"/>
  <c r="I161" i="1"/>
  <c r="X160" i="1"/>
  <c r="U160" i="1"/>
  <c r="R160" i="1"/>
  <c r="O160" i="1"/>
  <c r="L160" i="1"/>
  <c r="I160" i="1"/>
  <c r="X159" i="1"/>
  <c r="U159" i="1"/>
  <c r="R159" i="1"/>
  <c r="O159" i="1"/>
  <c r="L159" i="1"/>
  <c r="I159" i="1"/>
  <c r="X158" i="1"/>
  <c r="U158" i="1"/>
  <c r="R158" i="1"/>
  <c r="O158" i="1"/>
  <c r="L158" i="1"/>
  <c r="I158" i="1"/>
  <c r="X157" i="1"/>
  <c r="U157" i="1"/>
  <c r="R157" i="1"/>
  <c r="O157" i="1"/>
  <c r="L157" i="1"/>
  <c r="I157" i="1"/>
  <c r="X156" i="1"/>
  <c r="U156" i="1"/>
  <c r="R156" i="1"/>
  <c r="O156" i="1"/>
  <c r="L156" i="1"/>
  <c r="I156" i="1"/>
  <c r="X155" i="1"/>
  <c r="U155" i="1"/>
  <c r="R155" i="1"/>
  <c r="O155" i="1"/>
  <c r="L155" i="1"/>
  <c r="I155" i="1"/>
  <c r="X154" i="1"/>
  <c r="U154" i="1"/>
  <c r="R154" i="1"/>
  <c r="O154" i="1"/>
  <c r="L154" i="1"/>
  <c r="I154" i="1"/>
  <c r="X153" i="1"/>
  <c r="U153" i="1"/>
  <c r="R153" i="1"/>
  <c r="O153" i="1"/>
  <c r="L153" i="1"/>
  <c r="I153" i="1"/>
  <c r="X152" i="1"/>
  <c r="U152" i="1"/>
  <c r="R152" i="1"/>
  <c r="O152" i="1"/>
  <c r="L152" i="1"/>
  <c r="I152" i="1"/>
  <c r="X151" i="1"/>
  <c r="U151" i="1"/>
  <c r="R151" i="1"/>
  <c r="O151" i="1"/>
  <c r="L151" i="1"/>
  <c r="I151" i="1"/>
  <c r="X150" i="1"/>
  <c r="U150" i="1"/>
  <c r="R150" i="1"/>
  <c r="O150" i="1"/>
  <c r="L150" i="1"/>
  <c r="I150" i="1"/>
  <c r="X149" i="1"/>
  <c r="U149" i="1"/>
  <c r="R149" i="1"/>
  <c r="O149" i="1"/>
  <c r="L149" i="1"/>
  <c r="I149" i="1"/>
  <c r="X148" i="1"/>
  <c r="U148" i="1"/>
  <c r="R148" i="1"/>
  <c r="O148" i="1"/>
  <c r="L148" i="1"/>
  <c r="I148" i="1"/>
  <c r="X147" i="1"/>
  <c r="U147" i="1"/>
  <c r="R147" i="1"/>
  <c r="O147" i="1"/>
  <c r="L147" i="1"/>
  <c r="I147" i="1"/>
  <c r="X146" i="1"/>
  <c r="U146" i="1"/>
  <c r="R146" i="1"/>
  <c r="O146" i="1"/>
  <c r="L146" i="1"/>
  <c r="I146" i="1"/>
  <c r="X145" i="1"/>
  <c r="U145" i="1"/>
  <c r="R145" i="1"/>
  <c r="O145" i="1"/>
  <c r="L145" i="1"/>
  <c r="I145" i="1"/>
  <c r="X144" i="1"/>
  <c r="U144" i="1"/>
  <c r="R144" i="1"/>
  <c r="O144" i="1"/>
  <c r="L144" i="1"/>
  <c r="I144" i="1"/>
  <c r="X143" i="1"/>
  <c r="U143" i="1"/>
  <c r="R143" i="1"/>
  <c r="O143" i="1"/>
  <c r="L143" i="1"/>
  <c r="I143" i="1"/>
  <c r="X142" i="1"/>
  <c r="U142" i="1"/>
  <c r="R142" i="1"/>
  <c r="O142" i="1"/>
  <c r="L142" i="1"/>
  <c r="I142" i="1"/>
  <c r="X141" i="1"/>
  <c r="U141" i="1"/>
  <c r="R141" i="1"/>
  <c r="O141" i="1"/>
  <c r="L141" i="1"/>
  <c r="I141" i="1"/>
  <c r="X140" i="1"/>
  <c r="U140" i="1"/>
  <c r="R140" i="1"/>
  <c r="O140" i="1"/>
  <c r="L140" i="1"/>
  <c r="I140" i="1"/>
  <c r="X139" i="1"/>
  <c r="U139" i="1"/>
  <c r="R139" i="1"/>
  <c r="O139" i="1"/>
  <c r="L139" i="1"/>
  <c r="I139" i="1"/>
  <c r="X138" i="1"/>
  <c r="U138" i="1"/>
  <c r="R138" i="1"/>
  <c r="O138" i="1"/>
  <c r="L138" i="1"/>
  <c r="I138" i="1"/>
  <c r="X137" i="1"/>
  <c r="U137" i="1"/>
  <c r="R137" i="1"/>
  <c r="O137" i="1"/>
  <c r="L137" i="1"/>
  <c r="I137" i="1"/>
  <c r="X136" i="1"/>
  <c r="U136" i="1"/>
  <c r="R136" i="1"/>
  <c r="O136" i="1"/>
  <c r="L136" i="1"/>
  <c r="I136" i="1"/>
  <c r="X135" i="1"/>
  <c r="U135" i="1"/>
  <c r="R135" i="1"/>
  <c r="O135" i="1"/>
  <c r="L135" i="1"/>
  <c r="I135" i="1"/>
  <c r="X134" i="1"/>
  <c r="U134" i="1"/>
  <c r="R134" i="1"/>
  <c r="O134" i="1"/>
  <c r="L134" i="1"/>
  <c r="I134" i="1"/>
  <c r="X133" i="1"/>
  <c r="U133" i="1"/>
  <c r="R133" i="1"/>
  <c r="O133" i="1"/>
  <c r="L133" i="1"/>
  <c r="I133" i="1"/>
  <c r="X132" i="1"/>
  <c r="U132" i="1"/>
  <c r="R132" i="1"/>
  <c r="O132" i="1"/>
  <c r="L132" i="1"/>
  <c r="I132" i="1"/>
  <c r="X131" i="1"/>
  <c r="U131" i="1"/>
  <c r="R131" i="1"/>
  <c r="O131" i="1"/>
  <c r="L131" i="1"/>
  <c r="I131" i="1"/>
  <c r="X130" i="1"/>
  <c r="U130" i="1"/>
  <c r="R130" i="1"/>
  <c r="O130" i="1"/>
  <c r="L130" i="1"/>
  <c r="I130" i="1"/>
  <c r="X129" i="1"/>
  <c r="U129" i="1"/>
  <c r="R129" i="1"/>
  <c r="O129" i="1"/>
  <c r="L129" i="1"/>
  <c r="I129" i="1"/>
  <c r="X128" i="1"/>
  <c r="U128" i="1"/>
  <c r="R128" i="1"/>
  <c r="O128" i="1"/>
  <c r="L128" i="1"/>
  <c r="I128" i="1"/>
  <c r="X127" i="1"/>
  <c r="U127" i="1"/>
  <c r="R127" i="1"/>
  <c r="O127" i="1"/>
  <c r="L127" i="1"/>
  <c r="I127" i="1"/>
  <c r="X126" i="1"/>
  <c r="U126" i="1"/>
  <c r="R126" i="1"/>
  <c r="O126" i="1"/>
  <c r="L126" i="1"/>
  <c r="I126" i="1"/>
  <c r="X125" i="1"/>
  <c r="U125" i="1"/>
  <c r="R125" i="1"/>
  <c r="O125" i="1"/>
  <c r="L125" i="1"/>
  <c r="I125" i="1"/>
  <c r="X124" i="1"/>
  <c r="U124" i="1"/>
  <c r="R124" i="1"/>
  <c r="O124" i="1"/>
  <c r="L124" i="1"/>
  <c r="I124" i="1"/>
  <c r="X123" i="1"/>
  <c r="U123" i="1"/>
  <c r="R123" i="1"/>
  <c r="O123" i="1"/>
  <c r="L123" i="1"/>
  <c r="I123" i="1"/>
  <c r="X122" i="1"/>
  <c r="U122" i="1"/>
  <c r="R122" i="1"/>
  <c r="O122" i="1"/>
  <c r="L122" i="1"/>
  <c r="I122" i="1"/>
  <c r="X121" i="1"/>
  <c r="U121" i="1"/>
  <c r="R121" i="1"/>
  <c r="O121" i="1"/>
  <c r="L121" i="1"/>
  <c r="I121" i="1"/>
  <c r="X120" i="1"/>
  <c r="U120" i="1"/>
  <c r="R120" i="1"/>
  <c r="O120" i="1"/>
  <c r="L120" i="1"/>
  <c r="I120" i="1"/>
  <c r="X119" i="1"/>
  <c r="U119" i="1"/>
  <c r="R119" i="1"/>
  <c r="O119" i="1"/>
  <c r="L119" i="1"/>
  <c r="I119" i="1"/>
  <c r="X118" i="1"/>
  <c r="U118" i="1"/>
  <c r="R118" i="1"/>
  <c r="O118" i="1"/>
  <c r="L118" i="1"/>
  <c r="I118" i="1"/>
  <c r="X117" i="1"/>
  <c r="U117" i="1"/>
  <c r="R117" i="1"/>
  <c r="O117" i="1"/>
  <c r="L117" i="1"/>
  <c r="I117" i="1"/>
  <c r="X116" i="1"/>
  <c r="U116" i="1"/>
  <c r="R116" i="1"/>
  <c r="O116" i="1"/>
  <c r="L116" i="1"/>
  <c r="I116" i="1"/>
  <c r="X115" i="1"/>
  <c r="U115" i="1"/>
  <c r="R115" i="1"/>
  <c r="O115" i="1"/>
  <c r="L115" i="1"/>
  <c r="I115" i="1"/>
  <c r="X114" i="1"/>
  <c r="U114" i="1"/>
  <c r="R114" i="1"/>
  <c r="O114" i="1"/>
  <c r="L114" i="1"/>
  <c r="I114" i="1"/>
  <c r="X113" i="1"/>
  <c r="U113" i="1"/>
  <c r="R113" i="1"/>
  <c r="O113" i="1"/>
  <c r="L113" i="1"/>
  <c r="I113" i="1"/>
  <c r="X112" i="1"/>
  <c r="U112" i="1"/>
  <c r="R112" i="1"/>
  <c r="O112" i="1"/>
  <c r="L112" i="1"/>
  <c r="I112" i="1"/>
  <c r="X111" i="1"/>
  <c r="U111" i="1"/>
  <c r="R111" i="1"/>
  <c r="O111" i="1"/>
  <c r="L111" i="1"/>
  <c r="I111" i="1"/>
  <c r="X110" i="1"/>
  <c r="U110" i="1"/>
  <c r="R110" i="1"/>
  <c r="O110" i="1"/>
  <c r="L110" i="1"/>
  <c r="I110" i="1"/>
  <c r="X109" i="1"/>
  <c r="U109" i="1"/>
  <c r="R109" i="1"/>
  <c r="O109" i="1"/>
  <c r="L109" i="1"/>
  <c r="I109" i="1"/>
  <c r="X108" i="1"/>
  <c r="U108" i="1"/>
  <c r="R108" i="1"/>
  <c r="O108" i="1"/>
  <c r="L108" i="1"/>
  <c r="I108" i="1"/>
  <c r="X107" i="1"/>
  <c r="U107" i="1"/>
  <c r="R107" i="1"/>
  <c r="O107" i="1"/>
  <c r="L107" i="1"/>
  <c r="I107" i="1"/>
  <c r="X106" i="1"/>
  <c r="U106" i="1"/>
  <c r="R106" i="1"/>
  <c r="O106" i="1"/>
  <c r="L106" i="1"/>
  <c r="I106" i="1"/>
  <c r="X105" i="1"/>
  <c r="U105" i="1"/>
  <c r="R105" i="1"/>
  <c r="O105" i="1"/>
  <c r="L105" i="1"/>
  <c r="I105" i="1"/>
  <c r="X104" i="1"/>
  <c r="U104" i="1"/>
  <c r="R104" i="1"/>
  <c r="O104" i="1"/>
  <c r="L104" i="1"/>
  <c r="I104" i="1"/>
  <c r="X103" i="1"/>
  <c r="U103" i="1"/>
  <c r="R103" i="1"/>
  <c r="O103" i="1"/>
  <c r="L103" i="1"/>
  <c r="I103" i="1"/>
  <c r="X102" i="1"/>
  <c r="U102" i="1"/>
  <c r="R102" i="1"/>
  <c r="O102" i="1"/>
  <c r="L102" i="1"/>
  <c r="I102" i="1"/>
  <c r="X99" i="1"/>
  <c r="U99" i="1"/>
  <c r="R99" i="1"/>
  <c r="O99" i="1"/>
  <c r="L99" i="1"/>
  <c r="I99" i="1"/>
  <c r="X98" i="1"/>
  <c r="U98" i="1"/>
  <c r="R98" i="1"/>
  <c r="O98" i="1"/>
  <c r="L98" i="1"/>
  <c r="I98" i="1"/>
  <c r="X97" i="1"/>
  <c r="U97" i="1"/>
  <c r="R97" i="1"/>
  <c r="O97" i="1"/>
  <c r="L97" i="1"/>
  <c r="I97" i="1"/>
  <c r="X96" i="1"/>
  <c r="U96" i="1"/>
  <c r="R96" i="1"/>
  <c r="O96" i="1"/>
  <c r="L96" i="1"/>
  <c r="I96" i="1"/>
  <c r="X95" i="1"/>
  <c r="U95" i="1"/>
  <c r="R95" i="1"/>
  <c r="O95" i="1"/>
  <c r="L95" i="1"/>
  <c r="I95" i="1"/>
  <c r="X94" i="1"/>
  <c r="U94" i="1"/>
  <c r="R94" i="1"/>
  <c r="O94" i="1"/>
  <c r="L94" i="1"/>
  <c r="I94" i="1"/>
  <c r="X93" i="1"/>
  <c r="U93" i="1"/>
  <c r="R93" i="1"/>
  <c r="O93" i="1"/>
  <c r="L93" i="1"/>
  <c r="I93" i="1"/>
  <c r="X92" i="1"/>
  <c r="U92" i="1"/>
  <c r="R92" i="1"/>
  <c r="O92" i="1"/>
  <c r="L92" i="1"/>
  <c r="I92" i="1"/>
  <c r="X91" i="1"/>
  <c r="U91" i="1"/>
  <c r="R91" i="1"/>
  <c r="O91" i="1"/>
  <c r="L91" i="1"/>
  <c r="I91" i="1"/>
  <c r="X90" i="1"/>
  <c r="U90" i="1"/>
  <c r="R90" i="1"/>
  <c r="O90" i="1"/>
  <c r="L90" i="1"/>
  <c r="I90" i="1"/>
  <c r="X89" i="1"/>
  <c r="U89" i="1"/>
  <c r="R89" i="1"/>
  <c r="O89" i="1"/>
  <c r="L89" i="1"/>
  <c r="I89" i="1"/>
  <c r="X88" i="1"/>
  <c r="U88" i="1"/>
  <c r="R88" i="1"/>
  <c r="O88" i="1"/>
  <c r="L88" i="1"/>
  <c r="I88" i="1"/>
  <c r="X87" i="1"/>
  <c r="U87" i="1"/>
  <c r="R87" i="1"/>
  <c r="O87" i="1"/>
  <c r="L87" i="1"/>
  <c r="I87" i="1"/>
  <c r="X86" i="1"/>
  <c r="U86" i="1"/>
  <c r="R86" i="1"/>
  <c r="O86" i="1"/>
  <c r="L86" i="1"/>
  <c r="I86" i="1"/>
  <c r="X85" i="1"/>
  <c r="U85" i="1"/>
  <c r="R85" i="1"/>
  <c r="O85" i="1"/>
  <c r="L85" i="1"/>
  <c r="I85" i="1"/>
  <c r="X84" i="1"/>
  <c r="U84" i="1"/>
  <c r="R84" i="1"/>
  <c r="O84" i="1"/>
  <c r="L84" i="1"/>
  <c r="I84" i="1"/>
  <c r="X83" i="1"/>
  <c r="U83" i="1"/>
  <c r="R83" i="1"/>
  <c r="O83" i="1"/>
  <c r="L83" i="1"/>
  <c r="I83" i="1"/>
  <c r="X82" i="1"/>
  <c r="U82" i="1"/>
  <c r="R82" i="1"/>
  <c r="O82" i="1"/>
  <c r="L82" i="1"/>
  <c r="I82" i="1"/>
  <c r="X81" i="1"/>
  <c r="U81" i="1"/>
  <c r="R81" i="1"/>
  <c r="O81" i="1"/>
  <c r="L81" i="1"/>
  <c r="I81" i="1"/>
  <c r="X80" i="1"/>
  <c r="U80" i="1"/>
  <c r="R80" i="1"/>
  <c r="O80" i="1"/>
  <c r="L80" i="1"/>
  <c r="I80" i="1"/>
  <c r="X79" i="1"/>
  <c r="U79" i="1"/>
  <c r="R79" i="1"/>
  <c r="O79" i="1"/>
  <c r="L79" i="1"/>
  <c r="I79" i="1"/>
  <c r="X78" i="1"/>
  <c r="U78" i="1"/>
  <c r="R78" i="1"/>
  <c r="O78" i="1"/>
  <c r="L78" i="1"/>
  <c r="I78" i="1"/>
  <c r="X77" i="1"/>
  <c r="U77" i="1"/>
  <c r="R77" i="1"/>
  <c r="O77" i="1"/>
  <c r="L77" i="1"/>
  <c r="I77" i="1"/>
  <c r="X76" i="1"/>
  <c r="U76" i="1"/>
  <c r="R76" i="1"/>
  <c r="O76" i="1"/>
  <c r="L76" i="1"/>
  <c r="I76" i="1"/>
  <c r="X75" i="1"/>
  <c r="U75" i="1"/>
  <c r="R75" i="1"/>
  <c r="O75" i="1"/>
  <c r="L75" i="1"/>
  <c r="I75" i="1"/>
  <c r="X74" i="1"/>
  <c r="U74" i="1"/>
  <c r="R74" i="1"/>
  <c r="O74" i="1"/>
  <c r="L74" i="1"/>
  <c r="I74" i="1"/>
  <c r="X73" i="1"/>
  <c r="U73" i="1"/>
  <c r="R73" i="1"/>
  <c r="O73" i="1"/>
  <c r="L73" i="1"/>
  <c r="I73" i="1"/>
  <c r="X72" i="1"/>
  <c r="U72" i="1"/>
  <c r="R72" i="1"/>
  <c r="O72" i="1"/>
  <c r="L72" i="1"/>
  <c r="I72" i="1"/>
  <c r="X71" i="1"/>
  <c r="U71" i="1"/>
  <c r="R71" i="1"/>
  <c r="O71" i="1"/>
  <c r="L71" i="1"/>
  <c r="I71" i="1"/>
  <c r="X70" i="1"/>
  <c r="U70" i="1"/>
  <c r="R70" i="1"/>
  <c r="O70" i="1"/>
  <c r="L70" i="1"/>
  <c r="I70" i="1"/>
  <c r="X69" i="1"/>
  <c r="U69" i="1"/>
  <c r="R69" i="1"/>
  <c r="O69" i="1"/>
  <c r="L69" i="1"/>
  <c r="I69" i="1"/>
  <c r="X68" i="1"/>
  <c r="U68" i="1"/>
  <c r="R68" i="1"/>
  <c r="O68" i="1"/>
  <c r="L68" i="1"/>
  <c r="I68" i="1"/>
  <c r="X67" i="1"/>
  <c r="U67" i="1"/>
  <c r="R67" i="1"/>
  <c r="O67" i="1"/>
  <c r="L67" i="1"/>
  <c r="I67" i="1"/>
  <c r="X66" i="1"/>
  <c r="U66" i="1"/>
  <c r="R66" i="1"/>
  <c r="O66" i="1"/>
  <c r="L66" i="1"/>
  <c r="I66" i="1"/>
  <c r="X65" i="1"/>
  <c r="U65" i="1"/>
  <c r="R65" i="1"/>
  <c r="O65" i="1"/>
  <c r="L65" i="1"/>
  <c r="I65" i="1"/>
  <c r="X64" i="1"/>
  <c r="U64" i="1"/>
  <c r="R64" i="1"/>
  <c r="O64" i="1"/>
  <c r="L64" i="1"/>
  <c r="I64" i="1"/>
  <c r="X63" i="1"/>
  <c r="U63" i="1"/>
  <c r="R63" i="1"/>
  <c r="O63" i="1"/>
  <c r="L63" i="1"/>
  <c r="I63" i="1"/>
  <c r="X62" i="1"/>
  <c r="U62" i="1"/>
  <c r="R62" i="1"/>
  <c r="O62" i="1"/>
  <c r="L62" i="1"/>
  <c r="I62" i="1"/>
  <c r="X61" i="1"/>
  <c r="U61" i="1"/>
  <c r="R61" i="1"/>
  <c r="O61" i="1"/>
  <c r="L61" i="1"/>
  <c r="I61" i="1"/>
  <c r="X60" i="1"/>
  <c r="U60" i="1"/>
  <c r="R60" i="1"/>
  <c r="O60" i="1"/>
  <c r="L60" i="1"/>
  <c r="I60" i="1"/>
  <c r="X59" i="1"/>
  <c r="U59" i="1"/>
  <c r="R59" i="1"/>
  <c r="O59" i="1"/>
  <c r="L59" i="1"/>
  <c r="I59" i="1"/>
  <c r="X58" i="1"/>
  <c r="U58" i="1"/>
  <c r="R58" i="1"/>
  <c r="O58" i="1"/>
  <c r="L58" i="1"/>
  <c r="I58" i="1"/>
  <c r="X57" i="1"/>
  <c r="U57" i="1"/>
  <c r="R57" i="1"/>
  <c r="O57" i="1"/>
  <c r="L57" i="1"/>
  <c r="I57" i="1"/>
  <c r="X56" i="1"/>
  <c r="U56" i="1"/>
  <c r="R56" i="1"/>
  <c r="O56" i="1"/>
  <c r="L56" i="1"/>
  <c r="I56" i="1"/>
  <c r="X55" i="1"/>
  <c r="U55" i="1"/>
  <c r="R55" i="1"/>
  <c r="O55" i="1"/>
  <c r="L55" i="1"/>
  <c r="I55" i="1"/>
  <c r="X54" i="1"/>
  <c r="U54" i="1"/>
  <c r="R54" i="1"/>
  <c r="O54" i="1"/>
  <c r="L54" i="1"/>
  <c r="I54" i="1"/>
  <c r="X53" i="1"/>
  <c r="U53" i="1"/>
  <c r="R53" i="1"/>
  <c r="O53" i="1"/>
  <c r="L53" i="1"/>
  <c r="I53" i="1"/>
  <c r="X52" i="1"/>
  <c r="U52" i="1"/>
  <c r="R52" i="1"/>
  <c r="O52" i="1"/>
  <c r="L52" i="1"/>
  <c r="I52" i="1"/>
  <c r="X51" i="1"/>
  <c r="U51" i="1"/>
  <c r="R51" i="1"/>
  <c r="O51" i="1"/>
  <c r="L51" i="1"/>
  <c r="I51" i="1"/>
  <c r="X50" i="1"/>
  <c r="U50" i="1"/>
  <c r="R50" i="1"/>
  <c r="O50" i="1"/>
  <c r="L50" i="1"/>
  <c r="I50" i="1"/>
  <c r="X49" i="1"/>
  <c r="U49" i="1"/>
  <c r="R49" i="1"/>
  <c r="O49" i="1"/>
  <c r="L49" i="1"/>
  <c r="I49" i="1"/>
  <c r="X48" i="1"/>
  <c r="U48" i="1"/>
  <c r="R48" i="1"/>
  <c r="O48" i="1"/>
  <c r="L48" i="1"/>
  <c r="I48" i="1"/>
  <c r="X47" i="1"/>
  <c r="U47" i="1"/>
  <c r="R47" i="1"/>
  <c r="O47" i="1"/>
  <c r="L47" i="1"/>
  <c r="I47" i="1"/>
  <c r="X46" i="1"/>
  <c r="U46" i="1"/>
  <c r="R46" i="1"/>
  <c r="O46" i="1"/>
  <c r="L46" i="1"/>
  <c r="I46" i="1"/>
  <c r="X45" i="1"/>
  <c r="U45" i="1"/>
  <c r="R45" i="1"/>
  <c r="O45" i="1"/>
  <c r="L45" i="1"/>
  <c r="I45" i="1"/>
  <c r="X44" i="1"/>
  <c r="U44" i="1"/>
  <c r="R44" i="1"/>
  <c r="O44" i="1"/>
  <c r="L44" i="1"/>
  <c r="I44" i="1"/>
  <c r="X43" i="1"/>
  <c r="U43" i="1"/>
  <c r="R43" i="1"/>
  <c r="O43" i="1"/>
  <c r="L43" i="1"/>
  <c r="I43" i="1"/>
  <c r="X42" i="1"/>
  <c r="U42" i="1"/>
  <c r="R42" i="1"/>
  <c r="O42" i="1"/>
  <c r="L42" i="1"/>
  <c r="I42" i="1"/>
  <c r="X41" i="1"/>
  <c r="U41" i="1"/>
  <c r="R41" i="1"/>
  <c r="O41" i="1"/>
  <c r="L41" i="1"/>
  <c r="I41" i="1"/>
  <c r="X40" i="1"/>
  <c r="U40" i="1"/>
  <c r="R40" i="1"/>
  <c r="O40" i="1"/>
  <c r="L40" i="1"/>
  <c r="I40" i="1"/>
  <c r="X39" i="1"/>
  <c r="U39" i="1"/>
  <c r="R39" i="1"/>
  <c r="O39" i="1"/>
  <c r="L39" i="1"/>
  <c r="I39" i="1"/>
  <c r="X38" i="1"/>
  <c r="U38" i="1"/>
  <c r="R38" i="1"/>
  <c r="O38" i="1"/>
  <c r="L38" i="1"/>
  <c r="I38" i="1"/>
  <c r="X37" i="1"/>
  <c r="U37" i="1"/>
  <c r="R37" i="1"/>
  <c r="O37" i="1"/>
  <c r="L37" i="1"/>
  <c r="I37" i="1"/>
  <c r="X36" i="1"/>
  <c r="U36" i="1"/>
  <c r="R36" i="1"/>
  <c r="O36" i="1"/>
  <c r="L36" i="1"/>
  <c r="I36" i="1"/>
  <c r="X35" i="1"/>
  <c r="U35" i="1"/>
  <c r="R35" i="1"/>
  <c r="O35" i="1"/>
  <c r="L35" i="1"/>
  <c r="I35" i="1"/>
  <c r="X34" i="1"/>
  <c r="U34" i="1"/>
  <c r="R34" i="1"/>
  <c r="O34" i="1"/>
  <c r="L34" i="1"/>
  <c r="I34" i="1"/>
  <c r="X33" i="1"/>
  <c r="U33" i="1"/>
  <c r="R33" i="1"/>
  <c r="O33" i="1"/>
  <c r="L33" i="1"/>
  <c r="I33" i="1"/>
  <c r="X32" i="1"/>
  <c r="U32" i="1"/>
  <c r="R32" i="1"/>
  <c r="O32" i="1"/>
  <c r="L32" i="1"/>
  <c r="I32" i="1"/>
  <c r="X31" i="1"/>
  <c r="U31" i="1"/>
  <c r="R31" i="1"/>
  <c r="O31" i="1"/>
  <c r="L31" i="1"/>
  <c r="I31" i="1"/>
  <c r="X30" i="1"/>
  <c r="U30" i="1"/>
  <c r="R30" i="1"/>
  <c r="O30" i="1"/>
  <c r="L30" i="1"/>
  <c r="I30" i="1"/>
  <c r="X29" i="1"/>
  <c r="U29" i="1"/>
  <c r="R29" i="1"/>
  <c r="O29" i="1"/>
  <c r="L29" i="1"/>
  <c r="I29" i="1"/>
  <c r="X28" i="1"/>
  <c r="U28" i="1"/>
  <c r="R28" i="1"/>
  <c r="O28" i="1"/>
  <c r="L28" i="1"/>
  <c r="I28" i="1"/>
  <c r="X27" i="1"/>
  <c r="U27" i="1"/>
  <c r="R27" i="1"/>
  <c r="O27" i="1"/>
  <c r="L27" i="1"/>
  <c r="I27" i="1"/>
  <c r="X26" i="1"/>
  <c r="U26" i="1"/>
  <c r="R26" i="1"/>
  <c r="O26" i="1"/>
  <c r="L26" i="1"/>
  <c r="I26" i="1"/>
  <c r="X25" i="1"/>
  <c r="U25" i="1"/>
  <c r="R25" i="1"/>
  <c r="O25" i="1"/>
  <c r="L25" i="1"/>
  <c r="I25" i="1"/>
  <c r="X24" i="1"/>
  <c r="U24" i="1"/>
  <c r="R24" i="1"/>
  <c r="O24" i="1"/>
  <c r="L24" i="1"/>
  <c r="I24" i="1"/>
  <c r="X23" i="1"/>
  <c r="U23" i="1"/>
  <c r="R23" i="1"/>
  <c r="O23" i="1"/>
  <c r="L23" i="1"/>
  <c r="I23" i="1"/>
  <c r="X22" i="1"/>
  <c r="U22" i="1"/>
  <c r="R22" i="1"/>
  <c r="O22" i="1"/>
  <c r="L22" i="1"/>
  <c r="I22" i="1"/>
  <c r="X21" i="1"/>
  <c r="U21" i="1"/>
  <c r="R21" i="1"/>
  <c r="O21" i="1"/>
  <c r="L21" i="1"/>
  <c r="I21" i="1"/>
  <c r="X20" i="1"/>
  <c r="U20" i="1"/>
  <c r="R20" i="1"/>
  <c r="O20" i="1"/>
  <c r="L20" i="1"/>
  <c r="I20" i="1"/>
  <c r="X19" i="1"/>
  <c r="U19" i="1"/>
  <c r="R19" i="1"/>
  <c r="O19" i="1"/>
  <c r="L19" i="1"/>
  <c r="I19" i="1"/>
  <c r="X18" i="1"/>
  <c r="U18" i="1"/>
  <c r="R18" i="1"/>
  <c r="O18" i="1"/>
  <c r="L18" i="1"/>
  <c r="I18" i="1"/>
  <c r="X17" i="1"/>
  <c r="U17" i="1"/>
  <c r="R17" i="1"/>
  <c r="O17" i="1"/>
  <c r="L17" i="1"/>
  <c r="I17" i="1"/>
  <c r="X16" i="1"/>
  <c r="U16" i="1"/>
  <c r="R16" i="1"/>
  <c r="O16" i="1"/>
  <c r="L16" i="1"/>
  <c r="I16" i="1"/>
  <c r="X15" i="1"/>
  <c r="U15" i="1"/>
  <c r="R15" i="1"/>
  <c r="O15" i="1"/>
  <c r="L15" i="1"/>
  <c r="I15" i="1"/>
  <c r="X14" i="1"/>
  <c r="U14" i="1"/>
  <c r="R14" i="1"/>
  <c r="O14" i="1"/>
  <c r="L14" i="1"/>
  <c r="I14" i="1"/>
  <c r="X13" i="1"/>
  <c r="U13" i="1"/>
  <c r="R13" i="1"/>
  <c r="O13" i="1"/>
  <c r="L13" i="1"/>
  <c r="I13" i="1"/>
  <c r="X12" i="1"/>
  <c r="U12" i="1"/>
  <c r="R12" i="1"/>
  <c r="O12" i="1"/>
  <c r="L12" i="1"/>
  <c r="I12" i="1"/>
  <c r="X11" i="1"/>
  <c r="U11" i="1"/>
  <c r="R11" i="1"/>
  <c r="O11" i="1"/>
  <c r="L11" i="1"/>
  <c r="I11" i="1"/>
  <c r="X10" i="1"/>
  <c r="U10" i="1"/>
  <c r="R10" i="1"/>
  <c r="O10" i="1"/>
  <c r="L10" i="1"/>
  <c r="I10" i="1"/>
  <c r="X9" i="1"/>
  <c r="U9" i="1"/>
  <c r="R9" i="1"/>
  <c r="O9" i="1"/>
  <c r="L9" i="1"/>
  <c r="I9" i="1"/>
  <c r="X8" i="1"/>
  <c r="U8" i="1"/>
  <c r="R8" i="1"/>
  <c r="O8" i="1"/>
  <c r="L8" i="1"/>
  <c r="I8" i="1"/>
  <c r="X7" i="1"/>
  <c r="U7" i="1"/>
  <c r="R7" i="1"/>
  <c r="O7" i="1"/>
  <c r="L7" i="1"/>
  <c r="I7" i="1"/>
  <c r="X6" i="1"/>
  <c r="U6" i="1"/>
  <c r="R6" i="1"/>
  <c r="O6" i="1"/>
  <c r="L6" i="1"/>
  <c r="I6" i="1"/>
  <c r="X5" i="1"/>
  <c r="U5" i="1"/>
  <c r="R5" i="1"/>
  <c r="O5" i="1"/>
  <c r="L5" i="1"/>
  <c r="I5" i="1"/>
  <c r="X4" i="1"/>
  <c r="U4" i="1"/>
  <c r="R4" i="1"/>
  <c r="O4" i="1"/>
  <c r="L4" i="1"/>
  <c r="I4" i="1"/>
  <c r="AA149" i="1" l="1"/>
  <c r="AA43" i="1"/>
  <c r="AA94" i="1"/>
  <c r="AA209" i="1"/>
  <c r="AA133" i="1"/>
  <c r="AA21" i="1"/>
  <c r="AA81" i="1"/>
  <c r="AA95" i="1"/>
  <c r="AA97" i="1"/>
  <c r="AA109" i="1"/>
  <c r="AA111" i="1"/>
  <c r="AA121" i="1"/>
  <c r="AA123" i="1"/>
  <c r="AA135" i="1"/>
  <c r="AA137" i="1"/>
  <c r="AA189" i="1"/>
  <c r="AA197" i="1"/>
  <c r="AA19" i="1"/>
  <c r="AA22" i="1"/>
  <c r="AA28" i="1"/>
  <c r="AA30" i="1"/>
  <c r="AA32" i="1"/>
  <c r="AA34" i="1"/>
  <c r="AA40" i="1"/>
  <c r="AA42" i="1"/>
  <c r="AA44" i="1"/>
  <c r="AA46" i="1"/>
  <c r="AA52" i="1"/>
  <c r="AA54" i="1"/>
  <c r="AA56" i="1"/>
  <c r="AA58" i="1"/>
  <c r="AA64" i="1"/>
  <c r="AA66" i="1"/>
  <c r="AA68" i="1"/>
  <c r="AA70" i="1"/>
  <c r="AA76" i="1"/>
  <c r="AA78" i="1"/>
  <c r="AA80" i="1"/>
  <c r="AA82" i="1"/>
  <c r="AA29" i="1"/>
  <c r="AA12" i="1"/>
  <c r="AA173" i="1"/>
  <c r="AA138" i="1"/>
  <c r="AA140" i="1"/>
  <c r="AA142" i="1"/>
  <c r="AA161" i="1"/>
  <c r="AA163" i="1"/>
  <c r="AA185" i="1"/>
  <c r="AA136" i="1"/>
  <c r="AA150" i="1"/>
  <c r="AA152" i="1"/>
  <c r="AA154" i="1"/>
  <c r="AA162" i="1"/>
  <c r="AA164" i="1"/>
  <c r="AA166" i="1"/>
  <c r="AA174" i="1"/>
  <c r="AA176" i="1"/>
  <c r="AA178" i="1"/>
  <c r="AA186" i="1"/>
  <c r="AA188" i="1"/>
  <c r="AA190" i="1"/>
  <c r="AA198" i="1"/>
  <c r="AA200" i="1"/>
  <c r="AA202" i="1"/>
  <c r="AA110" i="1"/>
  <c r="AA120" i="1"/>
  <c r="AA132" i="1"/>
  <c r="AA5" i="1"/>
  <c r="AA83" i="1"/>
  <c r="AA85" i="1"/>
  <c r="AA87" i="1"/>
  <c r="AA108" i="1"/>
  <c r="AA99" i="1"/>
  <c r="AA113" i="1"/>
  <c r="AA125" i="1"/>
  <c r="AA41" i="1"/>
  <c r="AA93" i="1"/>
  <c r="AA160" i="1"/>
  <c r="AA65" i="1"/>
  <c r="AA89" i="1"/>
  <c r="AA105" i="1"/>
  <c r="AA144" i="1"/>
  <c r="AA158" i="1"/>
  <c r="AA196" i="1"/>
  <c r="AA201" i="1"/>
  <c r="AA134" i="1"/>
  <c r="AA91" i="1"/>
  <c r="AA146" i="1"/>
  <c r="AA11" i="1"/>
  <c r="AA13" i="1"/>
  <c r="AA15" i="1"/>
  <c r="AA17" i="1"/>
  <c r="AA36" i="1"/>
  <c r="AA62" i="1"/>
  <c r="AA88" i="1"/>
  <c r="AA90" i="1"/>
  <c r="AA92" i="1"/>
  <c r="AA103" i="1"/>
  <c r="AA117" i="1"/>
  <c r="AA143" i="1"/>
  <c r="AA145" i="1"/>
  <c r="AA147" i="1"/>
  <c r="AA156" i="1"/>
  <c r="AA170" i="1"/>
  <c r="AA208" i="1"/>
  <c r="AA210" i="1"/>
  <c r="AA212" i="1"/>
  <c r="AA214" i="1"/>
  <c r="AA55" i="1"/>
  <c r="AA175" i="1"/>
  <c r="AA16" i="1"/>
  <c r="AA187" i="1"/>
  <c r="AA26" i="1"/>
  <c r="AA77" i="1"/>
  <c r="AA211" i="1"/>
  <c r="AA104" i="1"/>
  <c r="AA115" i="1"/>
  <c r="AA155" i="1"/>
  <c r="AA168" i="1"/>
  <c r="AA182" i="1"/>
  <c r="AA148" i="1"/>
  <c r="AA119" i="1"/>
  <c r="AA172" i="1"/>
  <c r="AA14" i="1"/>
  <c r="AA131" i="1"/>
  <c r="AA184" i="1"/>
  <c r="AA27" i="1"/>
  <c r="AA102" i="1"/>
  <c r="AA33" i="1"/>
  <c r="AA35" i="1"/>
  <c r="AA37" i="1"/>
  <c r="AA39" i="1"/>
  <c r="AA60" i="1"/>
  <c r="AA86" i="1"/>
  <c r="AA114" i="1"/>
  <c r="AA116" i="1"/>
  <c r="AA118" i="1"/>
  <c r="AA127" i="1"/>
  <c r="AA141" i="1"/>
  <c r="AA167" i="1"/>
  <c r="AA169" i="1"/>
  <c r="AA171" i="1"/>
  <c r="AA180" i="1"/>
  <c r="AA4" i="1"/>
  <c r="AA67" i="1"/>
  <c r="AA24" i="1"/>
  <c r="AA25" i="1"/>
  <c r="AA48" i="1"/>
  <c r="AA74" i="1"/>
  <c r="AA9" i="1"/>
  <c r="AA45" i="1"/>
  <c r="AA47" i="1"/>
  <c r="AA49" i="1"/>
  <c r="AA51" i="1"/>
  <c r="AA72" i="1"/>
  <c r="AA98" i="1"/>
  <c r="AA126" i="1"/>
  <c r="AA128" i="1"/>
  <c r="AA130" i="1"/>
  <c r="AA153" i="1"/>
  <c r="AA179" i="1"/>
  <c r="AA181" i="1"/>
  <c r="AA183" i="1"/>
  <c r="AA192" i="1"/>
  <c r="AA194" i="1"/>
  <c r="AA122" i="1"/>
  <c r="AA79" i="1"/>
  <c r="AA38" i="1"/>
  <c r="AA50" i="1"/>
  <c r="AA159" i="1"/>
  <c r="AA7" i="1"/>
  <c r="AA20" i="1"/>
  <c r="AA57" i="1"/>
  <c r="AA59" i="1"/>
  <c r="AA61" i="1"/>
  <c r="AA63" i="1"/>
  <c r="AA84" i="1"/>
  <c r="AA112" i="1"/>
  <c r="AA139" i="1"/>
  <c r="AA165" i="1"/>
  <c r="AA191" i="1"/>
  <c r="AA193" i="1"/>
  <c r="AA195" i="1"/>
  <c r="AA204" i="1"/>
  <c r="AA206" i="1"/>
  <c r="AA53" i="1"/>
  <c r="AA107" i="1"/>
  <c r="AA213" i="1"/>
  <c r="AA199" i="1"/>
  <c r="AA23" i="1"/>
  <c r="AA106" i="1"/>
  <c r="AA129" i="1"/>
  <c r="AA157" i="1"/>
  <c r="AA6" i="1"/>
  <c r="AA8" i="1"/>
  <c r="AA10" i="1"/>
  <c r="AA18" i="1"/>
  <c r="AA31" i="1"/>
  <c r="AA69" i="1"/>
  <c r="AA71" i="1"/>
  <c r="AA73" i="1"/>
  <c r="AA75" i="1"/>
  <c r="AA96" i="1"/>
  <c r="AA124" i="1"/>
  <c r="AA151" i="1"/>
  <c r="AA177" i="1"/>
  <c r="AA203" i="1"/>
  <c r="AA205" i="1"/>
  <c r="AA207" i="1"/>
</calcChain>
</file>

<file path=xl/comments1.xml><?xml version="1.0" encoding="utf-8"?>
<comments xmlns="http://schemas.openxmlformats.org/spreadsheetml/2006/main">
  <authors>
    <author>Basys</author>
    <author>USER</author>
  </authors>
  <commentList>
    <comment ref="AA4" authorId="0" shapeId="0">
      <text>
        <r>
          <rPr>
            <b/>
            <sz val="9"/>
            <color indexed="81"/>
            <rFont val="Tahoma"/>
            <family val="2"/>
            <charset val="204"/>
          </rPr>
          <t xml:space="preserve">курс 12500
</t>
        </r>
      </text>
    </comment>
    <comment ref="AA5" authorId="0" shapeId="0">
      <text>
        <r>
          <rPr>
            <b/>
            <sz val="9"/>
            <color indexed="81"/>
            <rFont val="Tahoma"/>
            <family val="2"/>
            <charset val="204"/>
          </rPr>
          <t>курс 12500</t>
        </r>
      </text>
    </comment>
    <comment ref="B11" authorId="0" shapeId="0">
      <text>
        <r>
          <rPr>
            <b/>
            <sz val="9"/>
            <color indexed="81"/>
            <rFont val="Tahoma"/>
            <family val="2"/>
            <charset val="204"/>
          </rPr>
          <t xml:space="preserve"> рулон кесиш
азиз кукон 3888кг
азамат  1218кг
азиз кукон 1148кг
азамат 660кг + 731кг 
азиз кукон 1148кг
тимур дилшод 1944кг
бу этикет 660кг
регион 574кг
полиграф 750кг
сергей контур 714кг
сергей контур 714кг
узимизга 750кг
1350 базисга берилди
100 лам цехга
2314 миразизга берилди
1170кг стар полиграф
550 миразиз карз колди 5,07,24</t>
        </r>
      </text>
    </comment>
    <comment ref="AA12" authorId="0" shapeId="0">
      <text>
        <r>
          <rPr>
            <b/>
            <sz val="9"/>
            <color indexed="81"/>
            <rFont val="Tahoma"/>
            <family val="2"/>
            <charset val="204"/>
          </rPr>
          <t>курс 11420</t>
        </r>
      </text>
    </comment>
    <comment ref="P40" authorId="1" shapeId="0">
      <text>
        <r>
          <rPr>
            <b/>
            <sz val="9"/>
            <color indexed="81"/>
            <rFont val="Tahoma"/>
            <family val="2"/>
            <charset val="204"/>
          </rPr>
          <t>USER:</t>
        </r>
        <r>
          <rPr>
            <sz val="9"/>
            <color indexed="81"/>
            <rFont val="Tahoma"/>
            <family val="2"/>
            <charset val="204"/>
          </rPr>
          <t xml:space="preserve">
16.01.26 да тушган</t>
        </r>
      </text>
    </comment>
    <comment ref="Q41" authorId="1" shapeId="0">
      <text>
        <r>
          <rPr>
            <b/>
            <sz val="9"/>
            <color indexed="81"/>
            <rFont val="Tahoma"/>
            <family val="2"/>
            <charset val="204"/>
          </rPr>
          <t>USER:</t>
        </r>
        <r>
          <rPr>
            <sz val="9"/>
            <color indexed="81"/>
            <rFont val="Tahoma"/>
            <family val="2"/>
            <charset val="204"/>
          </rPr>
          <t xml:space="preserve">
13.01.26 да тушган</t>
        </r>
      </text>
    </comment>
    <comment ref="W48" authorId="1" shapeId="0">
      <text>
        <r>
          <rPr>
            <b/>
            <sz val="9"/>
            <color indexed="81"/>
            <rFont val="Tahoma"/>
            <family val="2"/>
            <charset val="204"/>
          </rPr>
          <t>USER:</t>
        </r>
        <r>
          <rPr>
            <sz val="9"/>
            <color indexed="81"/>
            <rFont val="Tahoma"/>
            <family val="2"/>
            <charset val="204"/>
          </rPr>
          <t xml:space="preserve">
30.12.25 да тушган</t>
        </r>
      </text>
    </comment>
    <comment ref="P57" authorId="1" shapeId="0">
      <text>
        <r>
          <rPr>
            <b/>
            <sz val="9"/>
            <color indexed="81"/>
            <rFont val="Tahoma"/>
            <family val="2"/>
            <charset val="204"/>
          </rPr>
          <t>USER:</t>
        </r>
        <r>
          <rPr>
            <sz val="9"/>
            <color indexed="81"/>
            <rFont val="Tahoma"/>
            <family val="2"/>
            <charset val="204"/>
          </rPr>
          <t xml:space="preserve">
30.12.25 да тушган</t>
        </r>
      </text>
    </comment>
    <comment ref="P60" authorId="1" shapeId="0">
      <text>
        <r>
          <rPr>
            <b/>
            <sz val="9"/>
            <color indexed="81"/>
            <rFont val="Tahoma"/>
            <family val="2"/>
            <charset val="204"/>
          </rPr>
          <t>USER:</t>
        </r>
        <r>
          <rPr>
            <sz val="9"/>
            <color indexed="81"/>
            <rFont val="Tahoma"/>
            <family val="2"/>
            <charset val="204"/>
          </rPr>
          <t xml:space="preserve">
06.01.26 да тушган
</t>
        </r>
      </text>
    </comment>
    <comment ref="T60" authorId="1" shapeId="0">
      <text>
        <r>
          <rPr>
            <b/>
            <sz val="9"/>
            <color indexed="81"/>
            <rFont val="Tahoma"/>
            <family val="2"/>
            <charset val="204"/>
          </rPr>
          <t>USER:</t>
        </r>
        <r>
          <rPr>
            <sz val="9"/>
            <color indexed="81"/>
            <rFont val="Tahoma"/>
            <family val="2"/>
            <charset val="204"/>
          </rPr>
          <t xml:space="preserve">
20.01.26 да тушган</t>
        </r>
      </text>
    </comment>
    <comment ref="M83" authorId="1" shapeId="0">
      <text>
        <r>
          <rPr>
            <b/>
            <sz val="9"/>
            <color indexed="81"/>
            <rFont val="Tahoma"/>
            <family val="2"/>
            <charset val="204"/>
          </rPr>
          <t>USER:</t>
        </r>
        <r>
          <rPr>
            <sz val="9"/>
            <color indexed="81"/>
            <rFont val="Tahoma"/>
            <family val="2"/>
            <charset val="204"/>
          </rPr>
          <t xml:space="preserve">
05.01.26 да кеган</t>
        </r>
      </text>
    </comment>
    <comment ref="P86" authorId="1" shapeId="0">
      <text>
        <r>
          <rPr>
            <b/>
            <sz val="9"/>
            <color indexed="81"/>
            <rFont val="Tahoma"/>
            <family val="2"/>
            <charset val="204"/>
          </rPr>
          <t>USER:</t>
        </r>
        <r>
          <rPr>
            <sz val="9"/>
            <color indexed="81"/>
            <rFont val="Tahoma"/>
            <family val="2"/>
            <charset val="204"/>
          </rPr>
          <t xml:space="preserve">
16.01.26 да тушган</t>
        </r>
      </text>
    </comment>
    <comment ref="N108" authorId="1" shapeId="0">
      <text>
        <r>
          <rPr>
            <b/>
            <sz val="9"/>
            <color indexed="81"/>
            <rFont val="Tahoma"/>
            <family val="2"/>
            <charset val="204"/>
          </rPr>
          <t>USER:</t>
        </r>
        <r>
          <rPr>
            <sz val="9"/>
            <color indexed="81"/>
            <rFont val="Tahoma"/>
            <family val="2"/>
            <charset val="204"/>
          </rPr>
          <t xml:space="preserve">
31.01.26 да кеган</t>
        </r>
      </text>
    </comment>
    <comment ref="T109" authorId="1" shapeId="0">
      <text>
        <r>
          <rPr>
            <b/>
            <sz val="9"/>
            <color indexed="81"/>
            <rFont val="Tahoma"/>
            <family val="2"/>
            <charset val="204"/>
          </rPr>
          <t>USER:</t>
        </r>
        <r>
          <rPr>
            <sz val="9"/>
            <color indexed="81"/>
            <rFont val="Tahoma"/>
            <family val="2"/>
            <charset val="204"/>
          </rPr>
          <t xml:space="preserve">
06.01.26 да тушди</t>
        </r>
      </text>
    </comment>
    <comment ref="P118" authorId="1" shapeId="0">
      <text>
        <r>
          <rPr>
            <b/>
            <sz val="9"/>
            <color indexed="81"/>
            <rFont val="Tahoma"/>
            <family val="2"/>
            <charset val="204"/>
          </rPr>
          <t>USER:</t>
        </r>
        <r>
          <rPr>
            <sz val="9"/>
            <color indexed="81"/>
            <rFont val="Tahoma"/>
            <family val="2"/>
            <charset val="204"/>
          </rPr>
          <t xml:space="preserve">
19.08.24</t>
        </r>
      </text>
    </comment>
    <comment ref="Q133" authorId="1" shapeId="0">
      <text>
        <r>
          <rPr>
            <b/>
            <sz val="9"/>
            <color indexed="81"/>
            <rFont val="Tahoma"/>
            <family val="2"/>
            <charset val="204"/>
          </rPr>
          <t>USER:</t>
        </r>
        <r>
          <rPr>
            <sz val="9"/>
            <color indexed="81"/>
            <rFont val="Tahoma"/>
            <family val="2"/>
            <charset val="204"/>
          </rPr>
          <t xml:space="preserve">
29,680,000 (30.12.25)
да тушган
19.437.000 (15.01.26)
да тушган</t>
        </r>
      </text>
    </comment>
    <comment ref="W136" authorId="1" shapeId="0">
      <text>
        <r>
          <rPr>
            <b/>
            <sz val="9"/>
            <color indexed="81"/>
            <rFont val="Tahoma"/>
            <family val="2"/>
            <charset val="204"/>
          </rPr>
          <t>USER:</t>
        </r>
        <r>
          <rPr>
            <sz val="9"/>
            <color indexed="81"/>
            <rFont val="Tahoma"/>
            <family val="2"/>
            <charset val="204"/>
          </rPr>
          <t xml:space="preserve">
13.01.26 да тушган</t>
        </r>
      </text>
    </comment>
    <comment ref="S159" authorId="1" shapeId="0">
      <text>
        <r>
          <rPr>
            <b/>
            <sz val="9"/>
            <color indexed="81"/>
            <rFont val="Tahoma"/>
            <family val="2"/>
            <charset val="204"/>
          </rPr>
          <t>USER:</t>
        </r>
        <r>
          <rPr>
            <sz val="9"/>
            <color indexed="81"/>
            <rFont val="Tahoma"/>
            <family val="2"/>
            <charset val="204"/>
          </rPr>
          <t xml:space="preserve">
21.01.26 да тушган
22.01.26 да тушган
(1380000)</t>
        </r>
      </text>
    </comment>
    <comment ref="T159" authorId="1" shapeId="0">
      <text>
        <r>
          <rPr>
            <b/>
            <sz val="9"/>
            <color indexed="81"/>
            <rFont val="Tahoma"/>
            <family val="2"/>
            <charset val="204"/>
          </rPr>
          <t>USER:</t>
        </r>
        <r>
          <rPr>
            <sz val="9"/>
            <color indexed="81"/>
            <rFont val="Tahoma"/>
            <family val="2"/>
            <charset val="204"/>
          </rPr>
          <t xml:space="preserve">
19.01.26 да тушган</t>
        </r>
      </text>
    </comment>
    <comment ref="P165" authorId="1" shapeId="0">
      <text>
        <r>
          <rPr>
            <b/>
            <sz val="9"/>
            <color indexed="81"/>
            <rFont val="Tahoma"/>
            <family val="2"/>
            <charset val="204"/>
          </rPr>
          <t>USER:</t>
        </r>
        <r>
          <rPr>
            <sz val="9"/>
            <color indexed="81"/>
            <rFont val="Tahoma"/>
            <family val="2"/>
            <charset val="204"/>
          </rPr>
          <t xml:space="preserve">
2 чи счет</t>
        </r>
      </text>
    </comment>
    <comment ref="P176" authorId="1" shapeId="0">
      <text>
        <r>
          <rPr>
            <b/>
            <sz val="9"/>
            <color indexed="81"/>
            <rFont val="Tahoma"/>
            <family val="2"/>
            <charset val="204"/>
          </rPr>
          <t>USER:</t>
        </r>
        <r>
          <rPr>
            <sz val="9"/>
            <color indexed="81"/>
            <rFont val="Tahoma"/>
            <family val="2"/>
            <charset val="204"/>
          </rPr>
          <t xml:space="preserve">
2 чи счет</t>
        </r>
      </text>
    </comment>
    <comment ref="V181" authorId="1" shapeId="0">
      <text>
        <r>
          <rPr>
            <b/>
            <sz val="9"/>
            <color indexed="81"/>
            <rFont val="Tahoma"/>
            <family val="2"/>
            <charset val="204"/>
          </rPr>
          <t>USER:</t>
        </r>
        <r>
          <rPr>
            <sz val="9"/>
            <color indexed="81"/>
            <rFont val="Tahoma"/>
            <family val="2"/>
            <charset val="204"/>
          </rPr>
          <t xml:space="preserve">
30.12.25 да тушган</t>
        </r>
      </text>
    </comment>
    <comment ref="T184" authorId="1" shapeId="0">
      <text>
        <r>
          <rPr>
            <b/>
            <sz val="9"/>
            <color indexed="81"/>
            <rFont val="Tahoma"/>
            <family val="2"/>
            <charset val="204"/>
          </rPr>
          <t>USER:</t>
        </r>
        <r>
          <rPr>
            <sz val="9"/>
            <color indexed="81"/>
            <rFont val="Tahoma"/>
            <family val="2"/>
            <charset val="204"/>
          </rPr>
          <t xml:space="preserve">
29.01.26 да тушди</t>
        </r>
      </text>
    </comment>
    <comment ref="P216" authorId="1" shapeId="0">
      <text>
        <r>
          <rPr>
            <b/>
            <sz val="9"/>
            <color indexed="81"/>
            <rFont val="Tahoma"/>
            <family val="2"/>
            <charset val="204"/>
          </rPr>
          <t>USER:</t>
        </r>
        <r>
          <rPr>
            <sz val="9"/>
            <color indexed="81"/>
            <rFont val="Tahoma"/>
            <family val="2"/>
            <charset val="204"/>
          </rPr>
          <t xml:space="preserve">
675000 (22.12.25) да тушган</t>
        </r>
      </text>
    </comment>
    <comment ref="M413" authorId="1" shapeId="0">
      <text>
        <r>
          <rPr>
            <b/>
            <sz val="9"/>
            <color indexed="81"/>
            <rFont val="Tahoma"/>
            <family val="2"/>
            <charset val="204"/>
          </rPr>
          <t>USER:</t>
        </r>
        <r>
          <rPr>
            <sz val="9"/>
            <color indexed="81"/>
            <rFont val="Tahoma"/>
            <family val="2"/>
            <charset val="204"/>
          </rPr>
          <t xml:space="preserve">
16.01.26 да олинган</t>
        </r>
      </text>
    </comment>
    <comment ref="P421" authorId="1" shapeId="0">
      <text>
        <r>
          <rPr>
            <b/>
            <sz val="9"/>
            <color indexed="81"/>
            <rFont val="Tahoma"/>
            <family val="2"/>
            <charset val="204"/>
          </rPr>
          <t>USER:</t>
        </r>
        <r>
          <rPr>
            <sz val="9"/>
            <color indexed="81"/>
            <rFont val="Tahoma"/>
            <family val="2"/>
            <charset val="204"/>
          </rPr>
          <t xml:space="preserve">
250 мин (15.08.25 да тушган)
</t>
        </r>
      </text>
    </comment>
    <comment ref="M469" authorId="1" shapeId="0">
      <text>
        <r>
          <rPr>
            <b/>
            <sz val="9"/>
            <color indexed="81"/>
            <rFont val="Tahoma"/>
            <family val="2"/>
            <charset val="204"/>
          </rPr>
          <t>USER:</t>
        </r>
        <r>
          <rPr>
            <sz val="9"/>
            <color indexed="81"/>
            <rFont val="Tahoma"/>
            <family val="2"/>
            <charset val="204"/>
          </rPr>
          <t xml:space="preserve">
19.01.26 да берган
</t>
        </r>
      </text>
    </comment>
    <comment ref="T474" authorId="1" shapeId="0">
      <text>
        <r>
          <rPr>
            <b/>
            <sz val="9"/>
            <color indexed="81"/>
            <rFont val="Tahoma"/>
            <family val="2"/>
            <charset val="204"/>
          </rPr>
          <t>USER:</t>
        </r>
        <r>
          <rPr>
            <sz val="9"/>
            <color indexed="81"/>
            <rFont val="Tahoma"/>
            <family val="2"/>
            <charset val="204"/>
          </rPr>
          <t xml:space="preserve">
26.01.26</t>
        </r>
      </text>
    </comment>
  </commentList>
</comments>
</file>

<file path=xl/comments2.xml><?xml version="1.0" encoding="utf-8"?>
<comments xmlns="http://schemas.openxmlformats.org/spreadsheetml/2006/main">
  <authors>
    <author>Basys</author>
    <author>USER</author>
  </authors>
  <commentList>
    <comment ref="AA4" authorId="0" shapeId="0">
      <text>
        <r>
          <rPr>
            <b/>
            <sz val="9"/>
            <color indexed="81"/>
            <rFont val="Tahoma"/>
            <family val="2"/>
            <charset val="204"/>
          </rPr>
          <t xml:space="preserve">курс 12500
</t>
        </r>
      </text>
    </comment>
    <comment ref="AA5" authorId="0" shapeId="0">
      <text>
        <r>
          <rPr>
            <b/>
            <sz val="9"/>
            <color indexed="81"/>
            <rFont val="Tahoma"/>
            <family val="2"/>
            <charset val="204"/>
          </rPr>
          <t>курс 12500</t>
        </r>
      </text>
    </comment>
    <comment ref="B11" authorId="0" shapeId="0">
      <text>
        <r>
          <rPr>
            <b/>
            <sz val="9"/>
            <color indexed="81"/>
            <rFont val="Tahoma"/>
            <family val="2"/>
            <charset val="204"/>
          </rPr>
          <t xml:space="preserve"> рулон кесиш
азиз кукон 3888кг
азамат  1218кг
азиз кукон 1148кг
азамат 660кг + 731кг 
азиз кукон 1148кг
тимур дилшод 1944кг
бу этикет 660кг
регион 574кг
полиграф 750кг
сергей контур 714кг
сергей контур 714кг
узимизга 750кг
1350 базисга берилди
100 лам цехга
2314 миразизга берилди
1170кг стар полиграф
550 миразиз карз колди 5,07,24</t>
        </r>
      </text>
    </comment>
    <comment ref="AA12" authorId="0" shapeId="0">
      <text>
        <r>
          <rPr>
            <b/>
            <sz val="9"/>
            <color indexed="81"/>
            <rFont val="Tahoma"/>
            <family val="2"/>
            <charset val="204"/>
          </rPr>
          <t>курс 11420</t>
        </r>
      </text>
    </comment>
    <comment ref="M27" authorId="1" shapeId="0">
      <text>
        <r>
          <rPr>
            <b/>
            <sz val="9"/>
            <color indexed="81"/>
            <rFont val="Tahoma"/>
            <family val="2"/>
            <charset val="204"/>
          </rPr>
          <t>USER:</t>
        </r>
        <r>
          <rPr>
            <sz val="9"/>
            <color indexed="81"/>
            <rFont val="Tahoma"/>
            <family val="2"/>
            <charset val="204"/>
          </rPr>
          <t xml:space="preserve">
спирт бн бартер цех билан</t>
        </r>
      </text>
    </comment>
    <comment ref="V29" authorId="1" shapeId="0">
      <text>
        <r>
          <rPr>
            <b/>
            <sz val="9"/>
            <color indexed="81"/>
            <rFont val="Tahoma"/>
            <family val="2"/>
            <charset val="204"/>
          </rPr>
          <t>USER:</t>
        </r>
        <r>
          <rPr>
            <sz val="9"/>
            <color indexed="81"/>
            <rFont val="Tahoma"/>
            <family val="2"/>
            <charset val="204"/>
          </rPr>
          <t xml:space="preserve">
18.02.26
</t>
        </r>
      </text>
    </comment>
    <comment ref="M36" authorId="1" shapeId="0">
      <text>
        <r>
          <rPr>
            <b/>
            <sz val="9"/>
            <color indexed="81"/>
            <rFont val="Tahoma"/>
            <family val="2"/>
            <charset val="204"/>
          </rPr>
          <t>USER:</t>
        </r>
        <r>
          <rPr>
            <sz val="9"/>
            <color indexed="81"/>
            <rFont val="Tahoma"/>
            <family val="2"/>
            <charset val="204"/>
          </rPr>
          <t xml:space="preserve">
спирт бн бартер цех билан</t>
        </r>
      </text>
    </comment>
    <comment ref="P70" authorId="1" shapeId="0">
      <text>
        <r>
          <rPr>
            <b/>
            <sz val="9"/>
            <color indexed="81"/>
            <rFont val="Tahoma"/>
            <family val="2"/>
            <charset val="204"/>
          </rPr>
          <t>USER:</t>
        </r>
        <r>
          <rPr>
            <sz val="9"/>
            <color indexed="81"/>
            <rFont val="Tahoma"/>
            <family val="2"/>
            <charset val="204"/>
          </rPr>
          <t xml:space="preserve">
06.02.26</t>
        </r>
      </text>
    </comment>
    <comment ref="N73" authorId="1" shapeId="0">
      <text>
        <r>
          <rPr>
            <b/>
            <sz val="9"/>
            <color indexed="81"/>
            <rFont val="Tahoma"/>
            <family val="2"/>
            <charset val="204"/>
          </rPr>
          <t>USER:</t>
        </r>
        <r>
          <rPr>
            <sz val="9"/>
            <color indexed="81"/>
            <rFont val="Tahoma"/>
            <family val="2"/>
            <charset val="204"/>
          </rPr>
          <t xml:space="preserve">
24.02.26 да кеган</t>
        </r>
      </text>
    </comment>
    <comment ref="P75" authorId="1" shapeId="0">
      <text>
        <r>
          <rPr>
            <b/>
            <sz val="9"/>
            <color indexed="81"/>
            <rFont val="Tahoma"/>
            <family val="2"/>
            <charset val="204"/>
          </rPr>
          <t>USER:</t>
        </r>
        <r>
          <rPr>
            <sz val="9"/>
            <color indexed="81"/>
            <rFont val="Tahoma"/>
            <family val="2"/>
            <charset val="204"/>
          </rPr>
          <t xml:space="preserve">
19.08.24</t>
        </r>
      </text>
    </comment>
    <comment ref="Q76" authorId="1" shapeId="0">
      <text>
        <r>
          <rPr>
            <b/>
            <sz val="9"/>
            <color indexed="81"/>
            <rFont val="Tahoma"/>
            <family val="2"/>
            <charset val="204"/>
          </rPr>
          <t>USER:</t>
        </r>
        <r>
          <rPr>
            <sz val="9"/>
            <color indexed="81"/>
            <rFont val="Tahoma"/>
            <family val="2"/>
            <charset val="204"/>
          </rPr>
          <t xml:space="preserve">
04.02.26 да тушган</t>
        </r>
      </text>
    </comment>
    <comment ref="F79" authorId="1" shapeId="0">
      <text>
        <r>
          <rPr>
            <b/>
            <sz val="9"/>
            <color indexed="81"/>
            <rFont val="Tahoma"/>
            <family val="2"/>
            <charset val="204"/>
          </rPr>
          <t>USER:</t>
        </r>
        <r>
          <rPr>
            <sz val="9"/>
            <color indexed="81"/>
            <rFont val="Tahoma"/>
            <family val="2"/>
            <charset val="204"/>
          </rPr>
          <t xml:space="preserve">
5056 листга чек урилган (без налич)</t>
        </r>
      </text>
    </comment>
    <comment ref="M80" authorId="1" shapeId="0">
      <text>
        <r>
          <rPr>
            <b/>
            <sz val="9"/>
            <color indexed="81"/>
            <rFont val="Tahoma"/>
            <family val="2"/>
            <charset val="204"/>
          </rPr>
          <t>USER:</t>
        </r>
        <r>
          <rPr>
            <sz val="9"/>
            <color indexed="81"/>
            <rFont val="Tahoma"/>
            <family val="2"/>
            <charset val="204"/>
          </rPr>
          <t xml:space="preserve">
02.02.26 да кеган
</t>
        </r>
      </text>
    </comment>
    <comment ref="W80" authorId="1" shapeId="0">
      <text>
        <r>
          <rPr>
            <b/>
            <sz val="9"/>
            <color indexed="81"/>
            <rFont val="Tahoma"/>
            <family val="2"/>
            <charset val="204"/>
          </rPr>
          <t>USER:</t>
        </r>
        <r>
          <rPr>
            <sz val="9"/>
            <color indexed="81"/>
            <rFont val="Tahoma"/>
            <family val="2"/>
            <charset val="204"/>
          </rPr>
          <t xml:space="preserve">
13.01.26 да тушган</t>
        </r>
      </text>
    </comment>
    <comment ref="N85" authorId="1" shapeId="0">
      <text>
        <r>
          <rPr>
            <b/>
            <sz val="9"/>
            <color indexed="81"/>
            <rFont val="Tahoma"/>
            <family val="2"/>
            <charset val="204"/>
          </rPr>
          <t>USER:</t>
        </r>
        <r>
          <rPr>
            <sz val="9"/>
            <color indexed="81"/>
            <rFont val="Tahoma"/>
            <family val="2"/>
            <charset val="204"/>
          </rPr>
          <t xml:space="preserve">
14.02.26
</t>
        </r>
      </text>
    </comment>
    <comment ref="Q95" authorId="1" shapeId="0">
      <text>
        <r>
          <rPr>
            <b/>
            <sz val="9"/>
            <color indexed="81"/>
            <rFont val="Tahoma"/>
            <family val="2"/>
            <charset val="204"/>
          </rPr>
          <t>USER:</t>
        </r>
        <r>
          <rPr>
            <sz val="9"/>
            <color indexed="81"/>
            <rFont val="Tahoma"/>
            <family val="2"/>
            <charset val="204"/>
          </rPr>
          <t xml:space="preserve">
24.02.26</t>
        </r>
      </text>
    </comment>
    <comment ref="N97" authorId="1" shapeId="0">
      <text>
        <r>
          <rPr>
            <b/>
            <sz val="9"/>
            <color indexed="81"/>
            <rFont val="Tahoma"/>
            <family val="2"/>
            <charset val="204"/>
          </rPr>
          <t>USER:</t>
        </r>
        <r>
          <rPr>
            <sz val="9"/>
            <color indexed="81"/>
            <rFont val="Tahoma"/>
            <family val="2"/>
            <charset val="204"/>
          </rPr>
          <t xml:space="preserve">
10.02.26</t>
        </r>
      </text>
    </comment>
    <comment ref="S100" authorId="1" shapeId="0">
      <text>
        <r>
          <rPr>
            <b/>
            <sz val="9"/>
            <color indexed="81"/>
            <rFont val="Tahoma"/>
            <family val="2"/>
            <charset val="204"/>
          </rPr>
          <t>USER:</t>
        </r>
        <r>
          <rPr>
            <sz val="9"/>
            <color indexed="81"/>
            <rFont val="Tahoma"/>
            <family val="2"/>
            <charset val="204"/>
          </rPr>
          <t xml:space="preserve">
03.02.26 да тушган
5.000.000</t>
        </r>
      </text>
    </comment>
    <comment ref="T100" authorId="1" shapeId="0">
      <text>
        <r>
          <rPr>
            <b/>
            <sz val="9"/>
            <color indexed="81"/>
            <rFont val="Tahoma"/>
            <family val="2"/>
            <charset val="204"/>
          </rPr>
          <t>USER:</t>
        </r>
        <r>
          <rPr>
            <sz val="9"/>
            <color indexed="81"/>
            <rFont val="Tahoma"/>
            <family val="2"/>
            <charset val="204"/>
          </rPr>
          <t xml:space="preserve">
29.01.26 да тушди
05.02.26 да 5980 тушган</t>
        </r>
      </text>
    </comment>
    <comment ref="Q105" authorId="1" shapeId="0">
      <text>
        <r>
          <rPr>
            <b/>
            <sz val="9"/>
            <color indexed="81"/>
            <rFont val="Tahoma"/>
            <family val="2"/>
            <charset val="204"/>
          </rPr>
          <t>USER:</t>
        </r>
        <r>
          <rPr>
            <sz val="9"/>
            <color indexed="81"/>
            <rFont val="Tahoma"/>
            <family val="2"/>
            <charset val="204"/>
          </rPr>
          <t xml:space="preserve">
26.02.26
</t>
        </r>
      </text>
    </comment>
    <comment ref="Q106" authorId="1" shapeId="0">
      <text>
        <r>
          <rPr>
            <b/>
            <sz val="9"/>
            <color indexed="81"/>
            <rFont val="Tahoma"/>
            <family val="2"/>
            <charset val="204"/>
          </rPr>
          <t>USER:</t>
        </r>
        <r>
          <rPr>
            <sz val="9"/>
            <color indexed="81"/>
            <rFont val="Tahoma"/>
            <family val="2"/>
            <charset val="204"/>
          </rPr>
          <t xml:space="preserve">
26.02.26</t>
        </r>
      </text>
    </comment>
    <comment ref="Q110" authorId="1" shapeId="0">
      <text>
        <r>
          <rPr>
            <b/>
            <sz val="9"/>
            <color indexed="81"/>
            <rFont val="Tahoma"/>
            <family val="2"/>
            <charset val="204"/>
          </rPr>
          <t>USER:</t>
        </r>
        <r>
          <rPr>
            <sz val="9"/>
            <color indexed="81"/>
            <rFont val="Tahoma"/>
            <family val="2"/>
            <charset val="204"/>
          </rPr>
          <t xml:space="preserve">
05.02.26 да тушган</t>
        </r>
      </text>
    </comment>
    <comment ref="W113" authorId="1" shapeId="0">
      <text>
        <r>
          <rPr>
            <b/>
            <sz val="9"/>
            <color indexed="81"/>
            <rFont val="Tahoma"/>
            <family val="2"/>
            <charset val="204"/>
          </rPr>
          <t>USER:</t>
        </r>
        <r>
          <rPr>
            <sz val="9"/>
            <color indexed="81"/>
            <rFont val="Tahoma"/>
            <family val="2"/>
            <charset val="204"/>
          </rPr>
          <t xml:space="preserve">
03.02.26 да тушган</t>
        </r>
      </text>
    </comment>
    <comment ref="V114" authorId="1" shapeId="0">
      <text>
        <r>
          <rPr>
            <b/>
            <sz val="9"/>
            <color indexed="81"/>
            <rFont val="Tahoma"/>
            <family val="2"/>
            <charset val="204"/>
          </rPr>
          <t>USER:</t>
        </r>
        <r>
          <rPr>
            <sz val="9"/>
            <color indexed="81"/>
            <rFont val="Tahoma"/>
            <family val="2"/>
            <charset val="204"/>
          </rPr>
          <t xml:space="preserve">
03.02.26 да тушган</t>
        </r>
      </text>
    </comment>
    <comment ref="S115" authorId="1" shapeId="0">
      <text>
        <r>
          <rPr>
            <b/>
            <sz val="9"/>
            <color indexed="81"/>
            <rFont val="Tahoma"/>
            <family val="2"/>
            <charset val="204"/>
          </rPr>
          <t>USER:</t>
        </r>
        <r>
          <rPr>
            <sz val="9"/>
            <color indexed="81"/>
            <rFont val="Tahoma"/>
            <family val="2"/>
            <charset val="204"/>
          </rPr>
          <t xml:space="preserve">
07.02.26 да тушган</t>
        </r>
      </text>
    </comment>
    <comment ref="T115" authorId="1" shapeId="0">
      <text>
        <r>
          <rPr>
            <b/>
            <sz val="9"/>
            <color indexed="81"/>
            <rFont val="Tahoma"/>
            <family val="2"/>
            <charset val="204"/>
          </rPr>
          <t>USER:</t>
        </r>
        <r>
          <rPr>
            <sz val="9"/>
            <color indexed="81"/>
            <rFont val="Tahoma"/>
            <family val="2"/>
            <charset val="204"/>
          </rPr>
          <t xml:space="preserve">
25.02.26 (10.000.000)тушган</t>
        </r>
      </text>
    </comment>
    <comment ref="N130" authorId="1" shapeId="0">
      <text>
        <r>
          <rPr>
            <b/>
            <sz val="9"/>
            <color indexed="81"/>
            <rFont val="Tahoma"/>
            <family val="2"/>
            <charset val="204"/>
          </rPr>
          <t>USER:</t>
        </r>
        <r>
          <rPr>
            <sz val="9"/>
            <color indexed="81"/>
            <rFont val="Tahoma"/>
            <family val="2"/>
            <charset val="204"/>
          </rPr>
          <t xml:space="preserve">
09.02.26 да кеган</t>
        </r>
      </text>
    </comment>
    <comment ref="N137" authorId="1" shapeId="0">
      <text>
        <r>
          <rPr>
            <b/>
            <sz val="9"/>
            <color indexed="81"/>
            <rFont val="Tahoma"/>
            <family val="2"/>
            <charset val="204"/>
          </rPr>
          <t>USER:</t>
        </r>
        <r>
          <rPr>
            <sz val="9"/>
            <color indexed="81"/>
            <rFont val="Tahoma"/>
            <family val="2"/>
            <charset val="204"/>
          </rPr>
          <t xml:space="preserve">
05.02.26</t>
        </r>
      </text>
    </comment>
    <comment ref="M148" authorId="1" shapeId="0">
      <text>
        <r>
          <rPr>
            <b/>
            <sz val="9"/>
            <color indexed="81"/>
            <rFont val="Tahoma"/>
            <family val="2"/>
            <charset val="204"/>
          </rPr>
          <t>USER:</t>
        </r>
        <r>
          <rPr>
            <sz val="9"/>
            <color indexed="81"/>
            <rFont val="Tahoma"/>
            <family val="2"/>
            <charset val="204"/>
          </rPr>
          <t xml:space="preserve">
14.02.26</t>
        </r>
      </text>
    </comment>
    <comment ref="N151" authorId="1" shapeId="0">
      <text>
        <r>
          <rPr>
            <b/>
            <sz val="9"/>
            <color indexed="81"/>
            <rFont val="Tahoma"/>
            <family val="2"/>
            <charset val="204"/>
          </rPr>
          <t>USER:</t>
        </r>
        <r>
          <rPr>
            <sz val="9"/>
            <color indexed="81"/>
            <rFont val="Tahoma"/>
            <family val="2"/>
            <charset val="204"/>
          </rPr>
          <t xml:space="preserve">
16.02.26</t>
        </r>
      </text>
    </comment>
    <comment ref="V180" authorId="1" shapeId="0">
      <text>
        <r>
          <rPr>
            <b/>
            <sz val="9"/>
            <color indexed="81"/>
            <rFont val="Tahoma"/>
            <family val="2"/>
            <charset val="204"/>
          </rPr>
          <t>USER:</t>
        </r>
        <r>
          <rPr>
            <sz val="9"/>
            <color indexed="81"/>
            <rFont val="Tahoma"/>
            <family val="2"/>
            <charset val="204"/>
          </rPr>
          <t xml:space="preserve">
18.02.26
</t>
        </r>
      </text>
    </comment>
    <comment ref="V225" authorId="1" shapeId="0">
      <text>
        <r>
          <rPr>
            <b/>
            <sz val="9"/>
            <color indexed="81"/>
            <rFont val="Tahoma"/>
            <family val="2"/>
            <charset val="204"/>
          </rPr>
          <t>USER:</t>
        </r>
        <r>
          <rPr>
            <sz val="9"/>
            <color indexed="81"/>
            <rFont val="Tahoma"/>
            <family val="2"/>
            <charset val="204"/>
          </rPr>
          <t xml:space="preserve">
18.02.26</t>
        </r>
      </text>
    </comment>
    <comment ref="M235" authorId="1" shapeId="0">
      <text>
        <r>
          <rPr>
            <b/>
            <sz val="9"/>
            <color indexed="81"/>
            <rFont val="Tahoma"/>
            <family val="2"/>
            <charset val="204"/>
          </rPr>
          <t>USER:</t>
        </r>
        <r>
          <rPr>
            <sz val="9"/>
            <color indexed="81"/>
            <rFont val="Tahoma"/>
            <family val="2"/>
            <charset val="204"/>
          </rPr>
          <t xml:space="preserve">
27.02.26
</t>
        </r>
      </text>
    </comment>
    <comment ref="V248" authorId="1" shapeId="0">
      <text>
        <r>
          <rPr>
            <b/>
            <sz val="9"/>
            <color indexed="81"/>
            <rFont val="Tahoma"/>
            <family val="2"/>
            <charset val="204"/>
          </rPr>
          <t>USER:</t>
        </r>
        <r>
          <rPr>
            <sz val="9"/>
            <color indexed="81"/>
            <rFont val="Tahoma"/>
            <family val="2"/>
            <charset val="204"/>
          </rPr>
          <t xml:space="preserve">
09.02.26 да тушган</t>
        </r>
      </text>
    </comment>
    <comment ref="N264" authorId="1" shapeId="0">
      <text>
        <r>
          <rPr>
            <b/>
            <sz val="9"/>
            <color indexed="81"/>
            <rFont val="Tahoma"/>
            <family val="2"/>
            <charset val="204"/>
          </rPr>
          <t>USER:</t>
        </r>
        <r>
          <rPr>
            <sz val="9"/>
            <color indexed="81"/>
            <rFont val="Tahoma"/>
            <family val="2"/>
            <charset val="204"/>
          </rPr>
          <t xml:space="preserve">
04.02.26 да кеган</t>
        </r>
      </text>
    </comment>
    <comment ref="Q268" authorId="1" shapeId="0">
      <text>
        <r>
          <rPr>
            <b/>
            <sz val="9"/>
            <color indexed="81"/>
            <rFont val="Tahoma"/>
            <family val="2"/>
            <charset val="204"/>
          </rPr>
          <t>USER:</t>
        </r>
        <r>
          <rPr>
            <sz val="9"/>
            <color indexed="81"/>
            <rFont val="Tahoma"/>
            <family val="2"/>
            <charset val="204"/>
          </rPr>
          <t xml:space="preserve">
16.02.26</t>
        </r>
      </text>
    </comment>
    <comment ref="Q271" authorId="1" shapeId="0">
      <text>
        <r>
          <rPr>
            <b/>
            <sz val="9"/>
            <color indexed="81"/>
            <rFont val="Tahoma"/>
            <family val="2"/>
            <charset val="204"/>
          </rPr>
          <t>USER:</t>
        </r>
        <r>
          <rPr>
            <sz val="9"/>
            <color indexed="81"/>
            <rFont val="Tahoma"/>
            <family val="2"/>
            <charset val="204"/>
          </rPr>
          <t xml:space="preserve">
27.02.26</t>
        </r>
      </text>
    </comment>
    <comment ref="Q277" authorId="1" shapeId="0">
      <text>
        <r>
          <rPr>
            <b/>
            <sz val="9"/>
            <color indexed="81"/>
            <rFont val="Tahoma"/>
            <family val="2"/>
            <charset val="204"/>
          </rPr>
          <t>USER:</t>
        </r>
        <r>
          <rPr>
            <sz val="9"/>
            <color indexed="81"/>
            <rFont val="Tahoma"/>
            <family val="2"/>
            <charset val="204"/>
          </rPr>
          <t xml:space="preserve">
16.02.26</t>
        </r>
      </text>
    </comment>
    <comment ref="T295" authorId="1" shapeId="0">
      <text>
        <r>
          <rPr>
            <b/>
            <sz val="9"/>
            <color indexed="81"/>
            <rFont val="Tahoma"/>
            <family val="2"/>
            <charset val="204"/>
          </rPr>
          <t>USER:</t>
        </r>
        <r>
          <rPr>
            <sz val="9"/>
            <color indexed="81"/>
            <rFont val="Tahoma"/>
            <family val="2"/>
            <charset val="204"/>
          </rPr>
          <t xml:space="preserve">
03.02.26</t>
        </r>
      </text>
    </comment>
    <comment ref="N299" authorId="1" shapeId="0">
      <text>
        <r>
          <rPr>
            <b/>
            <sz val="9"/>
            <color indexed="81"/>
            <rFont val="Tahoma"/>
            <family val="2"/>
            <charset val="204"/>
          </rPr>
          <t>USER:</t>
        </r>
        <r>
          <rPr>
            <sz val="9"/>
            <color indexed="81"/>
            <rFont val="Tahoma"/>
            <family val="2"/>
            <charset val="204"/>
          </rPr>
          <t xml:space="preserve">
04.02.26 да кеган</t>
        </r>
      </text>
    </comment>
    <comment ref="W321" authorId="1" shapeId="0">
      <text>
        <r>
          <rPr>
            <b/>
            <sz val="9"/>
            <color indexed="81"/>
            <rFont val="Tahoma"/>
            <family val="2"/>
            <charset val="204"/>
          </rPr>
          <t>USER:</t>
        </r>
        <r>
          <rPr>
            <sz val="9"/>
            <color indexed="81"/>
            <rFont val="Tahoma"/>
            <family val="2"/>
            <charset val="204"/>
          </rPr>
          <t xml:space="preserve">
13.02.26
</t>
        </r>
      </text>
    </comment>
    <comment ref="Q332" authorId="1" shapeId="0">
      <text>
        <r>
          <rPr>
            <b/>
            <sz val="9"/>
            <color indexed="81"/>
            <rFont val="Tahoma"/>
            <family val="2"/>
            <charset val="204"/>
          </rPr>
          <t>USER:</t>
        </r>
        <r>
          <rPr>
            <sz val="9"/>
            <color indexed="81"/>
            <rFont val="Tahoma"/>
            <family val="2"/>
            <charset val="204"/>
          </rPr>
          <t xml:space="preserve">
13.02.26</t>
        </r>
      </text>
    </comment>
    <comment ref="Q367" authorId="1" shapeId="0">
      <text>
        <r>
          <rPr>
            <b/>
            <sz val="9"/>
            <color indexed="81"/>
            <rFont val="Tahoma"/>
            <family val="2"/>
            <charset val="204"/>
          </rPr>
          <t>USER:</t>
        </r>
        <r>
          <rPr>
            <sz val="9"/>
            <color indexed="81"/>
            <rFont val="Tahoma"/>
            <family val="2"/>
            <charset val="204"/>
          </rPr>
          <t xml:space="preserve">
27.02.26</t>
        </r>
      </text>
    </comment>
    <comment ref="Q418" authorId="1" shapeId="0">
      <text>
        <r>
          <rPr>
            <b/>
            <sz val="9"/>
            <color indexed="81"/>
            <rFont val="Tahoma"/>
            <family val="2"/>
            <charset val="204"/>
          </rPr>
          <t>USER:</t>
        </r>
        <r>
          <rPr>
            <sz val="9"/>
            <color indexed="81"/>
            <rFont val="Tahoma"/>
            <family val="2"/>
            <charset val="204"/>
          </rPr>
          <t xml:space="preserve">
11.02.26</t>
        </r>
      </text>
    </comment>
    <comment ref="W449" authorId="1" shapeId="0">
      <text>
        <r>
          <rPr>
            <b/>
            <sz val="9"/>
            <color indexed="81"/>
            <rFont val="Tahoma"/>
            <family val="2"/>
            <charset val="204"/>
          </rPr>
          <t>USER:</t>
        </r>
        <r>
          <rPr>
            <sz val="9"/>
            <color indexed="81"/>
            <rFont val="Tahoma"/>
            <family val="2"/>
            <charset val="204"/>
          </rPr>
          <t xml:space="preserve">
11.02.26 (3600000)
12.02.26 (900000)
</t>
        </r>
      </text>
    </comment>
    <comment ref="Q569" authorId="1" shapeId="0">
      <text>
        <r>
          <rPr>
            <b/>
            <sz val="9"/>
            <color indexed="81"/>
            <rFont val="Tahoma"/>
            <family val="2"/>
            <charset val="204"/>
          </rPr>
          <t>USER:</t>
        </r>
        <r>
          <rPr>
            <sz val="9"/>
            <color indexed="81"/>
            <rFont val="Tahoma"/>
            <family val="2"/>
            <charset val="204"/>
          </rPr>
          <t xml:space="preserve">
26.02.26
</t>
        </r>
      </text>
    </comment>
    <comment ref="W580" authorId="1" shapeId="0">
      <text>
        <r>
          <rPr>
            <b/>
            <sz val="9"/>
            <color indexed="81"/>
            <rFont val="Tahoma"/>
            <family val="2"/>
            <charset val="204"/>
          </rPr>
          <t>USER:</t>
        </r>
        <r>
          <rPr>
            <sz val="9"/>
            <color indexed="81"/>
            <rFont val="Tahoma"/>
            <family val="2"/>
            <charset val="204"/>
          </rPr>
          <t xml:space="preserve">
19.02.26
</t>
        </r>
      </text>
    </comment>
  </commentList>
</comments>
</file>

<file path=xl/comments3.xml><?xml version="1.0" encoding="utf-8"?>
<comments xmlns="http://schemas.openxmlformats.org/spreadsheetml/2006/main">
  <authors>
    <author>Basys</author>
    <author>USER</author>
  </authors>
  <commentList>
    <comment ref="AB4" authorId="0" shapeId="0">
      <text>
        <r>
          <rPr>
            <b/>
            <sz val="9"/>
            <color indexed="81"/>
            <rFont val="Tahoma"/>
            <family val="2"/>
            <charset val="204"/>
          </rPr>
          <t xml:space="preserve">курс 12500
</t>
        </r>
      </text>
    </comment>
    <comment ref="AB5" authorId="0" shapeId="0">
      <text>
        <r>
          <rPr>
            <b/>
            <sz val="9"/>
            <color indexed="81"/>
            <rFont val="Tahoma"/>
            <family val="2"/>
            <charset val="204"/>
          </rPr>
          <t>курс 12500</t>
        </r>
      </text>
    </comment>
    <comment ref="B11" authorId="0" shapeId="0">
      <text>
        <r>
          <rPr>
            <b/>
            <sz val="9"/>
            <color indexed="81"/>
            <rFont val="Tahoma"/>
            <family val="2"/>
            <charset val="204"/>
          </rPr>
          <t xml:space="preserve"> рулон кесиш
азиз кукон 3888кг
азамат  1218кг
азиз кукон 1148кг
азамат 660кг + 731кг 
азиз кукон 1148кг
тимур дилшод 1944кг
бу этикет 660кг
регион 574кг
полиграф 750кг
сергей контур 714кг
сергей контур 714кг
узимизга 750кг
1350 базисга берилди
100 лам цехга
2314 миразизга берилди
1170кг стар полиграф
550 миразиз карз колди 5,07,24</t>
        </r>
      </text>
    </comment>
    <comment ref="AB12" authorId="0" shapeId="0">
      <text>
        <r>
          <rPr>
            <b/>
            <sz val="9"/>
            <color indexed="81"/>
            <rFont val="Tahoma"/>
            <family val="2"/>
            <charset val="204"/>
          </rPr>
          <t>курс 11420</t>
        </r>
      </text>
    </comment>
    <comment ref="R38" authorId="1" shapeId="0">
      <text>
        <r>
          <rPr>
            <b/>
            <sz val="9"/>
            <color indexed="81"/>
            <rFont val="Tahoma"/>
            <family val="2"/>
            <charset val="204"/>
          </rPr>
          <t>USER:</t>
        </r>
        <r>
          <rPr>
            <sz val="9"/>
            <color indexed="81"/>
            <rFont val="Tahoma"/>
            <family val="2"/>
            <charset val="204"/>
          </rPr>
          <t xml:space="preserve">
02.03.26</t>
        </r>
      </text>
    </comment>
    <comment ref="B49" authorId="1" shapeId="0">
      <text>
        <r>
          <rPr>
            <b/>
            <sz val="9"/>
            <color indexed="81"/>
            <rFont val="Tahoma"/>
            <family val="2"/>
            <charset val="204"/>
          </rPr>
          <t>USER:</t>
        </r>
        <r>
          <rPr>
            <sz val="9"/>
            <color indexed="81"/>
            <rFont val="Tahoma"/>
            <family val="2"/>
            <charset val="204"/>
          </rPr>
          <t xml:space="preserve">
24 млн карз документ буйича</t>
        </r>
      </text>
    </comment>
    <comment ref="W49" authorId="1" shapeId="0">
      <text>
        <r>
          <rPr>
            <b/>
            <sz val="9"/>
            <color indexed="81"/>
            <rFont val="Tahoma"/>
            <family val="2"/>
            <charset val="204"/>
          </rPr>
          <t>USER:</t>
        </r>
        <r>
          <rPr>
            <sz val="9"/>
            <color indexed="81"/>
            <rFont val="Tahoma"/>
            <family val="2"/>
            <charset val="204"/>
          </rPr>
          <t xml:space="preserve">
04.03.26
</t>
        </r>
      </text>
    </comment>
    <comment ref="O64" authorId="1" shapeId="0">
      <text>
        <r>
          <rPr>
            <b/>
            <sz val="9"/>
            <color indexed="81"/>
            <rFont val="Tahoma"/>
            <family val="2"/>
            <charset val="204"/>
          </rPr>
          <t>USER:</t>
        </r>
        <r>
          <rPr>
            <sz val="9"/>
            <color indexed="81"/>
            <rFont val="Tahoma"/>
            <family val="2"/>
            <charset val="204"/>
          </rPr>
          <t xml:space="preserve">
24.02.26 да кеган</t>
        </r>
      </text>
    </comment>
    <comment ref="Q66" authorId="1" shapeId="0">
      <text>
        <r>
          <rPr>
            <b/>
            <sz val="9"/>
            <color indexed="81"/>
            <rFont val="Tahoma"/>
            <family val="2"/>
            <charset val="204"/>
          </rPr>
          <t>USER:</t>
        </r>
        <r>
          <rPr>
            <sz val="9"/>
            <color indexed="81"/>
            <rFont val="Tahoma"/>
            <family val="2"/>
            <charset val="204"/>
          </rPr>
          <t xml:space="preserve">
19.08.24</t>
        </r>
      </text>
    </comment>
    <comment ref="R67" authorId="1" shapeId="0">
      <text>
        <r>
          <rPr>
            <b/>
            <sz val="9"/>
            <color indexed="81"/>
            <rFont val="Tahoma"/>
            <family val="2"/>
            <charset val="204"/>
          </rPr>
          <t>USER:</t>
        </r>
        <r>
          <rPr>
            <sz val="9"/>
            <color indexed="81"/>
            <rFont val="Tahoma"/>
            <family val="2"/>
            <charset val="204"/>
          </rPr>
          <t xml:space="preserve">
04.02.26 да тушган</t>
        </r>
      </text>
    </comment>
    <comment ref="F69" authorId="1" shapeId="0">
      <text>
        <r>
          <rPr>
            <b/>
            <sz val="9"/>
            <color indexed="81"/>
            <rFont val="Tahoma"/>
            <family val="2"/>
            <charset val="204"/>
          </rPr>
          <t>USER:</t>
        </r>
        <r>
          <rPr>
            <sz val="9"/>
            <color indexed="81"/>
            <rFont val="Tahoma"/>
            <family val="2"/>
            <charset val="204"/>
          </rPr>
          <t xml:space="preserve">
5056 листга чек урилган (без налич)</t>
        </r>
      </text>
    </comment>
    <comment ref="T69" authorId="1" shapeId="0">
      <text>
        <r>
          <rPr>
            <b/>
            <sz val="9"/>
            <color indexed="81"/>
            <rFont val="Tahoma"/>
            <family val="2"/>
            <charset val="204"/>
          </rPr>
          <t>USER:</t>
        </r>
        <r>
          <rPr>
            <sz val="9"/>
            <color indexed="81"/>
            <rFont val="Tahoma"/>
            <family val="2"/>
            <charset val="204"/>
          </rPr>
          <t xml:space="preserve">
16.02.26</t>
        </r>
      </text>
    </comment>
    <comment ref="R74" authorId="1" shapeId="0">
      <text>
        <r>
          <rPr>
            <b/>
            <sz val="9"/>
            <color indexed="81"/>
            <rFont val="Tahoma"/>
            <family val="2"/>
            <charset val="204"/>
          </rPr>
          <t>USER:</t>
        </r>
        <r>
          <rPr>
            <sz val="9"/>
            <color indexed="81"/>
            <rFont val="Tahoma"/>
            <family val="2"/>
            <charset val="204"/>
          </rPr>
          <t xml:space="preserve">
04.03.26</t>
        </r>
      </text>
    </comment>
    <comment ref="N77" authorId="1" shapeId="0">
      <text>
        <r>
          <rPr>
            <b/>
            <sz val="9"/>
            <color indexed="81"/>
            <rFont val="Tahoma"/>
            <family val="2"/>
            <charset val="204"/>
          </rPr>
          <t>USER:</t>
        </r>
        <r>
          <rPr>
            <sz val="9"/>
            <color indexed="81"/>
            <rFont val="Tahoma"/>
            <family val="2"/>
            <charset val="204"/>
          </rPr>
          <t xml:space="preserve">
05.03.26
</t>
        </r>
      </text>
    </comment>
    <comment ref="W85" authorId="1" shapeId="0">
      <text>
        <r>
          <rPr>
            <b/>
            <sz val="9"/>
            <color indexed="81"/>
            <rFont val="Tahoma"/>
            <family val="2"/>
            <charset val="204"/>
          </rPr>
          <t>USER:</t>
        </r>
        <r>
          <rPr>
            <sz val="9"/>
            <color indexed="81"/>
            <rFont val="Tahoma"/>
            <family val="2"/>
            <charset val="204"/>
          </rPr>
          <t xml:space="preserve">
03.02.26 да тушган</t>
        </r>
      </text>
    </comment>
    <comment ref="T86" authorId="1" shapeId="0">
      <text>
        <r>
          <rPr>
            <b/>
            <sz val="9"/>
            <color indexed="81"/>
            <rFont val="Tahoma"/>
            <family val="2"/>
            <charset val="204"/>
          </rPr>
          <t>USER:</t>
        </r>
        <r>
          <rPr>
            <sz val="9"/>
            <color indexed="81"/>
            <rFont val="Tahoma"/>
            <family val="2"/>
            <charset val="204"/>
          </rPr>
          <t xml:space="preserve">
07.02.26 да тушган</t>
        </r>
      </text>
    </comment>
    <comment ref="U86" authorId="1" shapeId="0">
      <text>
        <r>
          <rPr>
            <b/>
            <sz val="9"/>
            <color indexed="81"/>
            <rFont val="Tahoma"/>
            <family val="2"/>
            <charset val="204"/>
          </rPr>
          <t>USER:</t>
        </r>
        <r>
          <rPr>
            <sz val="9"/>
            <color indexed="81"/>
            <rFont val="Tahoma"/>
            <family val="2"/>
            <charset val="204"/>
          </rPr>
          <t xml:space="preserve">
25.02.26 (10.000.000) тушган
02.03.26
(6999350) тушган</t>
        </r>
      </text>
    </comment>
    <comment ref="Q93" authorId="1" shapeId="0">
      <text>
        <r>
          <rPr>
            <b/>
            <sz val="9"/>
            <color indexed="81"/>
            <rFont val="Tahoma"/>
            <family val="2"/>
            <charset val="204"/>
          </rPr>
          <t>USER:</t>
        </r>
        <r>
          <rPr>
            <sz val="9"/>
            <color indexed="81"/>
            <rFont val="Tahoma"/>
            <family val="2"/>
            <charset val="204"/>
          </rPr>
          <t xml:space="preserve">
10.03.26
</t>
        </r>
      </text>
    </comment>
    <comment ref="R96" authorId="1" shapeId="0">
      <text>
        <r>
          <rPr>
            <b/>
            <sz val="9"/>
            <color indexed="81"/>
            <rFont val="Tahoma"/>
            <family val="2"/>
            <charset val="204"/>
          </rPr>
          <t>USER:</t>
        </r>
        <r>
          <rPr>
            <sz val="9"/>
            <color indexed="81"/>
            <rFont val="Tahoma"/>
            <family val="2"/>
            <charset val="204"/>
          </rPr>
          <t xml:space="preserve">
16.03.26</t>
        </r>
      </text>
    </comment>
    <comment ref="Q100" authorId="1" shapeId="0">
      <text>
        <r>
          <rPr>
            <b/>
            <sz val="9"/>
            <color indexed="81"/>
            <rFont val="Tahoma"/>
            <family val="2"/>
            <charset val="204"/>
          </rPr>
          <t>USER:</t>
        </r>
        <r>
          <rPr>
            <sz val="9"/>
            <color indexed="81"/>
            <rFont val="Tahoma"/>
            <family val="2"/>
            <charset val="204"/>
          </rPr>
          <t xml:space="preserve">
05.03.26
</t>
        </r>
      </text>
    </comment>
    <comment ref="N114" authorId="1" shapeId="0">
      <text>
        <r>
          <rPr>
            <b/>
            <sz val="9"/>
            <color indexed="81"/>
            <rFont val="Tahoma"/>
            <family val="2"/>
            <charset val="204"/>
          </rPr>
          <t>USER:</t>
        </r>
        <r>
          <rPr>
            <sz val="9"/>
            <color indexed="81"/>
            <rFont val="Tahoma"/>
            <family val="2"/>
            <charset val="204"/>
          </rPr>
          <t xml:space="preserve">
06.03.26</t>
        </r>
      </text>
    </comment>
    <comment ref="Q153" authorId="1" shapeId="0">
      <text>
        <r>
          <rPr>
            <b/>
            <sz val="9"/>
            <color indexed="81"/>
            <rFont val="Tahoma"/>
            <family val="2"/>
            <charset val="204"/>
          </rPr>
          <t>USER:</t>
        </r>
        <r>
          <rPr>
            <sz val="9"/>
            <color indexed="81"/>
            <rFont val="Tahoma"/>
            <family val="2"/>
            <charset val="204"/>
          </rPr>
          <t xml:space="preserve">
10.03.26</t>
        </r>
      </text>
    </comment>
    <comment ref="R154" authorId="1" shapeId="0">
      <text>
        <r>
          <rPr>
            <b/>
            <sz val="9"/>
            <color indexed="81"/>
            <rFont val="Tahoma"/>
            <family val="2"/>
            <charset val="204"/>
          </rPr>
          <t>USER:</t>
        </r>
        <r>
          <rPr>
            <sz val="9"/>
            <color indexed="81"/>
            <rFont val="Tahoma"/>
            <family val="2"/>
            <charset val="204"/>
          </rPr>
          <t xml:space="preserve">
11.03.26</t>
        </r>
      </text>
    </comment>
    <comment ref="N212" authorId="1" shapeId="0">
      <text>
        <r>
          <rPr>
            <b/>
            <sz val="9"/>
            <color indexed="81"/>
            <rFont val="Tahoma"/>
            <family val="2"/>
            <charset val="204"/>
          </rPr>
          <t>USER:</t>
        </r>
        <r>
          <rPr>
            <sz val="9"/>
            <color indexed="81"/>
            <rFont val="Tahoma"/>
            <family val="2"/>
            <charset val="204"/>
          </rPr>
          <t xml:space="preserve">
10.03.26</t>
        </r>
      </text>
    </comment>
    <comment ref="R267" authorId="1" shapeId="0">
      <text>
        <r>
          <rPr>
            <b/>
            <sz val="9"/>
            <color indexed="81"/>
            <rFont val="Tahoma"/>
            <family val="2"/>
            <charset val="204"/>
          </rPr>
          <t>USER:</t>
        </r>
        <r>
          <rPr>
            <sz val="9"/>
            <color indexed="81"/>
            <rFont val="Tahoma"/>
            <family val="2"/>
            <charset val="204"/>
          </rPr>
          <t xml:space="preserve">
03.03.26</t>
        </r>
      </text>
    </comment>
    <comment ref="Q280" authorId="1" shapeId="0">
      <text>
        <r>
          <rPr>
            <b/>
            <sz val="9"/>
            <color indexed="81"/>
            <rFont val="Tahoma"/>
            <family val="2"/>
            <charset val="204"/>
          </rPr>
          <t>USER:</t>
        </r>
        <r>
          <rPr>
            <sz val="9"/>
            <color indexed="81"/>
            <rFont val="Tahoma"/>
            <family val="2"/>
            <charset val="204"/>
          </rPr>
          <t xml:space="preserve">
16.03.26
</t>
        </r>
      </text>
    </comment>
    <comment ref="F335" authorId="1" shapeId="0">
      <text>
        <r>
          <rPr>
            <b/>
            <sz val="9"/>
            <color indexed="81"/>
            <rFont val="Tahoma"/>
            <family val="2"/>
            <charset val="204"/>
          </rPr>
          <t>USER:</t>
        </r>
        <r>
          <rPr>
            <sz val="9"/>
            <color indexed="81"/>
            <rFont val="Tahoma"/>
            <family val="2"/>
            <charset val="204"/>
          </rPr>
          <t xml:space="preserve">
48 рул кайтди (06.03.26) да</t>
        </r>
      </text>
    </comment>
    <comment ref="Q393" authorId="1" shapeId="0">
      <text>
        <r>
          <rPr>
            <b/>
            <sz val="9"/>
            <color indexed="81"/>
            <rFont val="Tahoma"/>
            <family val="2"/>
            <charset val="204"/>
          </rPr>
          <t>USER:</t>
        </r>
        <r>
          <rPr>
            <sz val="9"/>
            <color indexed="81"/>
            <rFont val="Tahoma"/>
            <family val="2"/>
            <charset val="204"/>
          </rPr>
          <t xml:space="preserve">
5,600,000 (03.03.26)да тушган</t>
        </r>
      </text>
    </comment>
    <comment ref="R401" authorId="1" shapeId="0">
      <text>
        <r>
          <rPr>
            <b/>
            <sz val="9"/>
            <color indexed="81"/>
            <rFont val="Tahoma"/>
            <family val="2"/>
            <charset val="204"/>
          </rPr>
          <t>USER:</t>
        </r>
        <r>
          <rPr>
            <sz val="9"/>
            <color indexed="81"/>
            <rFont val="Tahoma"/>
            <family val="2"/>
            <charset val="204"/>
          </rPr>
          <t xml:space="preserve">
19.03.26</t>
        </r>
      </text>
    </comment>
    <comment ref="U402" authorId="1" shapeId="0">
      <text>
        <r>
          <rPr>
            <b/>
            <sz val="9"/>
            <color indexed="81"/>
            <rFont val="Tahoma"/>
            <family val="2"/>
            <charset val="204"/>
          </rPr>
          <t>USER:</t>
        </r>
        <r>
          <rPr>
            <sz val="9"/>
            <color indexed="81"/>
            <rFont val="Tahoma"/>
            <family val="2"/>
            <charset val="204"/>
          </rPr>
          <t xml:space="preserve">
18.03.26</t>
        </r>
      </text>
    </comment>
    <comment ref="R422" authorId="1" shapeId="0">
      <text>
        <r>
          <rPr>
            <b/>
            <sz val="9"/>
            <color indexed="81"/>
            <rFont val="Tahoma"/>
            <family val="2"/>
            <charset val="204"/>
          </rPr>
          <t>USER:</t>
        </r>
        <r>
          <rPr>
            <sz val="9"/>
            <color indexed="81"/>
            <rFont val="Tahoma"/>
            <family val="2"/>
            <charset val="204"/>
          </rPr>
          <t xml:space="preserve">
16.03.26</t>
        </r>
      </text>
    </comment>
    <comment ref="W469" authorId="1" shapeId="0">
      <text>
        <r>
          <rPr>
            <b/>
            <sz val="9"/>
            <color indexed="81"/>
            <rFont val="Tahoma"/>
            <family val="2"/>
            <charset val="204"/>
          </rPr>
          <t>USER:</t>
        </r>
        <r>
          <rPr>
            <sz val="9"/>
            <color indexed="81"/>
            <rFont val="Tahoma"/>
            <family val="2"/>
            <charset val="204"/>
          </rPr>
          <t xml:space="preserve">
02.09.25</t>
        </r>
      </text>
    </comment>
    <comment ref="Q471" authorId="1" shapeId="0">
      <text>
        <r>
          <rPr>
            <b/>
            <sz val="9"/>
            <color indexed="81"/>
            <rFont val="Tahoma"/>
            <family val="2"/>
            <charset val="204"/>
          </rPr>
          <t>USER:</t>
        </r>
        <r>
          <rPr>
            <sz val="9"/>
            <color indexed="81"/>
            <rFont val="Tahoma"/>
            <family val="2"/>
            <charset val="204"/>
          </rPr>
          <t xml:space="preserve">
17.03.26</t>
        </r>
      </text>
    </comment>
    <comment ref="E488" authorId="1" shapeId="0">
      <text>
        <r>
          <rPr>
            <b/>
            <sz val="9"/>
            <color indexed="81"/>
            <rFont val="Tahoma"/>
            <family val="2"/>
            <charset val="204"/>
          </rPr>
          <t>USER:</t>
        </r>
        <r>
          <rPr>
            <sz val="9"/>
            <color indexed="81"/>
            <rFont val="Tahoma"/>
            <family val="2"/>
            <charset val="204"/>
          </rPr>
          <t xml:space="preserve">
чек без нал</t>
        </r>
      </text>
    </comment>
    <comment ref="E489" authorId="1" shapeId="0">
      <text>
        <r>
          <rPr>
            <b/>
            <sz val="9"/>
            <color indexed="81"/>
            <rFont val="Tahoma"/>
            <family val="2"/>
            <charset val="204"/>
          </rPr>
          <t>USER:</t>
        </r>
        <r>
          <rPr>
            <sz val="9"/>
            <color indexed="81"/>
            <rFont val="Tahoma"/>
            <family val="2"/>
            <charset val="204"/>
          </rPr>
          <t xml:space="preserve">
чек без нал</t>
        </r>
      </text>
    </comment>
    <comment ref="E492" authorId="1" shapeId="0">
      <text>
        <r>
          <rPr>
            <b/>
            <sz val="9"/>
            <color indexed="81"/>
            <rFont val="Tahoma"/>
            <family val="2"/>
            <charset val="204"/>
          </rPr>
          <t>USER:</t>
        </r>
        <r>
          <rPr>
            <sz val="9"/>
            <color indexed="81"/>
            <rFont val="Tahoma"/>
            <family val="2"/>
            <charset val="204"/>
          </rPr>
          <t xml:space="preserve">
чек без нал</t>
        </r>
      </text>
    </comment>
    <comment ref="E493" authorId="1" shapeId="0">
      <text>
        <r>
          <rPr>
            <b/>
            <sz val="9"/>
            <color indexed="81"/>
            <rFont val="Tahoma"/>
            <family val="2"/>
            <charset val="204"/>
          </rPr>
          <t>USER:</t>
        </r>
        <r>
          <rPr>
            <sz val="9"/>
            <color indexed="81"/>
            <rFont val="Tahoma"/>
            <family val="2"/>
            <charset val="204"/>
          </rPr>
          <t xml:space="preserve">
чек без нал</t>
        </r>
      </text>
    </comment>
  </commentList>
</comments>
</file>

<file path=xl/sharedStrings.xml><?xml version="1.0" encoding="utf-8"?>
<sst xmlns="http://schemas.openxmlformats.org/spreadsheetml/2006/main" count="10444" uniqueCount="667">
  <si>
    <t>дата</t>
  </si>
  <si>
    <t>фирма</t>
  </si>
  <si>
    <t>Отпуск товара за месяц</t>
  </si>
  <si>
    <t>нкп</t>
  </si>
  <si>
    <t>договор</t>
  </si>
  <si>
    <t>Оплата</t>
  </si>
  <si>
    <t>число</t>
  </si>
  <si>
    <t>остаток сум</t>
  </si>
  <si>
    <t>товар</t>
  </si>
  <si>
    <t>кол-во</t>
  </si>
  <si>
    <t>ед.изм</t>
  </si>
  <si>
    <t>Сумда</t>
  </si>
  <si>
    <t>накд</t>
  </si>
  <si>
    <t>пер</t>
  </si>
  <si>
    <t>QR CODE</t>
  </si>
  <si>
    <t>клик</t>
  </si>
  <si>
    <t>терминал</t>
  </si>
  <si>
    <t xml:space="preserve">цена </t>
  </si>
  <si>
    <t>сумма</t>
  </si>
  <si>
    <t>всего</t>
  </si>
  <si>
    <t>эгамберди</t>
  </si>
  <si>
    <t>биговка</t>
  </si>
  <si>
    <t>пач</t>
  </si>
  <si>
    <t>ф</t>
  </si>
  <si>
    <t>фуркат андижон</t>
  </si>
  <si>
    <t>50*70 турк</t>
  </si>
  <si>
    <t>лист</t>
  </si>
  <si>
    <t>оригинал пак</t>
  </si>
  <si>
    <t>тимур</t>
  </si>
  <si>
    <t>мел250 62*88</t>
  </si>
  <si>
    <t>н/к</t>
  </si>
  <si>
    <t>баходир ака душанбе</t>
  </si>
  <si>
    <t>дилмурод</t>
  </si>
  <si>
    <t>мел200</t>
  </si>
  <si>
    <t>регион принт</t>
  </si>
  <si>
    <t>картон рул 250*62</t>
  </si>
  <si>
    <t>кг</t>
  </si>
  <si>
    <t>глосса</t>
  </si>
  <si>
    <t>марзан 138</t>
  </si>
  <si>
    <t>шт</t>
  </si>
  <si>
    <t>пп</t>
  </si>
  <si>
    <t>картография</t>
  </si>
  <si>
    <t>1050*795 стр</t>
  </si>
  <si>
    <t>вм принт</t>
  </si>
  <si>
    <t>жакар уз</t>
  </si>
  <si>
    <t>селена трейд</t>
  </si>
  <si>
    <t>лам 62 голд</t>
  </si>
  <si>
    <t>суннат</t>
  </si>
  <si>
    <t>васака пак</t>
  </si>
  <si>
    <t>п 946</t>
  </si>
  <si>
    <t>анис полиграф</t>
  </si>
  <si>
    <t>0,3*1,3</t>
  </si>
  <si>
    <t>п 18</t>
  </si>
  <si>
    <t>евро принт</t>
  </si>
  <si>
    <t>лам 60 голд</t>
  </si>
  <si>
    <t>али принт</t>
  </si>
  <si>
    <t>иннавацион тех принт</t>
  </si>
  <si>
    <t xml:space="preserve">п 2 </t>
  </si>
  <si>
    <t>кафолат мебел</t>
  </si>
  <si>
    <t>бону</t>
  </si>
  <si>
    <t>фольга золото 120</t>
  </si>
  <si>
    <t>рул</t>
  </si>
  <si>
    <t>шарк</t>
  </si>
  <si>
    <t>рез 1052*840</t>
  </si>
  <si>
    <t>принт теч</t>
  </si>
  <si>
    <t>70*100 ок</t>
  </si>
  <si>
    <t>проявитель стр тек</t>
  </si>
  <si>
    <t>литр</t>
  </si>
  <si>
    <t>890*608 стр</t>
  </si>
  <si>
    <t>журабек принт</t>
  </si>
  <si>
    <t>вд лак матт</t>
  </si>
  <si>
    <t>оплата 30.06.25</t>
  </si>
  <si>
    <t>юнион колор</t>
  </si>
  <si>
    <t>мел300 62*88</t>
  </si>
  <si>
    <t>ятт.одил</t>
  </si>
  <si>
    <t>бесцветний лак</t>
  </si>
  <si>
    <t>к</t>
  </si>
  <si>
    <t>кувончбек машхура</t>
  </si>
  <si>
    <t>фольга гологорамма</t>
  </si>
  <si>
    <t>хаёт нашр</t>
  </si>
  <si>
    <t>лам50 матт</t>
  </si>
  <si>
    <t>иззатилла принт</t>
  </si>
  <si>
    <t>оплата 06.09.25</t>
  </si>
  <si>
    <t>эко стар полиграф</t>
  </si>
  <si>
    <t>лам35</t>
  </si>
  <si>
    <t>кузи ожизлар босмахонаси</t>
  </si>
  <si>
    <t>лам60</t>
  </si>
  <si>
    <t>инфи колор</t>
  </si>
  <si>
    <t>уф лак 400</t>
  </si>
  <si>
    <t>эксилинт принт</t>
  </si>
  <si>
    <t>п/к</t>
  </si>
  <si>
    <t>оплата 25.10.25</t>
  </si>
  <si>
    <t>лам70</t>
  </si>
  <si>
    <t>лам70 матт</t>
  </si>
  <si>
    <t>арсон принт</t>
  </si>
  <si>
    <t>картон рул 300*62</t>
  </si>
  <si>
    <t>оплата 05.10.25</t>
  </si>
  <si>
    <t>м принт улугбек</t>
  </si>
  <si>
    <t>50*70</t>
  </si>
  <si>
    <t>оплата 04.10.25</t>
  </si>
  <si>
    <t>картон рул 270*62</t>
  </si>
  <si>
    <t>бест экспресс принт</t>
  </si>
  <si>
    <t>70*100 б/н</t>
  </si>
  <si>
    <t>оплата 15.10.25</t>
  </si>
  <si>
    <t>50*70 ок</t>
  </si>
  <si>
    <t>оплата 30.10.25</t>
  </si>
  <si>
    <t>академ нашр</t>
  </si>
  <si>
    <t>термоклей</t>
  </si>
  <si>
    <t>оплата 20.10.25</t>
  </si>
  <si>
    <t>голд принт</t>
  </si>
  <si>
    <t>п</t>
  </si>
  <si>
    <t>202 принт</t>
  </si>
  <si>
    <t>калибр 0,4</t>
  </si>
  <si>
    <t>н</t>
  </si>
  <si>
    <t>смывка</t>
  </si>
  <si>
    <t>оплата 10.11.25</t>
  </si>
  <si>
    <t>очиститель тек</t>
  </si>
  <si>
    <t>тальк</t>
  </si>
  <si>
    <t>0,4*1,3</t>
  </si>
  <si>
    <t>уф лак 125</t>
  </si>
  <si>
    <t>пантон rubin</t>
  </si>
  <si>
    <t>кайтади</t>
  </si>
  <si>
    <t>е гранд</t>
  </si>
  <si>
    <t>оплата 25.11.25</t>
  </si>
  <si>
    <t>винч гроуп</t>
  </si>
  <si>
    <t>лам50 софтач</t>
  </si>
  <si>
    <t>оплата 05.11.25</t>
  </si>
  <si>
    <t>кампютер мужизаси</t>
  </si>
  <si>
    <t>оплата 05.12.25</t>
  </si>
  <si>
    <t>70*100 ок б/н</t>
  </si>
  <si>
    <t>добавка тек</t>
  </si>
  <si>
    <t>уф лак 250</t>
  </si>
  <si>
    <t>рез 106</t>
  </si>
  <si>
    <t>п/м</t>
  </si>
  <si>
    <t>калибр 0,3</t>
  </si>
  <si>
    <t>стар полиграф</t>
  </si>
  <si>
    <t>лам50</t>
  </si>
  <si>
    <t>уф лак эмбосс</t>
  </si>
  <si>
    <t>фольга золото 240</t>
  </si>
  <si>
    <t>лам42 матт</t>
  </si>
  <si>
    <t>оплата 10.12.25</t>
  </si>
  <si>
    <t>50*70 ок б/н</t>
  </si>
  <si>
    <t>оплата 30.11.25</t>
  </si>
  <si>
    <t>оплата 15.12.25</t>
  </si>
  <si>
    <t>креатинг тренд</t>
  </si>
  <si>
    <t>оплата 24.11.25</t>
  </si>
  <si>
    <t>мурод принт</t>
  </si>
  <si>
    <t>рез145</t>
  </si>
  <si>
    <t>оплата 28.11.25</t>
  </si>
  <si>
    <t>мега папер</t>
  </si>
  <si>
    <t>оплата 25.12.25</t>
  </si>
  <si>
    <t>тимур дилшод</t>
  </si>
  <si>
    <t>дог № 847</t>
  </si>
  <si>
    <t>дог № 848</t>
  </si>
  <si>
    <t>дог №458</t>
  </si>
  <si>
    <t>баркаст полиграф</t>
  </si>
  <si>
    <t>745*605 стр</t>
  </si>
  <si>
    <t>оплата 20.12.25</t>
  </si>
  <si>
    <t>кристал принт</t>
  </si>
  <si>
    <t>оплата 05.01.26</t>
  </si>
  <si>
    <t>0,4*1,4</t>
  </si>
  <si>
    <t>фольга оч кук</t>
  </si>
  <si>
    <t>оплата 29.12.25</t>
  </si>
  <si>
    <t>спс</t>
  </si>
  <si>
    <t>лам35 матт</t>
  </si>
  <si>
    <t>краска фокус кук</t>
  </si>
  <si>
    <t>краска фокус сарик</t>
  </si>
  <si>
    <t>краска иновацион кора</t>
  </si>
  <si>
    <t>лам65</t>
  </si>
  <si>
    <t>дониш чироги</t>
  </si>
  <si>
    <t>мел250</t>
  </si>
  <si>
    <t>оплата 10.01.26</t>
  </si>
  <si>
    <t>принт вел</t>
  </si>
  <si>
    <t>уф лак 180</t>
  </si>
  <si>
    <t>дримс принт</t>
  </si>
  <si>
    <t>50*35 ок</t>
  </si>
  <si>
    <t>шухрат кукон</t>
  </si>
  <si>
    <t>фольга золото 360</t>
  </si>
  <si>
    <t>хумо принт</t>
  </si>
  <si>
    <t>краска иновацион кизил</t>
  </si>
  <si>
    <t>краска повер сарик</t>
  </si>
  <si>
    <t>70*100</t>
  </si>
  <si>
    <t>козим лак</t>
  </si>
  <si>
    <t>уф лак 50</t>
  </si>
  <si>
    <t>лам42</t>
  </si>
  <si>
    <t>янги йул полиграф</t>
  </si>
  <si>
    <t>калька а3</t>
  </si>
  <si>
    <t>оплата 18.01.26</t>
  </si>
  <si>
    <t>оплата 20.01.26</t>
  </si>
  <si>
    <t>фольга серебро 240</t>
  </si>
  <si>
    <t>оплата 27.12.25</t>
  </si>
  <si>
    <t>мет греб 3/8</t>
  </si>
  <si>
    <t>бабин</t>
  </si>
  <si>
    <t>оплата 23.12.25</t>
  </si>
  <si>
    <t>замондош</t>
  </si>
  <si>
    <t>дилноза</t>
  </si>
  <si>
    <t>арт бокс</t>
  </si>
  <si>
    <t>макро принт</t>
  </si>
  <si>
    <t>лам72 матт</t>
  </si>
  <si>
    <t>оплата 30.12.26</t>
  </si>
  <si>
    <t>сано стандарт</t>
  </si>
  <si>
    <t>1050*795</t>
  </si>
  <si>
    <t>оплата 25.01.26</t>
  </si>
  <si>
    <t>бухоро полиграф</t>
  </si>
  <si>
    <t>офсет принт</t>
  </si>
  <si>
    <t>термоклей 6092</t>
  </si>
  <si>
    <t>комила</t>
  </si>
  <si>
    <t>ригель 32</t>
  </si>
  <si>
    <t>сафия принт</t>
  </si>
  <si>
    <t>фольга кора</t>
  </si>
  <si>
    <t>смарт пеопле</t>
  </si>
  <si>
    <t>офсет лак</t>
  </si>
  <si>
    <t>оплата 30.12.25</t>
  </si>
  <si>
    <t>хаттот сервис</t>
  </si>
  <si>
    <t>курсор</t>
  </si>
  <si>
    <t>темир йулчи</t>
  </si>
  <si>
    <t>колор пак</t>
  </si>
  <si>
    <t>т</t>
  </si>
  <si>
    <t>владимир</t>
  </si>
  <si>
    <t>перспектив трейд</t>
  </si>
  <si>
    <t>мет греб 1/4</t>
  </si>
  <si>
    <t>хилол нашр</t>
  </si>
  <si>
    <t>трио полиграф</t>
  </si>
  <si>
    <t>пресс полиграф</t>
  </si>
  <si>
    <t>ригель 32 кора</t>
  </si>
  <si>
    <t>гофур гулом</t>
  </si>
  <si>
    <t>лам72</t>
  </si>
  <si>
    <t xml:space="preserve">пантон gold 871 </t>
  </si>
  <si>
    <t>пантон gold 875</t>
  </si>
  <si>
    <t>лам30</t>
  </si>
  <si>
    <t>оригами</t>
  </si>
  <si>
    <t>матбаачи</t>
  </si>
  <si>
    <t>само принт</t>
  </si>
  <si>
    <t>маьмуржон</t>
  </si>
  <si>
    <t>азамат андижон</t>
  </si>
  <si>
    <t>нозим згб</t>
  </si>
  <si>
    <t>кар300 62*94</t>
  </si>
  <si>
    <t>диёр принт</t>
  </si>
  <si>
    <t>ятт.юсупов</t>
  </si>
  <si>
    <t>сабр принт</t>
  </si>
  <si>
    <t>оплата 12.01.26</t>
  </si>
  <si>
    <t>оплата 15.01.26</t>
  </si>
  <si>
    <t>оплата 06.01.26</t>
  </si>
  <si>
    <t>графф глоре</t>
  </si>
  <si>
    <t>0,8*2,5</t>
  </si>
  <si>
    <t>азмир нашр</t>
  </si>
  <si>
    <t>водий принт</t>
  </si>
  <si>
    <t>тонг</t>
  </si>
  <si>
    <t>краска фокус кизил</t>
  </si>
  <si>
    <t>глобал селлерс</t>
  </si>
  <si>
    <t>лам 70 силвер</t>
  </si>
  <si>
    <t>оплата 30.01.26</t>
  </si>
  <si>
    <t>оплата 05.02.26</t>
  </si>
  <si>
    <t>сарвар сирдарё</t>
  </si>
  <si>
    <t>мет греб 3/8 кора</t>
  </si>
  <si>
    <t>торнадо принт</t>
  </si>
  <si>
    <t>релайбл принт</t>
  </si>
  <si>
    <t>фужи принт</t>
  </si>
  <si>
    <t>оникс</t>
  </si>
  <si>
    <t>исмат</t>
  </si>
  <si>
    <t>дизайн принт</t>
  </si>
  <si>
    <t>оплата 08.01.26</t>
  </si>
  <si>
    <t>самие твинс</t>
  </si>
  <si>
    <t>матрикс навруз</t>
  </si>
  <si>
    <t>мет греб 7/16</t>
  </si>
  <si>
    <t>лам48</t>
  </si>
  <si>
    <t>глобал пепер</t>
  </si>
  <si>
    <t>янги фаргона</t>
  </si>
  <si>
    <t>босма</t>
  </si>
  <si>
    <t>икром зум принт</t>
  </si>
  <si>
    <t>сириус класс</t>
  </si>
  <si>
    <t>пантон silver</t>
  </si>
  <si>
    <t>ламинация цех</t>
  </si>
  <si>
    <t>лак цех</t>
  </si>
  <si>
    <t>аликсей хан</t>
  </si>
  <si>
    <t>пойтахт груп</t>
  </si>
  <si>
    <t>термоклей 6030 ок</t>
  </si>
  <si>
    <t>оплата 09.01.26</t>
  </si>
  <si>
    <t>престиж принт</t>
  </si>
  <si>
    <t>ёкуб довуд</t>
  </si>
  <si>
    <t>универсал пак систем</t>
  </si>
  <si>
    <t>фото экспрес</t>
  </si>
  <si>
    <t>кар250 китай</t>
  </si>
  <si>
    <t>кредо принт</t>
  </si>
  <si>
    <t>миркомил зом принт</t>
  </si>
  <si>
    <t>zoom принт</t>
  </si>
  <si>
    <t>тезкор матбаа</t>
  </si>
  <si>
    <t>дог №34</t>
  </si>
  <si>
    <t>оплата 16.01.26</t>
  </si>
  <si>
    <t>стар принт гузал</t>
  </si>
  <si>
    <t>губка</t>
  </si>
  <si>
    <t>рез 52*44</t>
  </si>
  <si>
    <t>вектор шамс</t>
  </si>
  <si>
    <t>оплата 13.01.26</t>
  </si>
  <si>
    <t>шидасп</t>
  </si>
  <si>
    <t>вип комплект</t>
  </si>
  <si>
    <t>реклама люкс</t>
  </si>
  <si>
    <t>ахмад ака файз</t>
  </si>
  <si>
    <t>фольга яшил</t>
  </si>
  <si>
    <t>яхё андижон</t>
  </si>
  <si>
    <t>фольга серебро 120</t>
  </si>
  <si>
    <t>оплата 27.01.26</t>
  </si>
  <si>
    <t>микрос</t>
  </si>
  <si>
    <t>ал ваир</t>
  </si>
  <si>
    <t>лам 50 силвер</t>
  </si>
  <si>
    <t>лам 60 силвер</t>
  </si>
  <si>
    <t>лам58</t>
  </si>
  <si>
    <t>лам60 матт</t>
  </si>
  <si>
    <t>юнайтед колор</t>
  </si>
  <si>
    <t>халк нашр</t>
  </si>
  <si>
    <t>рез 49</t>
  </si>
  <si>
    <t>оплата 12.02.26</t>
  </si>
  <si>
    <t>вектор принт</t>
  </si>
  <si>
    <t>70*100 турк</t>
  </si>
  <si>
    <t>0,7*2,3</t>
  </si>
  <si>
    <t>лам55</t>
  </si>
  <si>
    <t>зиё келажак</t>
  </si>
  <si>
    <t>арров принт</t>
  </si>
  <si>
    <t>силмег</t>
  </si>
  <si>
    <t>катрант</t>
  </si>
  <si>
    <t>с пласт</t>
  </si>
  <si>
    <t xml:space="preserve">милленниум лайт </t>
  </si>
  <si>
    <t>терра принт</t>
  </si>
  <si>
    <t>тараккиёт принт</t>
  </si>
  <si>
    <t>мак стар</t>
  </si>
  <si>
    <t>фольга золото 120 сарик</t>
  </si>
  <si>
    <t>оплата 19.01.26</t>
  </si>
  <si>
    <t>голден флекс</t>
  </si>
  <si>
    <t>люкс глумикс</t>
  </si>
  <si>
    <t>мехридарё</t>
  </si>
  <si>
    <t>идеал полиграф</t>
  </si>
  <si>
    <t>янги фазо</t>
  </si>
  <si>
    <t>зе некст дрим</t>
  </si>
  <si>
    <t>ятт.дима</t>
  </si>
  <si>
    <t>тигран элит принт</t>
  </si>
  <si>
    <t>зайит принт</t>
  </si>
  <si>
    <t>гранд депот</t>
  </si>
  <si>
    <t>вд лак</t>
  </si>
  <si>
    <t>лам62 матт</t>
  </si>
  <si>
    <t>херо крафт</t>
  </si>
  <si>
    <t>бизнес полиграф</t>
  </si>
  <si>
    <t>элегант гофра</t>
  </si>
  <si>
    <t>шабнам супер принт</t>
  </si>
  <si>
    <t>спектрум скобе</t>
  </si>
  <si>
    <t>лам30 матт</t>
  </si>
  <si>
    <t>лам47 матт</t>
  </si>
  <si>
    <t>алфа монет гроуп</t>
  </si>
  <si>
    <t>смарт самоиддин бизнес</t>
  </si>
  <si>
    <t>зебинисо принт</t>
  </si>
  <si>
    <t>голд принт диёр</t>
  </si>
  <si>
    <t>прогресс принт</t>
  </si>
  <si>
    <t>акувилон</t>
  </si>
  <si>
    <t>фойл трейдинг</t>
  </si>
  <si>
    <t>хумо принт (китай)</t>
  </si>
  <si>
    <t>краска повер кора</t>
  </si>
  <si>
    <t>краска повер кук</t>
  </si>
  <si>
    <t>оплата 26.01.26</t>
  </si>
  <si>
    <t>оплата 23.01.26</t>
  </si>
  <si>
    <t>оплата 31.01.26</t>
  </si>
  <si>
    <t>супер флекс</t>
  </si>
  <si>
    <t>кар250 индия</t>
  </si>
  <si>
    <t>фото бук уз</t>
  </si>
  <si>
    <t>хумо нур принт</t>
  </si>
  <si>
    <t>голд стар</t>
  </si>
  <si>
    <t>парадайс</t>
  </si>
  <si>
    <t>корбокс</t>
  </si>
  <si>
    <t>50*35</t>
  </si>
  <si>
    <t>оплата 22.01.26</t>
  </si>
  <si>
    <t>эко пак</t>
  </si>
  <si>
    <t>нори</t>
  </si>
  <si>
    <t>краска повер кизил</t>
  </si>
  <si>
    <t>добавка нова</t>
  </si>
  <si>
    <t>голд логатип</t>
  </si>
  <si>
    <t>450*370</t>
  </si>
  <si>
    <t>опалта 26.01.26</t>
  </si>
  <si>
    <t>оплата 20.02.26</t>
  </si>
  <si>
    <t>оплата 02.02.26</t>
  </si>
  <si>
    <t>лам68 матт</t>
  </si>
  <si>
    <t>премиум класс</t>
  </si>
  <si>
    <t>50*35 ок б/н</t>
  </si>
  <si>
    <t>роял пак мансур</t>
  </si>
  <si>
    <t>креатив дизайн</t>
  </si>
  <si>
    <t>спс камолиддин</t>
  </si>
  <si>
    <t>фарход</t>
  </si>
  <si>
    <t>кансмир</t>
  </si>
  <si>
    <t>пантон reflex</t>
  </si>
  <si>
    <t>сафо силвер принт</t>
  </si>
  <si>
    <t>оплата 29.01.26</t>
  </si>
  <si>
    <t>профисионал солушин</t>
  </si>
  <si>
    <t>ятт.хван марина</t>
  </si>
  <si>
    <t>ризо принт</t>
  </si>
  <si>
    <t>спс бахром</t>
  </si>
  <si>
    <t>принт форм</t>
  </si>
  <si>
    <t>сигма принт</t>
  </si>
  <si>
    <t>оплата 10.02.26</t>
  </si>
  <si>
    <t>ятт.пулатов</t>
  </si>
  <si>
    <t>отабек кукон 234</t>
  </si>
  <si>
    <t>ёркин</t>
  </si>
  <si>
    <t>принт лайн</t>
  </si>
  <si>
    <t>сабрина принт</t>
  </si>
  <si>
    <t>нлс</t>
  </si>
  <si>
    <t>алтерра</t>
  </si>
  <si>
    <t>грин принт</t>
  </si>
  <si>
    <t>фольга серебро 360</t>
  </si>
  <si>
    <t>фольга медная</t>
  </si>
  <si>
    <t>узиники</t>
  </si>
  <si>
    <t>чехол</t>
  </si>
  <si>
    <t>метр</t>
  </si>
  <si>
    <t>принт макер</t>
  </si>
  <si>
    <t>сармоя букс</t>
  </si>
  <si>
    <t>гофра картон</t>
  </si>
  <si>
    <t>бизнес принт</t>
  </si>
  <si>
    <t>проявитель 1+9</t>
  </si>
  <si>
    <t>оплата 28.01.26</t>
  </si>
  <si>
    <t>оплата 03.02.26</t>
  </si>
  <si>
    <t>оплата 06.02.26</t>
  </si>
  <si>
    <t>реал пепер</t>
  </si>
  <si>
    <t>клевер пак</t>
  </si>
  <si>
    <t>рез 772*627</t>
  </si>
  <si>
    <t>яшнобод нашр</t>
  </si>
  <si>
    <t>мастер пак</t>
  </si>
  <si>
    <t>0,5*1,5</t>
  </si>
  <si>
    <t>анвар билол барака</t>
  </si>
  <si>
    <t>лам74</t>
  </si>
  <si>
    <t>шолоч</t>
  </si>
  <si>
    <t>ятт.антонов</t>
  </si>
  <si>
    <t>алфа принт</t>
  </si>
  <si>
    <t>спс дилшод</t>
  </si>
  <si>
    <t>лам 50 голд</t>
  </si>
  <si>
    <t>фролов дмитрий</t>
  </si>
  <si>
    <t>лион принт</t>
  </si>
  <si>
    <t>мет греб 5/16</t>
  </si>
  <si>
    <t>прайс</t>
  </si>
  <si>
    <t>оплата 15.02.26</t>
  </si>
  <si>
    <t>оплата 13.02.26</t>
  </si>
  <si>
    <t>оплата 28.02.26</t>
  </si>
  <si>
    <t>лам68</t>
  </si>
  <si>
    <t>пример принт</t>
  </si>
  <si>
    <t>райсинг флексо принт</t>
  </si>
  <si>
    <t>самоклей рулон фассон</t>
  </si>
  <si>
    <t>равшан ёдик</t>
  </si>
  <si>
    <t>оплата 04.02.26</t>
  </si>
  <si>
    <t>евро азия</t>
  </si>
  <si>
    <t>лам58 матт</t>
  </si>
  <si>
    <t>Ост-к на 01.02.2026</t>
  </si>
  <si>
    <t>Ост на 28.02.2026</t>
  </si>
  <si>
    <t>виза принт</t>
  </si>
  <si>
    <t>иззат люкс</t>
  </si>
  <si>
    <t>спс ибрагим</t>
  </si>
  <si>
    <t>атлас инвест</t>
  </si>
  <si>
    <t>браян</t>
  </si>
  <si>
    <t>элизабет принт</t>
  </si>
  <si>
    <t>срок опалата</t>
  </si>
  <si>
    <t>договор номер</t>
  </si>
  <si>
    <t>нар зебо</t>
  </si>
  <si>
    <t>афруз принт</t>
  </si>
  <si>
    <t>эрудит</t>
  </si>
  <si>
    <t>оплата 09.02.26</t>
  </si>
  <si>
    <t>мел170</t>
  </si>
  <si>
    <t>ппс</t>
  </si>
  <si>
    <t>тараккий принт</t>
  </si>
  <si>
    <t>озод полиграф</t>
  </si>
  <si>
    <t>ажаб этикетка</t>
  </si>
  <si>
    <t>лам84</t>
  </si>
  <si>
    <t>принт экспресс</t>
  </si>
  <si>
    <t>эксито принт</t>
  </si>
  <si>
    <t>оплата 25.02.26</t>
  </si>
  <si>
    <t>ёркин принт</t>
  </si>
  <si>
    <t>азамат азатович</t>
  </si>
  <si>
    <t>оплата 16.02.26</t>
  </si>
  <si>
    <t>акташ кап</t>
  </si>
  <si>
    <t>чп.исламов</t>
  </si>
  <si>
    <t>бахром полиграф</t>
  </si>
  <si>
    <t>гармент текстил</t>
  </si>
  <si>
    <t>ургут колор принт</t>
  </si>
  <si>
    <t>юни флекс</t>
  </si>
  <si>
    <t>давр максимум медия</t>
  </si>
  <si>
    <t>дихаус принт</t>
  </si>
  <si>
    <t>мвд</t>
  </si>
  <si>
    <t>оплата 10.03.26</t>
  </si>
  <si>
    <t>мунис дизайн груп</t>
  </si>
  <si>
    <t>калибр 0,5</t>
  </si>
  <si>
    <t>мел105 матт</t>
  </si>
  <si>
    <t>фольга кизил</t>
  </si>
  <si>
    <t>сайдана принт</t>
  </si>
  <si>
    <t>ярра медиа</t>
  </si>
  <si>
    <t>титан бизнес</t>
  </si>
  <si>
    <t>реал принт</t>
  </si>
  <si>
    <t>дилфуза принт</t>
  </si>
  <si>
    <t>пантон green</t>
  </si>
  <si>
    <t>пантон yellow</t>
  </si>
  <si>
    <t>оплата 05.03.26</t>
  </si>
  <si>
    <t>оплата 17.03.26</t>
  </si>
  <si>
    <t>фотих ака</t>
  </si>
  <si>
    <t>фольга жемчук</t>
  </si>
  <si>
    <t>мет греб 1/2</t>
  </si>
  <si>
    <t>оплата 26.02.26</t>
  </si>
  <si>
    <t>оплата 20.03.26</t>
  </si>
  <si>
    <t>калибри</t>
  </si>
  <si>
    <t>ташкент медиа</t>
  </si>
  <si>
    <t>гофра пак азия</t>
  </si>
  <si>
    <t>пантон opaqi</t>
  </si>
  <si>
    <t>фольга золото 240 сарик</t>
  </si>
  <si>
    <t>№191</t>
  </si>
  <si>
    <t>№192</t>
  </si>
  <si>
    <t>№284</t>
  </si>
  <si>
    <t>мет греб 5/16 кора</t>
  </si>
  <si>
    <t>комол ака</t>
  </si>
  <si>
    <t>парадигма</t>
  </si>
  <si>
    <t>сирдарё принт</t>
  </si>
  <si>
    <t>№184</t>
  </si>
  <si>
    <t>№195</t>
  </si>
  <si>
    <t>№162</t>
  </si>
  <si>
    <t>зарба аммунишин</t>
  </si>
  <si>
    <t>атлас принт</t>
  </si>
  <si>
    <t>ахмад ака алфа куре</t>
  </si>
  <si>
    <t>дм.нашр</t>
  </si>
  <si>
    <t>№196</t>
  </si>
  <si>
    <t>№197</t>
  </si>
  <si>
    <t>№327</t>
  </si>
  <si>
    <t>№200</t>
  </si>
  <si>
    <t>№194</t>
  </si>
  <si>
    <t>№6597306</t>
  </si>
  <si>
    <t>№193</t>
  </si>
  <si>
    <t>оплата 22.03.26</t>
  </si>
  <si>
    <t>нур полиграф</t>
  </si>
  <si>
    <t>№199</t>
  </si>
  <si>
    <t>№323</t>
  </si>
  <si>
    <t>№153</t>
  </si>
  <si>
    <t>№68</t>
  </si>
  <si>
    <t>№26</t>
  </si>
  <si>
    <t>№134</t>
  </si>
  <si>
    <t>одил кукон</t>
  </si>
  <si>
    <t>вита пак</t>
  </si>
  <si>
    <t>файн принт</t>
  </si>
  <si>
    <t>дилшод матбаа</t>
  </si>
  <si>
    <t>аваз кукон</t>
  </si>
  <si>
    <t>№204</t>
  </si>
  <si>
    <t>№207</t>
  </si>
  <si>
    <t>№205</t>
  </si>
  <si>
    <t>№132</t>
  </si>
  <si>
    <t>оплата 02.03.26</t>
  </si>
  <si>
    <t>№57</t>
  </si>
  <si>
    <t>бахром кукон</t>
  </si>
  <si>
    <t>алихон кукон</t>
  </si>
  <si>
    <t>№209</t>
  </si>
  <si>
    <t>№121</t>
  </si>
  <si>
    <t>№176</t>
  </si>
  <si>
    <t>№203</t>
  </si>
  <si>
    <t>арт студио</t>
  </si>
  <si>
    <t>оффтеч</t>
  </si>
  <si>
    <t>графимекс</t>
  </si>
  <si>
    <t>№211</t>
  </si>
  <si>
    <t>№206</t>
  </si>
  <si>
    <t>№210</t>
  </si>
  <si>
    <t>№22</t>
  </si>
  <si>
    <t>№198</t>
  </si>
  <si>
    <t>№128</t>
  </si>
  <si>
    <t>№122</t>
  </si>
  <si>
    <t>оплата 15.03.26</t>
  </si>
  <si>
    <t>№213</t>
  </si>
  <si>
    <t>деконта</t>
  </si>
  <si>
    <t>лидер гофра</t>
  </si>
  <si>
    <t>оплата 14.03.26</t>
  </si>
  <si>
    <t>мухаррир</t>
  </si>
  <si>
    <t>чп.олег</t>
  </si>
  <si>
    <t>кобил стандарт</t>
  </si>
  <si>
    <t>№190</t>
  </si>
  <si>
    <t>№216</t>
  </si>
  <si>
    <t>№212</t>
  </si>
  <si>
    <t>Ост-к на 01.03.2026</t>
  </si>
  <si>
    <t>Ост на 31.03.2026</t>
  </si>
  <si>
    <t>Ост-к на 01.01.2026</t>
  </si>
  <si>
    <t>Ост на 31.01.2026</t>
  </si>
  <si>
    <t>доссо груп</t>
  </si>
  <si>
    <t>№217</t>
  </si>
  <si>
    <t>№219</t>
  </si>
  <si>
    <t>№220</t>
  </si>
  <si>
    <t>евро пак</t>
  </si>
  <si>
    <t>ордер макс</t>
  </si>
  <si>
    <t>ярд принт</t>
  </si>
  <si>
    <t>№221</t>
  </si>
  <si>
    <t>№226</t>
  </si>
  <si>
    <t>эко текстил</t>
  </si>
  <si>
    <t>рез 78</t>
  </si>
  <si>
    <t>эрфолг</t>
  </si>
  <si>
    <t>гум</t>
  </si>
  <si>
    <t>голден полиграф</t>
  </si>
  <si>
    <t>№208</t>
  </si>
  <si>
    <t>№227</t>
  </si>
  <si>
    <t>№223</t>
  </si>
  <si>
    <t>№228</t>
  </si>
  <si>
    <t>№126</t>
  </si>
  <si>
    <t>рустам принт</t>
  </si>
  <si>
    <t>890*608</t>
  </si>
  <si>
    <t>оплата 05.04.26</t>
  </si>
  <si>
    <t>оплата 06.04.26</t>
  </si>
  <si>
    <t>оплата 30.03.26</t>
  </si>
  <si>
    <t>№230</t>
  </si>
  <si>
    <t>№231</t>
  </si>
  <si>
    <t>№232</t>
  </si>
  <si>
    <t>№218</t>
  </si>
  <si>
    <t>№233</t>
  </si>
  <si>
    <t>№234</t>
  </si>
  <si>
    <t>Z принт</t>
  </si>
  <si>
    <t>ню колор</t>
  </si>
  <si>
    <t>eagle eye</t>
  </si>
  <si>
    <t>№235</t>
  </si>
  <si>
    <t>носир гофра</t>
  </si>
  <si>
    <t>фемили принт</t>
  </si>
  <si>
    <t>кегейли турмуси газетаси</t>
  </si>
  <si>
    <t>китобдор</t>
  </si>
  <si>
    <t>пантон blue 072</t>
  </si>
  <si>
    <t>№237</t>
  </si>
  <si>
    <t>№96</t>
  </si>
  <si>
    <t>оплата 16.03.26</t>
  </si>
  <si>
    <t>оплата 10.04.26</t>
  </si>
  <si>
    <t>оплата 11.03.26</t>
  </si>
  <si>
    <t>престиж бокс</t>
  </si>
  <si>
    <t>№238</t>
  </si>
  <si>
    <t>№173</t>
  </si>
  <si>
    <t>№236</t>
  </si>
  <si>
    <t>№239</t>
  </si>
  <si>
    <t>ферузбек</t>
  </si>
  <si>
    <t>зайд принт</t>
  </si>
  <si>
    <t>№42</t>
  </si>
  <si>
    <t>куалити фаст принт</t>
  </si>
  <si>
    <t>ахмедова</t>
  </si>
  <si>
    <t>дустлик байроги</t>
  </si>
  <si>
    <t>№241</t>
  </si>
  <si>
    <t>№240</t>
  </si>
  <si>
    <t>№719</t>
  </si>
  <si>
    <t>азизбек офсет барака</t>
  </si>
  <si>
    <t xml:space="preserve">литр </t>
  </si>
  <si>
    <t>гротекс</t>
  </si>
  <si>
    <t>малахит принт</t>
  </si>
  <si>
    <t>калибр 0,1</t>
  </si>
  <si>
    <t>оплата 15.04.26</t>
  </si>
  <si>
    <t>оплата 01.04.26</t>
  </si>
  <si>
    <t>с принт</t>
  </si>
  <si>
    <t>полиграф студио</t>
  </si>
  <si>
    <t>№29</t>
  </si>
  <si>
    <t>№244</t>
  </si>
  <si>
    <t>№247</t>
  </si>
  <si>
    <t>№243</t>
  </si>
  <si>
    <t>№49</t>
  </si>
  <si>
    <t>оплата 02.04.26</t>
  </si>
  <si>
    <t>кодир самарканд</t>
  </si>
  <si>
    <t>роял пак</t>
  </si>
  <si>
    <t>оплата 23.03.26</t>
  </si>
  <si>
    <t>№242</t>
  </si>
  <si>
    <t>№248</t>
  </si>
  <si>
    <t>№249</t>
  </si>
  <si>
    <t>лам84 матт</t>
  </si>
  <si>
    <t>№17</t>
  </si>
  <si>
    <t>№61</t>
  </si>
  <si>
    <t>№251</t>
  </si>
  <si>
    <t>№250</t>
  </si>
  <si>
    <t>давр принт</t>
  </si>
  <si>
    <t>оплата 19.03.26</t>
  </si>
  <si>
    <t>оплата 19.04.26</t>
  </si>
  <si>
    <t>март</t>
  </si>
  <si>
    <t>февраль</t>
  </si>
  <si>
    <t>январь</t>
  </si>
  <si>
    <t>№252</t>
  </si>
  <si>
    <t>№1949</t>
  </si>
  <si>
    <t>коракалпок принт</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</si>
</sst>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_-* #,##0.00_-;\-* #,##0.00_-;_-* &quot;-&quot;??_-;_-@_-"/>
    <numFmt numFmtId="166" formatCode="_-* #,##0_-;\-* #,##0_-;_-* &quot;-&quot;??_-;_-@_-"/>
  </numFmts>
  <fonts count="21" x14ac:knownFonts="1">
    <font>
      <sz val="11"/>
      <color theme="1"/>
      <name val="Calibri"/>
      <family val="2"/>
      <scheme val="minor"/>
    </font>
    <font>
      <sz val="11"/>
      <color theme="1"/>
      <name val="Calibri"/>
      <family val="2"/>
      <scheme val="minor"/>
    </font>
    <font>
      <sz val="11"/>
      <color rgb="FFFF0000"/>
      <name val="Calibri"/>
      <family val="2"/>
      <charset val="204"/>
      <scheme val="minor"/>
    </font>
    <font>
      <sz val="11"/>
      <color theme="1"/>
      <name val="Calibri"/>
      <family val="2"/>
      <charset val="204"/>
    </font>
    <font>
      <b/>
      <sz val="11"/>
      <color rgb="FF000000"/>
      <name val="Calibri"/>
      <family val="2"/>
      <charset val="204"/>
    </font>
    <font>
      <b/>
      <sz val="12"/>
      <color rgb="FF000000"/>
      <name val="Calibri"/>
      <family val="2"/>
      <charset val="204"/>
    </font>
    <font>
      <sz val="11"/>
      <color rgb="FF000000"/>
      <name val="Calibri"/>
      <family val="2"/>
      <charset val="204"/>
    </font>
    <font>
      <sz val="12"/>
      <color rgb="FF000000"/>
      <name val="Calibri"/>
      <family val="2"/>
      <charset val="204"/>
    </font>
    <font>
      <sz val="12"/>
      <color indexed="8"/>
      <name val="Calibri"/>
      <family val="2"/>
      <charset val="204"/>
    </font>
    <font>
      <sz val="11"/>
      <name val="Calibri"/>
      <family val="2"/>
      <charset val="204"/>
    </font>
    <font>
      <sz val="11"/>
      <color rgb="FFED0000"/>
      <name val="Calibri"/>
      <family val="2"/>
      <charset val="204"/>
    </font>
    <font>
      <sz val="11"/>
      <color rgb="FFED0000"/>
      <name val="Calibri"/>
      <family val="2"/>
      <charset val="204"/>
      <scheme val="minor"/>
    </font>
    <font>
      <sz val="11"/>
      <color rgb="FFFF0000"/>
      <name val="Calibri"/>
      <family val="2"/>
      <charset val="204"/>
    </font>
    <font>
      <sz val="11"/>
      <name val="Calibri"/>
      <family val="2"/>
      <charset val="204"/>
      <scheme val="minor"/>
    </font>
    <font>
      <sz val="12"/>
      <name val="Calibri"/>
      <family val="2"/>
      <charset val="204"/>
    </font>
    <font>
      <b/>
      <sz val="9"/>
      <color indexed="81"/>
      <name val="Tahoma"/>
      <family val="2"/>
      <charset val="204"/>
    </font>
    <font>
      <sz val="9"/>
      <color indexed="81"/>
      <name val="Tahoma"/>
      <family val="2"/>
      <charset val="204"/>
    </font>
    <font>
      <sz val="11"/>
      <color rgb="FFED0000"/>
      <name val="Calibri"/>
      <family val="2"/>
      <scheme val="minor"/>
    </font>
    <font>
      <sz val="11"/>
      <color rgb="FFFF0000"/>
      <name val="Calibri"/>
      <family val="2"/>
      <scheme val="minor"/>
    </font>
    <font>
      <sz val="11"/>
      <name val="Calibri"/>
      <family val="2"/>
      <scheme val="minor"/>
    </font>
    <font>
      <sz val="8"/>
      <name val="Calibri"/>
      <family val="2"/>
      <scheme val="minor"/>
    </font>
  </fonts>
  <fills count="15">
    <fill>
      <patternFill patternType="none"/>
    </fill>
    <fill>
      <patternFill patternType="gray125"/>
    </fill>
    <fill>
      <patternFill patternType="solid">
        <fgColor rgb="FFFFFFFF"/>
        <bgColor rgb="FF000000"/>
      </patternFill>
    </fill>
    <fill>
      <patternFill patternType="solid">
        <fgColor rgb="FF92D050"/>
        <bgColor rgb="FF000000"/>
      </patternFill>
    </fill>
    <fill>
      <patternFill patternType="solid">
        <fgColor rgb="FFFF0000"/>
        <bgColor rgb="FF000000"/>
      </patternFill>
    </fill>
    <fill>
      <patternFill patternType="solid">
        <fgColor rgb="FF00B0F0"/>
        <bgColor rgb="FF000000"/>
      </patternFill>
    </fill>
    <fill>
      <patternFill patternType="solid">
        <fgColor rgb="FFFFFF00"/>
        <bgColor rgb="FF000000"/>
      </patternFill>
    </fill>
    <fill>
      <patternFill patternType="solid">
        <fgColor rgb="FFFFFF00"/>
        <bgColor indexed="64"/>
      </patternFill>
    </fill>
    <fill>
      <patternFill patternType="solid">
        <fgColor rgb="FF00B050"/>
        <bgColor rgb="FF000000"/>
      </patternFill>
    </fill>
    <fill>
      <patternFill patternType="solid">
        <fgColor rgb="FF00B0F0"/>
        <bgColor indexed="64"/>
      </patternFill>
    </fill>
    <fill>
      <patternFill patternType="solid">
        <fgColor rgb="FF00B050"/>
        <bgColor indexed="64"/>
      </patternFill>
    </fill>
    <fill>
      <patternFill patternType="solid">
        <fgColor rgb="FFFF0000"/>
        <bgColor indexed="64"/>
      </patternFill>
    </fill>
    <fill>
      <patternFill patternType="solid">
        <fgColor indexed="10"/>
        <bgColor indexed="64"/>
      </patternFill>
    </fill>
    <fill>
      <patternFill patternType="solid">
        <fgColor theme="0"/>
        <bgColor indexed="64"/>
      </patternFill>
    </fill>
    <fill>
      <patternFill patternType="solid">
        <fgColor rgb="FFFFC000"/>
        <bgColor indexed="64"/>
      </patternFill>
    </fill>
  </fills>
  <borders count="10">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cellStyleXfs>
  <cellXfs count="151">
    <xf numFmtId="0" fontId="0" fillId="0" borderId="0" xfId="0"/>
    <xf numFmtId="0" fontId="4" fillId="0" borderId="2" xfId="0" applyFont="1" applyBorder="1" applyAlignment="1">
      <alignment horizontal="center" vertical="center" wrapText="1"/>
    </xf>
    <xf numFmtId="0" fontId="5" fillId="0" borderId="2" xfId="0" applyFont="1" applyBorder="1" applyAlignment="1">
      <alignment vertical="center" wrapText="1"/>
    </xf>
    <xf numFmtId="0" fontId="4" fillId="0" borderId="2" xfId="0" applyFont="1" applyBorder="1" applyAlignment="1">
      <alignment vertical="center" wrapText="1"/>
    </xf>
    <xf numFmtId="3" fontId="4" fillId="0" borderId="2" xfId="0" applyNumberFormat="1" applyFont="1" applyBorder="1" applyAlignment="1">
      <alignment horizontal="center" vertical="center" wrapText="1"/>
    </xf>
    <xf numFmtId="0" fontId="4" fillId="2" borderId="2" xfId="0" applyFont="1" applyFill="1" applyBorder="1" applyAlignment="1">
      <alignment horizontal="center" vertical="center" wrapText="1"/>
    </xf>
    <xf numFmtId="14" fontId="6" fillId="3" borderId="2" xfId="0" applyNumberFormat="1" applyFont="1" applyFill="1" applyBorder="1" applyAlignment="1">
      <alignment horizontal="center"/>
    </xf>
    <xf numFmtId="0" fontId="6" fillId="0" borderId="2" xfId="0" applyFont="1" applyBorder="1" applyAlignment="1">
      <alignment horizontal="center"/>
    </xf>
    <xf numFmtId="0" fontId="6" fillId="0" borderId="2" xfId="0" applyFont="1" applyBorder="1" applyAlignment="1" applyProtection="1">
      <alignment horizontal="center" vertical="center"/>
      <protection locked="0"/>
    </xf>
    <xf numFmtId="0" fontId="6" fillId="0" borderId="2" xfId="0" applyFont="1" applyBorder="1" applyAlignment="1" applyProtection="1">
      <alignment horizontal="center"/>
      <protection locked="0"/>
    </xf>
    <xf numFmtId="0" fontId="0" fillId="0" borderId="2" xfId="0" applyBorder="1" applyAlignment="1">
      <alignment horizontal="center"/>
    </xf>
    <xf numFmtId="0" fontId="7" fillId="4" borderId="2" xfId="0" applyFont="1" applyFill="1" applyBorder="1" applyAlignment="1">
      <alignment horizontal="center"/>
    </xf>
    <xf numFmtId="3" fontId="6" fillId="0" borderId="2" xfId="0" applyNumberFormat="1" applyFont="1" applyBorder="1" applyAlignment="1">
      <alignment horizontal="center"/>
    </xf>
    <xf numFmtId="3" fontId="6" fillId="0" borderId="2" xfId="0" applyNumberFormat="1" applyFont="1" applyBorder="1" applyAlignment="1">
      <alignment horizontal="center" vertical="center"/>
    </xf>
    <xf numFmtId="14" fontId="6" fillId="0" borderId="2" xfId="0" applyNumberFormat="1" applyFont="1" applyBorder="1" applyAlignment="1">
      <alignment horizontal="center"/>
    </xf>
    <xf numFmtId="14" fontId="6" fillId="5" borderId="2" xfId="0" applyNumberFormat="1" applyFont="1" applyFill="1" applyBorder="1" applyAlignment="1">
      <alignment horizontal="center"/>
    </xf>
    <xf numFmtId="0" fontId="6" fillId="0" borderId="2" xfId="0" applyFont="1" applyBorder="1" applyAlignment="1">
      <alignment horizontal="center" vertical="center"/>
    </xf>
    <xf numFmtId="0" fontId="7" fillId="6" borderId="2" xfId="0" applyFont="1" applyFill="1" applyBorder="1" applyAlignment="1">
      <alignment horizontal="center"/>
    </xf>
    <xf numFmtId="14" fontId="3" fillId="5" borderId="2" xfId="0" applyNumberFormat="1" applyFont="1" applyFill="1" applyBorder="1" applyAlignment="1">
      <alignment horizontal="center"/>
    </xf>
    <xf numFmtId="0" fontId="3" fillId="0" borderId="2" xfId="0" applyFont="1" applyBorder="1" applyAlignment="1">
      <alignment horizontal="center"/>
    </xf>
    <xf numFmtId="0" fontId="3" fillId="0" borderId="2" xfId="0" applyFont="1" applyBorder="1" applyAlignment="1">
      <alignment horizontal="center" vertical="center"/>
    </xf>
    <xf numFmtId="0" fontId="3" fillId="7" borderId="2" xfId="0" applyFont="1" applyFill="1" applyBorder="1" applyAlignment="1">
      <alignment horizontal="center"/>
    </xf>
    <xf numFmtId="0" fontId="7" fillId="8" borderId="2" xfId="0" applyFont="1" applyFill="1" applyBorder="1" applyAlignment="1">
      <alignment horizontal="center"/>
    </xf>
    <xf numFmtId="0" fontId="6" fillId="7" borderId="2" xfId="0" applyFont="1" applyFill="1" applyBorder="1" applyAlignment="1">
      <alignment horizontal="center"/>
    </xf>
    <xf numFmtId="14" fontId="3" fillId="5" borderId="4" xfId="0" applyNumberFormat="1" applyFont="1" applyFill="1" applyBorder="1" applyAlignment="1">
      <alignment horizontal="center"/>
    </xf>
    <xf numFmtId="0" fontId="3" fillId="7" borderId="4" xfId="0" applyFont="1" applyFill="1" applyBorder="1" applyAlignment="1">
      <alignment horizontal="center"/>
    </xf>
    <xf numFmtId="0" fontId="3" fillId="0" borderId="4" xfId="0" applyFont="1" applyBorder="1" applyAlignment="1">
      <alignment horizontal="center"/>
    </xf>
    <xf numFmtId="0" fontId="7" fillId="8" borderId="4" xfId="0" applyFont="1" applyFill="1" applyBorder="1" applyAlignment="1">
      <alignment horizontal="center"/>
    </xf>
    <xf numFmtId="14" fontId="0" fillId="9" borderId="2" xfId="0" applyNumberFormat="1" applyFill="1" applyBorder="1" applyAlignment="1">
      <alignment horizontal="center"/>
    </xf>
    <xf numFmtId="0" fontId="8" fillId="10" borderId="2" xfId="0" applyFont="1" applyFill="1" applyBorder="1" applyAlignment="1">
      <alignment horizontal="center"/>
    </xf>
    <xf numFmtId="14" fontId="0" fillId="9" borderId="5" xfId="0" applyNumberFormat="1" applyFill="1" applyBorder="1" applyAlignment="1">
      <alignment horizontal="center"/>
    </xf>
    <xf numFmtId="0" fontId="0" fillId="0" borderId="5" xfId="0" applyBorder="1" applyAlignment="1">
      <alignment horizontal="center"/>
    </xf>
    <xf numFmtId="0" fontId="7" fillId="8" borderId="5" xfId="0" applyFont="1" applyFill="1" applyBorder="1" applyAlignment="1">
      <alignment horizontal="center"/>
    </xf>
    <xf numFmtId="0" fontId="3" fillId="0" borderId="5" xfId="0" applyFont="1" applyBorder="1" applyAlignment="1">
      <alignment horizontal="center"/>
    </xf>
    <xf numFmtId="3" fontId="6" fillId="0" borderId="5" xfId="0" applyNumberFormat="1" applyFont="1" applyBorder="1" applyAlignment="1">
      <alignment horizontal="center"/>
    </xf>
    <xf numFmtId="3" fontId="6" fillId="0" borderId="5" xfId="0" applyNumberFormat="1" applyFont="1" applyBorder="1" applyAlignment="1">
      <alignment horizontal="center" vertical="center"/>
    </xf>
    <xf numFmtId="14" fontId="6" fillId="0" borderId="5" xfId="0" applyNumberFormat="1" applyFont="1" applyBorder="1" applyAlignment="1">
      <alignment horizontal="center"/>
    </xf>
    <xf numFmtId="14" fontId="0" fillId="9" borderId="6" xfId="0" applyNumberFormat="1" applyFill="1" applyBorder="1" applyAlignment="1">
      <alignment horizontal="center"/>
    </xf>
    <xf numFmtId="0" fontId="0" fillId="0" borderId="6" xfId="0" applyBorder="1" applyAlignment="1">
      <alignment horizontal="center"/>
    </xf>
    <xf numFmtId="0" fontId="8" fillId="10" borderId="6" xfId="0" applyFont="1" applyFill="1" applyBorder="1" applyAlignment="1">
      <alignment horizontal="center"/>
    </xf>
    <xf numFmtId="0" fontId="3" fillId="0" borderId="6" xfId="0" applyFont="1" applyBorder="1" applyAlignment="1">
      <alignment horizontal="center"/>
    </xf>
    <xf numFmtId="3" fontId="6" fillId="0" borderId="6" xfId="0" applyNumberFormat="1" applyFont="1" applyBorder="1" applyAlignment="1">
      <alignment horizontal="center"/>
    </xf>
    <xf numFmtId="3" fontId="6" fillId="0" borderId="6" xfId="0" applyNumberFormat="1" applyFont="1" applyBorder="1" applyAlignment="1">
      <alignment horizontal="center" vertical="center"/>
    </xf>
    <xf numFmtId="14" fontId="6" fillId="0" borderId="6" xfId="0" applyNumberFormat="1" applyFont="1" applyBorder="1" applyAlignment="1">
      <alignment horizontal="center"/>
    </xf>
    <xf numFmtId="14" fontId="0" fillId="9" borderId="7" xfId="0" applyNumberFormat="1" applyFill="1" applyBorder="1" applyAlignment="1">
      <alignment horizontal="center"/>
    </xf>
    <xf numFmtId="0" fontId="0" fillId="0" borderId="7" xfId="0" applyBorder="1" applyAlignment="1">
      <alignment horizontal="center"/>
    </xf>
    <xf numFmtId="0" fontId="7" fillId="8" borderId="7" xfId="0" applyFont="1" applyFill="1" applyBorder="1" applyAlignment="1">
      <alignment horizontal="center"/>
    </xf>
    <xf numFmtId="0" fontId="3" fillId="0" borderId="7" xfId="0" applyFont="1" applyBorder="1" applyAlignment="1">
      <alignment horizontal="center"/>
    </xf>
    <xf numFmtId="3" fontId="6" fillId="0" borderId="7" xfId="0" applyNumberFormat="1" applyFont="1" applyBorder="1" applyAlignment="1">
      <alignment horizontal="center"/>
    </xf>
    <xf numFmtId="3" fontId="6" fillId="0" borderId="7" xfId="0" applyNumberFormat="1" applyFont="1" applyBorder="1" applyAlignment="1">
      <alignment horizontal="center" vertical="center"/>
    </xf>
    <xf numFmtId="14" fontId="6" fillId="0" borderId="7" xfId="0" applyNumberFormat="1" applyFont="1" applyBorder="1" applyAlignment="1">
      <alignment horizontal="center"/>
    </xf>
    <xf numFmtId="0" fontId="8" fillId="10" borderId="5" xfId="0" applyFont="1" applyFill="1" applyBorder="1" applyAlignment="1">
      <alignment horizontal="center"/>
    </xf>
    <xf numFmtId="0" fontId="8" fillId="11" borderId="2" xfId="0" applyFont="1" applyFill="1" applyBorder="1" applyAlignment="1">
      <alignment horizontal="center"/>
    </xf>
    <xf numFmtId="14" fontId="0" fillId="9" borderId="8" xfId="0" applyNumberFormat="1" applyFill="1" applyBorder="1" applyAlignment="1">
      <alignment horizontal="center"/>
    </xf>
    <xf numFmtId="0" fontId="0" fillId="0" borderId="8" xfId="0" applyBorder="1" applyAlignment="1">
      <alignment horizontal="center"/>
    </xf>
    <xf numFmtId="0" fontId="8" fillId="10" borderId="8" xfId="0" applyFont="1" applyFill="1" applyBorder="1" applyAlignment="1">
      <alignment horizontal="center"/>
    </xf>
    <xf numFmtId="3" fontId="6" fillId="0" borderId="8" xfId="0" applyNumberFormat="1" applyFont="1" applyBorder="1" applyAlignment="1">
      <alignment horizontal="center"/>
    </xf>
    <xf numFmtId="3" fontId="6" fillId="0" borderId="8" xfId="0" applyNumberFormat="1" applyFont="1" applyBorder="1" applyAlignment="1">
      <alignment horizontal="center" vertical="center"/>
    </xf>
    <xf numFmtId="14" fontId="6" fillId="0" borderId="8" xfId="0" applyNumberFormat="1" applyFont="1" applyBorder="1" applyAlignment="1">
      <alignment horizontal="center"/>
    </xf>
    <xf numFmtId="0" fontId="8" fillId="10" borderId="7" xfId="0" applyFont="1" applyFill="1" applyBorder="1" applyAlignment="1">
      <alignment horizontal="center"/>
    </xf>
    <xf numFmtId="0" fontId="9" fillId="0" borderId="2" xfId="0" applyFont="1" applyBorder="1" applyAlignment="1">
      <alignment horizontal="center"/>
    </xf>
    <xf numFmtId="0" fontId="10" fillId="0" borderId="2" xfId="0" applyFont="1" applyBorder="1" applyAlignment="1">
      <alignment horizontal="center"/>
    </xf>
    <xf numFmtId="0" fontId="11" fillId="0" borderId="2" xfId="0" applyFont="1" applyBorder="1" applyAlignment="1">
      <alignment horizontal="center"/>
    </xf>
    <xf numFmtId="0" fontId="2" fillId="0" borderId="2" xfId="0" applyFont="1" applyBorder="1" applyAlignment="1">
      <alignment horizontal="center"/>
    </xf>
    <xf numFmtId="0" fontId="8" fillId="11" borderId="5" xfId="0" applyFont="1" applyFill="1" applyBorder="1" applyAlignment="1">
      <alignment horizontal="center"/>
    </xf>
    <xf numFmtId="14" fontId="0" fillId="9" borderId="4" xfId="0" applyNumberFormat="1" applyFill="1" applyBorder="1" applyAlignment="1">
      <alignment horizontal="center"/>
    </xf>
    <xf numFmtId="0" fontId="0" fillId="0" borderId="4" xfId="0" applyBorder="1" applyAlignment="1">
      <alignment horizontal="center"/>
    </xf>
    <xf numFmtId="3" fontId="6" fillId="0" borderId="4" xfId="0" applyNumberFormat="1" applyFont="1" applyBorder="1" applyAlignment="1">
      <alignment horizontal="center"/>
    </xf>
    <xf numFmtId="3" fontId="6" fillId="0" borderId="4" xfId="0" applyNumberFormat="1" applyFont="1" applyBorder="1" applyAlignment="1">
      <alignment horizontal="center" vertical="center"/>
    </xf>
    <xf numFmtId="14" fontId="6" fillId="0" borderId="4" xfId="0" applyNumberFormat="1" applyFont="1" applyBorder="1" applyAlignment="1">
      <alignment horizontal="center"/>
    </xf>
    <xf numFmtId="0" fontId="8" fillId="12" borderId="2" xfId="0" applyFont="1" applyFill="1" applyBorder="1" applyAlignment="1">
      <alignment horizontal="center"/>
    </xf>
    <xf numFmtId="0" fontId="13" fillId="0" borderId="2" xfId="0" applyFont="1" applyBorder="1" applyAlignment="1">
      <alignment horizontal="center"/>
    </xf>
    <xf numFmtId="0" fontId="2" fillId="0" borderId="5" xfId="0" applyFont="1" applyBorder="1" applyAlignment="1">
      <alignment horizontal="center"/>
    </xf>
    <xf numFmtId="0" fontId="12" fillId="0" borderId="2" xfId="0" applyFont="1" applyBorder="1" applyAlignment="1">
      <alignment horizontal="center"/>
    </xf>
    <xf numFmtId="0" fontId="14" fillId="11" borderId="2" xfId="0" applyFont="1" applyFill="1" applyBorder="1" applyAlignment="1">
      <alignment horizontal="center"/>
    </xf>
    <xf numFmtId="3" fontId="6" fillId="13" borderId="2" xfId="0" applyNumberFormat="1" applyFont="1" applyFill="1" applyBorder="1" applyAlignment="1">
      <alignment horizontal="center"/>
    </xf>
    <xf numFmtId="14" fontId="6" fillId="13" borderId="2" xfId="0" applyNumberFormat="1" applyFont="1" applyFill="1" applyBorder="1" applyAlignment="1">
      <alignment horizontal="center"/>
    </xf>
    <xf numFmtId="0" fontId="0" fillId="7" borderId="2" xfId="0" applyFill="1" applyBorder="1" applyAlignment="1">
      <alignment horizontal="center"/>
    </xf>
    <xf numFmtId="0" fontId="0" fillId="14" borderId="2" xfId="0" applyFill="1" applyBorder="1" applyAlignment="1">
      <alignment horizontal="center"/>
    </xf>
    <xf numFmtId="3" fontId="6" fillId="13" borderId="5" xfId="0" applyNumberFormat="1" applyFont="1" applyFill="1" applyBorder="1" applyAlignment="1">
      <alignment horizontal="center"/>
    </xf>
    <xf numFmtId="14" fontId="6" fillId="13" borderId="5" xfId="0" applyNumberFormat="1" applyFont="1" applyFill="1" applyBorder="1" applyAlignment="1">
      <alignment horizontal="center"/>
    </xf>
    <xf numFmtId="9" fontId="0" fillId="0" borderId="2" xfId="1" applyFont="1" applyFill="1" applyBorder="1" applyAlignment="1">
      <alignment horizontal="center"/>
    </xf>
    <xf numFmtId="14" fontId="0" fillId="0" borderId="2" xfId="0" applyNumberFormat="1" applyBorder="1" applyAlignment="1">
      <alignment horizontal="center"/>
    </xf>
    <xf numFmtId="0" fontId="14" fillId="10" borderId="2" xfId="0" applyFont="1" applyFill="1" applyBorder="1" applyAlignment="1">
      <alignment horizontal="center"/>
    </xf>
    <xf numFmtId="0" fontId="8" fillId="10" borderId="4" xfId="0" applyFont="1" applyFill="1" applyBorder="1" applyAlignment="1">
      <alignment horizontal="center"/>
    </xf>
    <xf numFmtId="0" fontId="0" fillId="13" borderId="2" xfId="0" applyFill="1" applyBorder="1" applyAlignment="1">
      <alignment horizontal="center"/>
    </xf>
    <xf numFmtId="0" fontId="8" fillId="9" borderId="2" xfId="0" applyFont="1" applyFill="1" applyBorder="1" applyAlignment="1">
      <alignment horizontal="center"/>
    </xf>
    <xf numFmtId="0" fontId="17" fillId="0" borderId="2" xfId="0" applyFont="1" applyBorder="1" applyAlignment="1">
      <alignment horizontal="center"/>
    </xf>
    <xf numFmtId="0" fontId="18" fillId="0" borderId="2" xfId="0" applyFont="1" applyBorder="1" applyAlignment="1">
      <alignment horizontal="center"/>
    </xf>
    <xf numFmtId="0" fontId="18" fillId="0" borderId="5" xfId="0" applyFont="1" applyBorder="1" applyAlignment="1">
      <alignment horizontal="center"/>
    </xf>
    <xf numFmtId="0" fontId="12" fillId="0" borderId="5" xfId="0" applyFont="1" applyBorder="1" applyAlignment="1">
      <alignment horizontal="center"/>
    </xf>
    <xf numFmtId="0" fontId="13" fillId="0" borderId="5" xfId="0" applyFont="1" applyBorder="1" applyAlignment="1">
      <alignment horizontal="center"/>
    </xf>
    <xf numFmtId="0" fontId="9" fillId="0" borderId="4" xfId="0" applyFont="1" applyBorder="1" applyAlignment="1">
      <alignment horizontal="center"/>
    </xf>
    <xf numFmtId="0" fontId="0" fillId="0" borderId="4" xfId="0" applyBorder="1" applyAlignment="1">
      <alignment horizontal="center" vertical="center"/>
    </xf>
    <xf numFmtId="0" fontId="0" fillId="0" borderId="2" xfId="2" applyNumberFormat="1" applyFont="1" applyFill="1" applyBorder="1" applyAlignment="1">
      <alignment horizontal="center"/>
    </xf>
    <xf numFmtId="0" fontId="19" fillId="0" borderId="2" xfId="0" applyFont="1" applyBorder="1" applyAlignment="1">
      <alignment horizontal="center"/>
    </xf>
    <xf numFmtId="9" fontId="0" fillId="0" borderId="2" xfId="3" applyFont="1" applyFill="1" applyBorder="1" applyAlignment="1">
      <alignment horizontal="center"/>
    </xf>
    <xf numFmtId="9" fontId="0" fillId="0" borderId="5" xfId="3" applyFont="1" applyFill="1" applyBorder="1" applyAlignment="1">
      <alignment horizontal="center"/>
    </xf>
    <xf numFmtId="9" fontId="0" fillId="0" borderId="4" xfId="3" applyFont="1" applyFill="1" applyBorder="1" applyAlignment="1">
      <alignment horizontal="center"/>
    </xf>
    <xf numFmtId="14" fontId="17" fillId="0" borderId="5" xfId="0" applyNumberFormat="1" applyFont="1" applyBorder="1" applyAlignment="1">
      <alignment horizontal="center"/>
    </xf>
    <xf numFmtId="0" fontId="13" fillId="0" borderId="7" xfId="0" applyFont="1" applyBorder="1" applyAlignment="1">
      <alignment horizontal="center"/>
    </xf>
    <xf numFmtId="0" fontId="19" fillId="0" borderId="5" xfId="0" applyFont="1" applyBorder="1" applyAlignment="1">
      <alignment horizontal="center"/>
    </xf>
    <xf numFmtId="0" fontId="18" fillId="0" borderId="4" xfId="0" applyFont="1" applyBorder="1" applyAlignment="1">
      <alignment horizontal="center"/>
    </xf>
    <xf numFmtId="0" fontId="8" fillId="9" borderId="5" xfId="0" applyFont="1" applyFill="1" applyBorder="1" applyAlignment="1">
      <alignment horizontal="center"/>
    </xf>
    <xf numFmtId="14" fontId="0" fillId="0" borderId="4" xfId="0" applyNumberFormat="1" applyBorder="1" applyAlignment="1">
      <alignment horizontal="center"/>
    </xf>
    <xf numFmtId="0" fontId="8" fillId="9" borderId="8" xfId="0" applyFont="1" applyFill="1" applyBorder="1" applyAlignment="1">
      <alignment horizontal="center"/>
    </xf>
    <xf numFmtId="14" fontId="13" fillId="0" borderId="2" xfId="0" applyNumberFormat="1" applyFont="1" applyBorder="1" applyAlignment="1">
      <alignment horizontal="center"/>
    </xf>
    <xf numFmtId="0" fontId="4" fillId="0" borderId="1" xfId="0" applyFont="1" applyBorder="1" applyAlignment="1">
      <alignment vertical="center" wrapText="1"/>
    </xf>
    <xf numFmtId="0" fontId="4" fillId="0" borderId="4" xfId="0" applyFont="1" applyBorder="1" applyAlignment="1">
      <alignment vertical="center" wrapText="1"/>
    </xf>
    <xf numFmtId="14" fontId="17" fillId="0" borderId="2" xfId="0" applyNumberFormat="1" applyFont="1" applyBorder="1" applyAlignment="1">
      <alignment horizontal="center"/>
    </xf>
    <xf numFmtId="0" fontId="9" fillId="0" borderId="7" xfId="0" applyFont="1" applyBorder="1" applyAlignment="1">
      <alignment horizontal="center"/>
    </xf>
    <xf numFmtId="0" fontId="8" fillId="11" borderId="7" xfId="0" applyFont="1" applyFill="1" applyBorder="1" applyAlignment="1">
      <alignment horizontal="center"/>
    </xf>
    <xf numFmtId="0" fontId="11" fillId="0" borderId="7" xfId="0" applyFont="1" applyBorder="1" applyAlignment="1">
      <alignment horizontal="center"/>
    </xf>
    <xf numFmtId="0" fontId="11" fillId="0" borderId="5" xfId="0" applyFont="1" applyBorder="1" applyAlignment="1">
      <alignment horizontal="center"/>
    </xf>
    <xf numFmtId="0" fontId="8" fillId="11" borderId="4" xfId="0" applyFont="1" applyFill="1" applyBorder="1" applyAlignment="1">
      <alignment horizontal="center"/>
    </xf>
    <xf numFmtId="0" fontId="8" fillId="7" borderId="2" xfId="0" applyFont="1" applyFill="1" applyBorder="1" applyAlignment="1">
      <alignment horizontal="center"/>
    </xf>
    <xf numFmtId="0" fontId="8" fillId="7" borderId="5" xfId="0" applyFont="1" applyFill="1" applyBorder="1" applyAlignment="1">
      <alignment horizontal="center"/>
    </xf>
    <xf numFmtId="0" fontId="19" fillId="0" borderId="4" xfId="0" applyFont="1" applyBorder="1" applyAlignment="1">
      <alignment horizontal="center"/>
    </xf>
    <xf numFmtId="14" fontId="19" fillId="0" borderId="2" xfId="0" applyNumberFormat="1" applyFont="1" applyBorder="1" applyAlignment="1">
      <alignment horizontal="center"/>
    </xf>
    <xf numFmtId="14" fontId="18" fillId="0" borderId="2" xfId="0" applyNumberFormat="1" applyFont="1" applyBorder="1" applyAlignment="1">
      <alignment horizontal="center"/>
    </xf>
    <xf numFmtId="0" fontId="0" fillId="0" borderId="2" xfId="0" applyBorder="1" applyAlignment="1">
      <alignment horizontal="center" vertical="center"/>
    </xf>
    <xf numFmtId="0" fontId="0" fillId="11" borderId="2" xfId="0" applyFill="1" applyBorder="1" applyAlignment="1">
      <alignment horizontal="center"/>
    </xf>
    <xf numFmtId="0" fontId="0" fillId="7" borderId="5" xfId="0" applyFill="1" applyBorder="1" applyAlignment="1">
      <alignment horizontal="center"/>
    </xf>
    <xf numFmtId="0" fontId="8" fillId="7" borderId="4" xfId="0" applyFont="1" applyFill="1" applyBorder="1" applyAlignment="1">
      <alignment horizontal="center"/>
    </xf>
    <xf numFmtId="0" fontId="8" fillId="9" borderId="4" xfId="0" applyFont="1" applyFill="1" applyBorder="1" applyAlignment="1">
      <alignment horizontal="center"/>
    </xf>
    <xf numFmtId="0" fontId="17" fillId="0" borderId="4" xfId="0" applyFont="1" applyBorder="1" applyAlignment="1">
      <alignment horizontal="center"/>
    </xf>
    <xf numFmtId="0" fontId="11" fillId="0" borderId="4" xfId="0" applyFont="1" applyBorder="1" applyAlignment="1">
      <alignment horizontal="center"/>
    </xf>
    <xf numFmtId="0" fontId="8" fillId="11" borderId="8" xfId="0" applyFont="1" applyFill="1" applyBorder="1" applyAlignment="1">
      <alignment horizontal="center"/>
    </xf>
    <xf numFmtId="0" fontId="0" fillId="7" borderId="4" xfId="0" applyFill="1" applyBorder="1" applyAlignment="1">
      <alignment horizontal="center"/>
    </xf>
    <xf numFmtId="0" fontId="9" fillId="0" borderId="5" xfId="0" applyFont="1" applyBorder="1" applyAlignment="1">
      <alignment horizontal="center"/>
    </xf>
    <xf numFmtId="0" fontId="18" fillId="0" borderId="8" xfId="0" applyFont="1" applyBorder="1" applyAlignment="1">
      <alignment horizontal="center"/>
    </xf>
    <xf numFmtId="0" fontId="0" fillId="0" borderId="2" xfId="0" applyFill="1" applyBorder="1" applyAlignment="1">
      <alignment horizontal="center"/>
    </xf>
    <xf numFmtId="3" fontId="6" fillId="7" borderId="2" xfId="0" applyNumberFormat="1" applyFont="1" applyFill="1" applyBorder="1" applyAlignment="1">
      <alignment horizontal="center"/>
    </xf>
    <xf numFmtId="3" fontId="6" fillId="7" borderId="5" xfId="0" applyNumberFormat="1" applyFont="1" applyFill="1" applyBorder="1" applyAlignment="1">
      <alignment horizontal="center"/>
    </xf>
    <xf numFmtId="14" fontId="4" fillId="0" borderId="1" xfId="0" applyNumberFormat="1" applyFont="1" applyBorder="1" applyAlignment="1">
      <alignment horizontal="center" vertical="center" wrapText="1"/>
    </xf>
    <xf numFmtId="14" fontId="4" fillId="0" borderId="3" xfId="0" applyNumberFormat="1" applyFont="1" applyBorder="1" applyAlignment="1">
      <alignment horizontal="center" vertical="center" wrapText="1"/>
    </xf>
    <xf numFmtId="14" fontId="4" fillId="0" borderId="4" xfId="0" applyNumberFormat="1" applyFont="1" applyBorder="1" applyAlignment="1">
      <alignment horizontal="center" vertical="center" wrapText="1"/>
    </xf>
    <xf numFmtId="0" fontId="4" fillId="0" borderId="1" xfId="0" applyFont="1" applyBorder="1" applyAlignment="1">
      <alignment horizontal="center" vertical="center" wrapText="1"/>
    </xf>
    <xf numFmtId="0" fontId="4" fillId="0" borderId="4" xfId="0" applyFont="1" applyBorder="1" applyAlignment="1">
      <alignment horizontal="center" vertical="center" wrapText="1"/>
    </xf>
    <xf numFmtId="0" fontId="4" fillId="2" borderId="1" xfId="0" applyFont="1" applyFill="1" applyBorder="1" applyAlignment="1">
      <alignment horizontal="center" vertical="center" wrapText="1"/>
    </xf>
    <xf numFmtId="0" fontId="4" fillId="2" borderId="4" xfId="0" applyFont="1" applyFill="1" applyBorder="1" applyAlignment="1">
      <alignment horizontal="center" vertical="center" wrapText="1"/>
    </xf>
    <xf numFmtId="0" fontId="4" fillId="0" borderId="2" xfId="0" applyFont="1" applyBorder="1" applyAlignment="1">
      <alignment horizontal="center" vertical="center" wrapText="1"/>
    </xf>
    <xf numFmtId="3" fontId="4" fillId="0" borderId="2" xfId="0" applyNumberFormat="1" applyFont="1" applyBorder="1" applyAlignment="1">
      <alignment horizontal="center" vertical="center" wrapText="1"/>
    </xf>
    <xf numFmtId="0" fontId="4" fillId="0" borderId="3" xfId="0" applyFont="1" applyBorder="1" applyAlignment="1">
      <alignment horizontal="center" vertical="center" wrapText="1"/>
    </xf>
    <xf numFmtId="0" fontId="4" fillId="2" borderId="3" xfId="0" applyFont="1" applyFill="1" applyBorder="1" applyAlignment="1">
      <alignment horizontal="center" vertical="center" wrapText="1"/>
    </xf>
    <xf numFmtId="3" fontId="4" fillId="0" borderId="2" xfId="0" applyNumberFormat="1" applyFont="1" applyBorder="1" applyAlignment="1">
      <alignment horizontal="center" wrapText="1"/>
    </xf>
    <xf numFmtId="166" fontId="0" fillId="0" borderId="2" xfId="2" applyNumberFormat="1" applyFont="1" applyBorder="1" applyAlignment="1">
      <alignment horizontal="center"/>
    </xf>
    <xf numFmtId="166" fontId="0" fillId="0" borderId="5" xfId="2" applyNumberFormat="1" applyFont="1" applyBorder="1" applyAlignment="1">
      <alignment horizontal="center"/>
    </xf>
    <xf numFmtId="0" fontId="0" fillId="0" borderId="9" xfId="0" applyBorder="1"/>
    <xf numFmtId="3" fontId="6" fillId="0" borderId="2" xfId="0" applyNumberFormat="1" applyFont="1" applyFill="1" applyBorder="1" applyAlignment="1">
      <alignment horizontal="center"/>
    </xf>
    <xf numFmtId="3" fontId="6" fillId="0" borderId="5" xfId="0" applyNumberFormat="1" applyFont="1" applyFill="1" applyBorder="1" applyAlignment="1">
      <alignment horizontal="center"/>
    </xf>
  </cellXfs>
  <cellStyles count="4">
    <cellStyle name="Обычный" xfId="0" builtinId="0"/>
    <cellStyle name="Процентный" xfId="3" builtinId="5"/>
    <cellStyle name="Процентный 2" xfId="1"/>
    <cellStyle name="Финансовый" xfId="2" builtinId="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dimension ref="A1:AB754"/>
  <sheetViews>
    <sheetView zoomScale="130" zoomScaleNormal="130" workbookViewId="0">
      <pane xSplit="10" ySplit="3" topLeftCell="K292" activePane="bottomRight" state="frozen"/>
      <selection pane="topRight" activeCell="K1" sqref="K1"/>
      <selection pane="bottomLeft" activeCell="A4" sqref="A4"/>
      <selection pane="bottomRight" activeCell="D760" sqref="D760"/>
    </sheetView>
  </sheetViews>
  <sheetFormatPr defaultRowHeight="15" x14ac:dyDescent="0.25"/>
  <cols>
    <col min="1" max="1" width="11.28515625" bestFit="1" customWidth="1"/>
    <col min="2" max="2" width="26.28515625" bestFit="1" customWidth="1"/>
    <col min="3" max="3" width="11.42578125" bestFit="1" customWidth="1"/>
    <col min="4" max="4" width="10.140625" bestFit="1" customWidth="1"/>
    <col min="5" max="5" width="23.42578125" bestFit="1" customWidth="1"/>
    <col min="6" max="6" width="7" bestFit="1" customWidth="1"/>
    <col min="7" max="7" width="7.5703125" bestFit="1" customWidth="1"/>
    <col min="8" max="8" width="9" bestFit="1" customWidth="1"/>
    <col min="9" max="9" width="12.28515625" bestFit="1" customWidth="1"/>
    <col min="10" max="10" width="4.7109375" bestFit="1" customWidth="1"/>
    <col min="11" max="11" width="15.85546875" bestFit="1" customWidth="1"/>
    <col min="12" max="14" width="10.85546875" bestFit="1" customWidth="1"/>
    <col min="15" max="16" width="12" bestFit="1" customWidth="1"/>
    <col min="17" max="20" width="10.85546875" bestFit="1" customWidth="1"/>
    <col min="21" max="21" width="13.42578125" bestFit="1" customWidth="1"/>
    <col min="22" max="22" width="13.28515625" bestFit="1" customWidth="1"/>
    <col min="23" max="23" width="9.7109375" bestFit="1" customWidth="1"/>
    <col min="24" max="24" width="9.7109375" customWidth="1"/>
    <col min="25" max="25" width="9.42578125" customWidth="1"/>
    <col min="27" max="27" width="12.5703125" bestFit="1" customWidth="1"/>
    <col min="28" max="28" width="11.28515625" bestFit="1" customWidth="1"/>
  </cols>
  <sheetData>
    <row r="1" spans="1:28" ht="43.15" customHeight="1" x14ac:dyDescent="0.25">
      <c r="A1" s="137" t="s">
        <v>0</v>
      </c>
      <c r="B1" s="139" t="s">
        <v>1</v>
      </c>
      <c r="C1" s="1" t="s">
        <v>572</v>
      </c>
      <c r="D1" s="1"/>
      <c r="E1" s="141" t="s">
        <v>2</v>
      </c>
      <c r="F1" s="141"/>
      <c r="G1" s="141"/>
      <c r="H1" s="141"/>
      <c r="I1" s="141"/>
      <c r="J1" s="2" t="s">
        <v>3</v>
      </c>
      <c r="K1" s="3" t="s">
        <v>4</v>
      </c>
      <c r="L1" s="142" t="s">
        <v>5</v>
      </c>
      <c r="M1" s="142"/>
      <c r="N1" s="142"/>
      <c r="O1" s="142"/>
      <c r="P1" s="142"/>
      <c r="Q1" s="142"/>
      <c r="R1" s="142"/>
      <c r="S1" s="142"/>
      <c r="T1" s="142"/>
      <c r="U1" s="142"/>
      <c r="V1" s="142"/>
      <c r="W1" s="142"/>
      <c r="X1" s="142"/>
      <c r="Y1" s="142"/>
      <c r="Z1" s="142"/>
      <c r="AA1" s="1" t="s">
        <v>573</v>
      </c>
      <c r="AB1" s="134" t="s">
        <v>6</v>
      </c>
    </row>
    <row r="2" spans="1:28" ht="14.45" customHeight="1" x14ac:dyDescent="0.25">
      <c r="A2" s="143"/>
      <c r="B2" s="144"/>
      <c r="C2" s="137" t="s">
        <v>7</v>
      </c>
      <c r="D2" s="137"/>
      <c r="E2" s="139" t="s">
        <v>8</v>
      </c>
      <c r="F2" s="139" t="s">
        <v>9</v>
      </c>
      <c r="G2" s="137" t="s">
        <v>10</v>
      </c>
      <c r="H2" s="141" t="s">
        <v>11</v>
      </c>
      <c r="I2" s="141"/>
      <c r="J2" s="2"/>
      <c r="K2" s="3"/>
      <c r="L2" s="145" t="s">
        <v>12</v>
      </c>
      <c r="M2" s="145"/>
      <c r="N2" s="145"/>
      <c r="O2" s="145" t="s">
        <v>13</v>
      </c>
      <c r="P2" s="145"/>
      <c r="Q2" s="145"/>
      <c r="R2" s="145" t="s">
        <v>14</v>
      </c>
      <c r="S2" s="145"/>
      <c r="T2" s="145"/>
      <c r="U2" s="142" t="s">
        <v>15</v>
      </c>
      <c r="V2" s="142"/>
      <c r="W2" s="142"/>
      <c r="X2" s="142" t="s">
        <v>16</v>
      </c>
      <c r="Y2" s="142"/>
      <c r="Z2" s="142"/>
      <c r="AA2" s="137" t="s">
        <v>7</v>
      </c>
      <c r="AB2" s="135"/>
    </row>
    <row r="3" spans="1:28" ht="14.45" customHeight="1" x14ac:dyDescent="0.25">
      <c r="A3" s="138"/>
      <c r="B3" s="140"/>
      <c r="C3" s="138"/>
      <c r="D3" s="138"/>
      <c r="E3" s="140"/>
      <c r="F3" s="140"/>
      <c r="G3" s="138"/>
      <c r="H3" s="5" t="s">
        <v>17</v>
      </c>
      <c r="I3" s="1" t="s">
        <v>18</v>
      </c>
      <c r="J3" s="2"/>
      <c r="K3" s="3"/>
      <c r="L3" s="4" t="s">
        <v>19</v>
      </c>
      <c r="M3" s="4" t="s">
        <v>663</v>
      </c>
      <c r="N3" s="4"/>
      <c r="O3" s="4" t="s">
        <v>19</v>
      </c>
      <c r="P3" s="4" t="s">
        <v>663</v>
      </c>
      <c r="Q3" s="4"/>
      <c r="R3" s="4" t="s">
        <v>19</v>
      </c>
      <c r="S3" s="4" t="s">
        <v>663</v>
      </c>
      <c r="T3" s="4"/>
      <c r="U3" s="4" t="s">
        <v>19</v>
      </c>
      <c r="V3" s="4" t="s">
        <v>663</v>
      </c>
      <c r="W3" s="4"/>
      <c r="X3" s="4" t="s">
        <v>19</v>
      </c>
      <c r="Y3" s="4" t="s">
        <v>663</v>
      </c>
      <c r="Z3" s="4"/>
      <c r="AA3" s="138"/>
      <c r="AB3" s="136"/>
    </row>
    <row r="4" spans="1:28" ht="15.75" hidden="1" x14ac:dyDescent="0.25">
      <c r="A4" s="6">
        <v>43670</v>
      </c>
      <c r="B4" s="7" t="s">
        <v>20</v>
      </c>
      <c r="C4" s="8">
        <v>450000</v>
      </c>
      <c r="D4" s="9"/>
      <c r="E4" s="7" t="s">
        <v>21</v>
      </c>
      <c r="F4" s="7">
        <v>1</v>
      </c>
      <c r="G4" s="7" t="s">
        <v>22</v>
      </c>
      <c r="H4" s="7"/>
      <c r="I4" s="10">
        <f t="shared" ref="I4:I68" si="0">F4*H4</f>
        <v>0</v>
      </c>
      <c r="J4" s="11" t="s">
        <v>23</v>
      </c>
      <c r="K4" s="7"/>
      <c r="L4" s="12">
        <f t="shared" ref="L4:L68" si="1">M4+N4</f>
        <v>0</v>
      </c>
      <c r="M4" s="12"/>
      <c r="N4" s="12"/>
      <c r="O4" s="12">
        <f t="shared" ref="O4:O68" si="2">P4+Q4</f>
        <v>0</v>
      </c>
      <c r="P4" s="12"/>
      <c r="Q4" s="12"/>
      <c r="R4" s="12">
        <f t="shared" ref="R4:R68" si="3">S4+T4</f>
        <v>0</v>
      </c>
      <c r="S4" s="12"/>
      <c r="T4" s="12"/>
      <c r="U4" s="12">
        <f t="shared" ref="U4:U68" si="4">V4+W4</f>
        <v>0</v>
      </c>
      <c r="V4" s="12"/>
      <c r="W4" s="12"/>
      <c r="X4" s="12">
        <f t="shared" ref="X4:X68" si="5">Y4+Z4</f>
        <v>0</v>
      </c>
      <c r="Y4" s="12"/>
      <c r="Z4" s="12"/>
      <c r="AA4" s="13">
        <f t="shared" ref="AA4:AA68" si="6">C4+I4-L4-O4-U4-X4-R4</f>
        <v>450000</v>
      </c>
      <c r="AB4" s="14"/>
    </row>
    <row r="5" spans="1:28" ht="15.75" hidden="1" x14ac:dyDescent="0.25">
      <c r="A5" s="15">
        <v>44525</v>
      </c>
      <c r="B5" s="7" t="s">
        <v>24</v>
      </c>
      <c r="C5" s="16">
        <v>4600000</v>
      </c>
      <c r="D5" s="7"/>
      <c r="E5" s="7" t="s">
        <v>25</v>
      </c>
      <c r="F5" s="7">
        <v>2000</v>
      </c>
      <c r="G5" s="7" t="s">
        <v>26</v>
      </c>
      <c r="H5" s="7"/>
      <c r="I5" s="10">
        <f t="shared" si="0"/>
        <v>0</v>
      </c>
      <c r="J5" s="11" t="s">
        <v>23</v>
      </c>
      <c r="K5" s="7"/>
      <c r="L5" s="12">
        <f t="shared" si="1"/>
        <v>0</v>
      </c>
      <c r="M5" s="12"/>
      <c r="N5" s="12"/>
      <c r="O5" s="12">
        <f t="shared" si="2"/>
        <v>0</v>
      </c>
      <c r="P5" s="12"/>
      <c r="Q5" s="12"/>
      <c r="R5" s="12">
        <f t="shared" si="3"/>
        <v>0</v>
      </c>
      <c r="S5" s="12"/>
      <c r="T5" s="12"/>
      <c r="U5" s="12">
        <f t="shared" si="4"/>
        <v>0</v>
      </c>
      <c r="V5" s="12"/>
      <c r="W5" s="12"/>
      <c r="X5" s="12">
        <f t="shared" si="5"/>
        <v>0</v>
      </c>
      <c r="Y5" s="12"/>
      <c r="Z5" s="12"/>
      <c r="AA5" s="13">
        <f t="shared" si="6"/>
        <v>4600000</v>
      </c>
      <c r="AB5" s="14"/>
    </row>
    <row r="6" spans="1:28" ht="15.75" hidden="1" x14ac:dyDescent="0.25">
      <c r="A6" s="15">
        <v>45059</v>
      </c>
      <c r="B6" s="7" t="s">
        <v>27</v>
      </c>
      <c r="C6" s="16">
        <v>2640500</v>
      </c>
      <c r="D6" s="7" t="s">
        <v>28</v>
      </c>
      <c r="E6" s="7" t="s">
        <v>29</v>
      </c>
      <c r="F6" s="7">
        <v>1750</v>
      </c>
      <c r="G6" s="7" t="s">
        <v>26</v>
      </c>
      <c r="H6" s="7"/>
      <c r="I6" s="10">
        <f t="shared" si="0"/>
        <v>0</v>
      </c>
      <c r="J6" s="17" t="s">
        <v>30</v>
      </c>
      <c r="K6" s="7"/>
      <c r="L6" s="12">
        <f t="shared" si="1"/>
        <v>0</v>
      </c>
      <c r="M6" s="12"/>
      <c r="N6" s="12"/>
      <c r="O6" s="12">
        <f t="shared" si="2"/>
        <v>0</v>
      </c>
      <c r="P6" s="12"/>
      <c r="Q6" s="12"/>
      <c r="R6" s="12">
        <f t="shared" si="3"/>
        <v>0</v>
      </c>
      <c r="S6" s="12"/>
      <c r="T6" s="12"/>
      <c r="U6" s="12">
        <f t="shared" si="4"/>
        <v>0</v>
      </c>
      <c r="V6" s="12"/>
      <c r="W6" s="12"/>
      <c r="X6" s="12">
        <f t="shared" si="5"/>
        <v>0</v>
      </c>
      <c r="Y6" s="12"/>
      <c r="Z6" s="12"/>
      <c r="AA6" s="13">
        <f t="shared" si="6"/>
        <v>2640500</v>
      </c>
      <c r="AB6" s="14"/>
    </row>
    <row r="7" spans="1:28" ht="15.75" hidden="1" x14ac:dyDescent="0.25">
      <c r="A7" s="15">
        <v>45254</v>
      </c>
      <c r="B7" s="7" t="s">
        <v>31</v>
      </c>
      <c r="C7" s="16">
        <v>166250</v>
      </c>
      <c r="D7" s="7" t="s">
        <v>32</v>
      </c>
      <c r="E7" s="7" t="s">
        <v>33</v>
      </c>
      <c r="F7" s="7">
        <v>18250</v>
      </c>
      <c r="G7" s="7" t="s">
        <v>26</v>
      </c>
      <c r="H7" s="7"/>
      <c r="I7" s="10">
        <f t="shared" si="0"/>
        <v>0</v>
      </c>
      <c r="J7" s="17" t="s">
        <v>30</v>
      </c>
      <c r="K7" s="7"/>
      <c r="L7" s="12">
        <f t="shared" si="1"/>
        <v>0</v>
      </c>
      <c r="M7" s="12"/>
      <c r="N7" s="12"/>
      <c r="O7" s="12">
        <f t="shared" si="2"/>
        <v>0</v>
      </c>
      <c r="P7" s="12"/>
      <c r="Q7" s="12"/>
      <c r="R7" s="12">
        <f t="shared" si="3"/>
        <v>0</v>
      </c>
      <c r="S7" s="12"/>
      <c r="T7" s="12"/>
      <c r="U7" s="12">
        <f t="shared" si="4"/>
        <v>0</v>
      </c>
      <c r="V7" s="12"/>
      <c r="W7" s="12"/>
      <c r="X7" s="12">
        <f t="shared" si="5"/>
        <v>0</v>
      </c>
      <c r="Y7" s="12"/>
      <c r="Z7" s="12"/>
      <c r="AA7" s="13">
        <f t="shared" si="6"/>
        <v>166250</v>
      </c>
      <c r="AB7" s="14"/>
    </row>
    <row r="8" spans="1:28" ht="15.75" hidden="1" x14ac:dyDescent="0.25">
      <c r="A8" s="18">
        <v>45405</v>
      </c>
      <c r="B8" s="19" t="s">
        <v>34</v>
      </c>
      <c r="C8" s="20">
        <v>139800</v>
      </c>
      <c r="D8" s="19" t="s">
        <v>28</v>
      </c>
      <c r="E8" s="19" t="s">
        <v>35</v>
      </c>
      <c r="F8" s="19">
        <v>574</v>
      </c>
      <c r="G8" s="19" t="s">
        <v>36</v>
      </c>
      <c r="H8" s="19"/>
      <c r="I8" s="10">
        <f t="shared" si="0"/>
        <v>0</v>
      </c>
      <c r="J8" s="17" t="s">
        <v>30</v>
      </c>
      <c r="K8" s="7"/>
      <c r="L8" s="12">
        <f t="shared" si="1"/>
        <v>0</v>
      </c>
      <c r="M8" s="12"/>
      <c r="N8" s="12"/>
      <c r="O8" s="12">
        <f t="shared" si="2"/>
        <v>0</v>
      </c>
      <c r="P8" s="12"/>
      <c r="Q8" s="12"/>
      <c r="R8" s="12">
        <f t="shared" si="3"/>
        <v>0</v>
      </c>
      <c r="S8" s="12"/>
      <c r="T8" s="12"/>
      <c r="U8" s="12">
        <f t="shared" si="4"/>
        <v>0</v>
      </c>
      <c r="V8" s="12"/>
      <c r="W8" s="12"/>
      <c r="X8" s="12">
        <f t="shared" si="5"/>
        <v>0</v>
      </c>
      <c r="Y8" s="12"/>
      <c r="Z8" s="12"/>
      <c r="AA8" s="13">
        <f t="shared" si="6"/>
        <v>139800</v>
      </c>
      <c r="AB8" s="14"/>
    </row>
    <row r="9" spans="1:28" ht="15.75" hidden="1" x14ac:dyDescent="0.25">
      <c r="A9" s="18">
        <v>45462</v>
      </c>
      <c r="B9" s="21" t="s">
        <v>37</v>
      </c>
      <c r="C9" s="19">
        <v>-40000</v>
      </c>
      <c r="D9" s="19" t="s">
        <v>28</v>
      </c>
      <c r="E9" s="19" t="s">
        <v>38</v>
      </c>
      <c r="F9" s="19">
        <v>4</v>
      </c>
      <c r="G9" s="19" t="s">
        <v>39</v>
      </c>
      <c r="H9" s="19"/>
      <c r="I9" s="10">
        <f t="shared" si="0"/>
        <v>0</v>
      </c>
      <c r="J9" s="22" t="s">
        <v>40</v>
      </c>
      <c r="K9" s="7"/>
      <c r="L9" s="12">
        <f t="shared" si="1"/>
        <v>0</v>
      </c>
      <c r="M9" s="12"/>
      <c r="N9" s="12"/>
      <c r="O9" s="12">
        <f t="shared" si="2"/>
        <v>0</v>
      </c>
      <c r="P9" s="12"/>
      <c r="Q9" s="12"/>
      <c r="R9" s="12">
        <f t="shared" si="3"/>
        <v>0</v>
      </c>
      <c r="S9" s="12"/>
      <c r="T9" s="12"/>
      <c r="U9" s="12">
        <f t="shared" si="4"/>
        <v>0</v>
      </c>
      <c r="V9" s="12"/>
      <c r="W9" s="12"/>
      <c r="X9" s="12">
        <f t="shared" si="5"/>
        <v>0</v>
      </c>
      <c r="Y9" s="12"/>
      <c r="Z9" s="12"/>
      <c r="AA9" s="13">
        <f t="shared" si="6"/>
        <v>-40000</v>
      </c>
      <c r="AB9" s="14">
        <v>45462</v>
      </c>
    </row>
    <row r="10" spans="1:28" ht="15.75" hidden="1" x14ac:dyDescent="0.25">
      <c r="A10" s="18">
        <v>45485</v>
      </c>
      <c r="B10" s="21" t="s">
        <v>41</v>
      </c>
      <c r="C10" s="20">
        <v>-100000</v>
      </c>
      <c r="D10" s="19" t="s">
        <v>28</v>
      </c>
      <c r="E10" s="19" t="s">
        <v>42</v>
      </c>
      <c r="F10" s="19">
        <v>298</v>
      </c>
      <c r="G10" s="19" t="s">
        <v>26</v>
      </c>
      <c r="H10" s="19"/>
      <c r="I10" s="10">
        <f t="shared" si="0"/>
        <v>0</v>
      </c>
      <c r="J10" s="22" t="s">
        <v>40</v>
      </c>
      <c r="K10" s="7"/>
      <c r="L10" s="12">
        <f t="shared" si="1"/>
        <v>0</v>
      </c>
      <c r="M10" s="12"/>
      <c r="N10" s="12"/>
      <c r="O10" s="12">
        <f t="shared" si="2"/>
        <v>0</v>
      </c>
      <c r="P10" s="12"/>
      <c r="Q10" s="12"/>
      <c r="R10" s="12">
        <f t="shared" si="3"/>
        <v>0</v>
      </c>
      <c r="S10" s="12"/>
      <c r="T10" s="12"/>
      <c r="U10" s="12">
        <f t="shared" si="4"/>
        <v>0</v>
      </c>
      <c r="V10" s="12"/>
      <c r="W10" s="12"/>
      <c r="X10" s="12">
        <f t="shared" si="5"/>
        <v>0</v>
      </c>
      <c r="Y10" s="12"/>
      <c r="Z10" s="12"/>
      <c r="AA10" s="13">
        <f t="shared" si="6"/>
        <v>-100000</v>
      </c>
      <c r="AB10" s="14">
        <v>45637</v>
      </c>
    </row>
    <row r="11" spans="1:28" ht="15.75" hidden="1" x14ac:dyDescent="0.25">
      <c r="A11" s="18"/>
      <c r="B11" s="19" t="s">
        <v>43</v>
      </c>
      <c r="C11" s="19">
        <v>784000</v>
      </c>
      <c r="D11" s="19" t="s">
        <v>28</v>
      </c>
      <c r="E11" s="19"/>
      <c r="F11" s="19"/>
      <c r="G11" s="19" t="s">
        <v>36</v>
      </c>
      <c r="H11" s="19"/>
      <c r="I11" s="10">
        <f t="shared" si="0"/>
        <v>0</v>
      </c>
      <c r="J11" s="22" t="s">
        <v>40</v>
      </c>
      <c r="K11" s="7"/>
      <c r="L11" s="12">
        <f t="shared" si="1"/>
        <v>0</v>
      </c>
      <c r="M11" s="12"/>
      <c r="N11" s="12"/>
      <c r="O11" s="12">
        <f t="shared" si="2"/>
        <v>0</v>
      </c>
      <c r="P11" s="12"/>
      <c r="Q11" s="12"/>
      <c r="R11" s="12">
        <f t="shared" si="3"/>
        <v>0</v>
      </c>
      <c r="S11" s="12"/>
      <c r="T11" s="12"/>
      <c r="U11" s="12">
        <f t="shared" si="4"/>
        <v>0</v>
      </c>
      <c r="V11" s="12"/>
      <c r="W11" s="12"/>
      <c r="X11" s="12">
        <f t="shared" si="5"/>
        <v>0</v>
      </c>
      <c r="Y11" s="12"/>
      <c r="Z11" s="12"/>
      <c r="AA11" s="13">
        <f t="shared" si="6"/>
        <v>784000</v>
      </c>
      <c r="AB11" s="14"/>
    </row>
    <row r="12" spans="1:28" ht="15.75" hidden="1" x14ac:dyDescent="0.25">
      <c r="A12" s="15"/>
      <c r="B12" s="7" t="s">
        <v>44</v>
      </c>
      <c r="C12" s="8">
        <v>4940000</v>
      </c>
      <c r="D12" s="9"/>
      <c r="E12" s="7"/>
      <c r="F12" s="7"/>
      <c r="G12" s="7"/>
      <c r="H12" s="7"/>
      <c r="I12" s="10">
        <f t="shared" si="0"/>
        <v>0</v>
      </c>
      <c r="J12" s="11" t="s">
        <v>23</v>
      </c>
      <c r="K12" s="7"/>
      <c r="L12" s="12">
        <f t="shared" si="1"/>
        <v>0</v>
      </c>
      <c r="M12" s="12"/>
      <c r="N12" s="12"/>
      <c r="O12" s="12">
        <f t="shared" si="2"/>
        <v>0</v>
      </c>
      <c r="P12" s="12"/>
      <c r="Q12" s="12"/>
      <c r="R12" s="12">
        <f t="shared" si="3"/>
        <v>0</v>
      </c>
      <c r="S12" s="12"/>
      <c r="T12" s="12"/>
      <c r="U12" s="12">
        <f t="shared" si="4"/>
        <v>0</v>
      </c>
      <c r="V12" s="12"/>
      <c r="W12" s="12"/>
      <c r="X12" s="12">
        <f t="shared" si="5"/>
        <v>0</v>
      </c>
      <c r="Y12" s="12"/>
      <c r="Z12" s="12"/>
      <c r="AA12" s="13">
        <f t="shared" si="6"/>
        <v>4940000</v>
      </c>
      <c r="AB12" s="14">
        <v>45590</v>
      </c>
    </row>
    <row r="13" spans="1:28" ht="15.75" hidden="1" x14ac:dyDescent="0.25">
      <c r="A13" s="15"/>
      <c r="B13" s="23" t="s">
        <v>45</v>
      </c>
      <c r="C13" s="7">
        <v>-240000</v>
      </c>
      <c r="D13" s="7" t="s">
        <v>32</v>
      </c>
      <c r="E13" s="7" t="s">
        <v>46</v>
      </c>
      <c r="F13" s="7">
        <v>307.39999999999998</v>
      </c>
      <c r="G13" s="7" t="s">
        <v>36</v>
      </c>
      <c r="H13" s="7"/>
      <c r="I13" s="10">
        <f t="shared" si="0"/>
        <v>0</v>
      </c>
      <c r="J13" s="22" t="s">
        <v>40</v>
      </c>
      <c r="K13" s="7"/>
      <c r="L13" s="12">
        <f t="shared" si="1"/>
        <v>0</v>
      </c>
      <c r="M13" s="12"/>
      <c r="N13" s="12"/>
      <c r="O13" s="12">
        <f t="shared" si="2"/>
        <v>0</v>
      </c>
      <c r="P13" s="12"/>
      <c r="Q13" s="12"/>
      <c r="R13" s="12">
        <f t="shared" si="3"/>
        <v>0</v>
      </c>
      <c r="S13" s="12"/>
      <c r="T13" s="12"/>
      <c r="U13" s="12">
        <f t="shared" si="4"/>
        <v>0</v>
      </c>
      <c r="V13" s="12"/>
      <c r="W13" s="12"/>
      <c r="X13" s="12">
        <f t="shared" si="5"/>
        <v>0</v>
      </c>
      <c r="Y13" s="12"/>
      <c r="Z13" s="12"/>
      <c r="AA13" s="13">
        <f t="shared" si="6"/>
        <v>-240000</v>
      </c>
      <c r="AB13" s="14"/>
    </row>
    <row r="14" spans="1:28" ht="15.75" hidden="1" x14ac:dyDescent="0.25">
      <c r="A14" s="15"/>
      <c r="B14" s="7" t="s">
        <v>47</v>
      </c>
      <c r="C14" s="8">
        <v>3628</v>
      </c>
      <c r="D14" s="9"/>
      <c r="E14" s="7"/>
      <c r="F14" s="7"/>
      <c r="G14" s="7"/>
      <c r="H14" s="7"/>
      <c r="I14" s="10">
        <f t="shared" si="0"/>
        <v>0</v>
      </c>
      <c r="J14" s="11" t="s">
        <v>23</v>
      </c>
      <c r="K14" s="7"/>
      <c r="L14" s="12">
        <f t="shared" si="1"/>
        <v>0</v>
      </c>
      <c r="M14" s="12"/>
      <c r="N14" s="12"/>
      <c r="O14" s="12">
        <f t="shared" si="2"/>
        <v>0</v>
      </c>
      <c r="P14" s="12"/>
      <c r="Q14" s="12"/>
      <c r="R14" s="12">
        <f t="shared" si="3"/>
        <v>0</v>
      </c>
      <c r="S14" s="12"/>
      <c r="T14" s="12"/>
      <c r="U14" s="12">
        <f t="shared" si="4"/>
        <v>0</v>
      </c>
      <c r="V14" s="12"/>
      <c r="W14" s="12"/>
      <c r="X14" s="12">
        <f t="shared" si="5"/>
        <v>0</v>
      </c>
      <c r="Y14" s="12"/>
      <c r="Z14" s="12"/>
      <c r="AA14" s="13">
        <f t="shared" si="6"/>
        <v>3628</v>
      </c>
      <c r="AB14" s="14"/>
    </row>
    <row r="15" spans="1:28" ht="15.75" hidden="1" x14ac:dyDescent="0.25">
      <c r="A15" s="18"/>
      <c r="B15" s="21" t="s">
        <v>48</v>
      </c>
      <c r="C15" s="19">
        <v>-300000</v>
      </c>
      <c r="D15" s="19"/>
      <c r="E15" s="19"/>
      <c r="F15" s="19"/>
      <c r="G15" s="19"/>
      <c r="H15" s="19"/>
      <c r="I15" s="10">
        <f t="shared" si="0"/>
        <v>0</v>
      </c>
      <c r="J15" s="22" t="s">
        <v>40</v>
      </c>
      <c r="K15" s="19" t="s">
        <v>49</v>
      </c>
      <c r="L15" s="12">
        <f t="shared" si="1"/>
        <v>0</v>
      </c>
      <c r="M15" s="12"/>
      <c r="N15" s="12"/>
      <c r="O15" s="12">
        <f t="shared" si="2"/>
        <v>0</v>
      </c>
      <c r="P15" s="12"/>
      <c r="Q15" s="12"/>
      <c r="R15" s="12">
        <f t="shared" si="3"/>
        <v>0</v>
      </c>
      <c r="S15" s="12"/>
      <c r="T15" s="12"/>
      <c r="U15" s="12">
        <f t="shared" si="4"/>
        <v>0</v>
      </c>
      <c r="V15" s="12"/>
      <c r="W15" s="12"/>
      <c r="X15" s="12">
        <f t="shared" si="5"/>
        <v>0</v>
      </c>
      <c r="Y15" s="12"/>
      <c r="Z15" s="12"/>
      <c r="AA15" s="13">
        <f t="shared" si="6"/>
        <v>-300000</v>
      </c>
      <c r="AB15" s="14">
        <v>45589</v>
      </c>
    </row>
    <row r="16" spans="1:28" ht="15.75" hidden="1" x14ac:dyDescent="0.25">
      <c r="A16" s="24">
        <v>45644</v>
      </c>
      <c r="B16" s="25" t="s">
        <v>50</v>
      </c>
      <c r="C16" s="19">
        <v>-1020000</v>
      </c>
      <c r="D16" s="26" t="s">
        <v>32</v>
      </c>
      <c r="E16" s="19" t="s">
        <v>51</v>
      </c>
      <c r="F16" s="19">
        <v>2</v>
      </c>
      <c r="G16" s="19" t="s">
        <v>22</v>
      </c>
      <c r="H16" s="19"/>
      <c r="I16" s="10">
        <f t="shared" si="0"/>
        <v>0</v>
      </c>
      <c r="J16" s="27" t="s">
        <v>40</v>
      </c>
      <c r="K16" s="19" t="s">
        <v>52</v>
      </c>
      <c r="L16" s="12">
        <f t="shared" si="1"/>
        <v>0</v>
      </c>
      <c r="M16" s="12"/>
      <c r="N16" s="12"/>
      <c r="O16" s="12">
        <f t="shared" si="2"/>
        <v>0</v>
      </c>
      <c r="P16" s="12"/>
      <c r="Q16" s="12"/>
      <c r="R16" s="12">
        <f t="shared" si="3"/>
        <v>0</v>
      </c>
      <c r="S16" s="12"/>
      <c r="T16" s="12"/>
      <c r="U16" s="12">
        <f t="shared" si="4"/>
        <v>0</v>
      </c>
      <c r="V16" s="12"/>
      <c r="W16" s="12"/>
      <c r="X16" s="12">
        <f t="shared" si="5"/>
        <v>0</v>
      </c>
      <c r="Y16" s="12"/>
      <c r="Z16" s="12"/>
      <c r="AA16" s="13">
        <f t="shared" si="6"/>
        <v>-1020000</v>
      </c>
      <c r="AB16" s="14">
        <v>45685</v>
      </c>
    </row>
    <row r="17" spans="1:28" ht="15.75" hidden="1" x14ac:dyDescent="0.25">
      <c r="A17" s="24">
        <v>45646</v>
      </c>
      <c r="B17" s="21" t="s">
        <v>53</v>
      </c>
      <c r="C17" s="19">
        <v>-1354000</v>
      </c>
      <c r="D17" s="26" t="s">
        <v>32</v>
      </c>
      <c r="E17" s="19" t="s">
        <v>54</v>
      </c>
      <c r="F17" s="19">
        <v>49.1</v>
      </c>
      <c r="G17" s="19" t="s">
        <v>36</v>
      </c>
      <c r="H17" s="26"/>
      <c r="I17" s="10">
        <f t="shared" si="0"/>
        <v>0</v>
      </c>
      <c r="J17" s="22" t="s">
        <v>40</v>
      </c>
      <c r="K17" s="19"/>
      <c r="L17" s="12">
        <f t="shared" si="1"/>
        <v>0</v>
      </c>
      <c r="M17" s="12"/>
      <c r="N17" s="12"/>
      <c r="O17" s="12">
        <f t="shared" si="2"/>
        <v>0</v>
      </c>
      <c r="P17" s="12"/>
      <c r="Q17" s="12"/>
      <c r="R17" s="12">
        <f t="shared" si="3"/>
        <v>0</v>
      </c>
      <c r="S17" s="12"/>
      <c r="T17" s="12"/>
      <c r="U17" s="12">
        <f t="shared" si="4"/>
        <v>0</v>
      </c>
      <c r="V17" s="12"/>
      <c r="W17" s="12"/>
      <c r="X17" s="12">
        <f t="shared" si="5"/>
        <v>0</v>
      </c>
      <c r="Y17" s="12"/>
      <c r="Z17" s="12"/>
      <c r="AA17" s="13">
        <f t="shared" si="6"/>
        <v>-1354000</v>
      </c>
      <c r="AB17" s="14">
        <v>45653</v>
      </c>
    </row>
    <row r="18" spans="1:28" ht="15.75" hidden="1" x14ac:dyDescent="0.25">
      <c r="A18" s="28"/>
      <c r="B18" s="10" t="s">
        <v>56</v>
      </c>
      <c r="C18" s="10">
        <v>-39100</v>
      </c>
      <c r="D18" s="10"/>
      <c r="E18" s="10"/>
      <c r="F18" s="10"/>
      <c r="G18" s="10"/>
      <c r="H18" s="10"/>
      <c r="I18" s="10">
        <f t="shared" si="0"/>
        <v>0</v>
      </c>
      <c r="J18" s="29" t="s">
        <v>40</v>
      </c>
      <c r="K18" s="19"/>
      <c r="L18" s="12">
        <f t="shared" si="1"/>
        <v>0</v>
      </c>
      <c r="M18" s="12"/>
      <c r="N18" s="12"/>
      <c r="O18" s="12">
        <f t="shared" si="2"/>
        <v>0</v>
      </c>
      <c r="P18" s="12"/>
      <c r="Q18" s="12"/>
      <c r="R18" s="12">
        <f t="shared" si="3"/>
        <v>0</v>
      </c>
      <c r="S18" s="12"/>
      <c r="T18" s="12"/>
      <c r="U18" s="12">
        <f t="shared" si="4"/>
        <v>0</v>
      </c>
      <c r="V18" s="12"/>
      <c r="W18" s="12"/>
      <c r="X18" s="12">
        <f t="shared" si="5"/>
        <v>0</v>
      </c>
      <c r="Y18" s="12"/>
      <c r="Z18" s="12"/>
      <c r="AA18" s="13">
        <f t="shared" si="6"/>
        <v>-39100</v>
      </c>
      <c r="AB18" s="14">
        <v>45468</v>
      </c>
    </row>
    <row r="19" spans="1:28" ht="15.75" hidden="1" x14ac:dyDescent="0.25">
      <c r="A19" s="28"/>
      <c r="B19" s="10" t="s">
        <v>56</v>
      </c>
      <c r="C19" s="10">
        <v>-818000</v>
      </c>
      <c r="D19" s="10"/>
      <c r="E19" s="10"/>
      <c r="F19" s="10"/>
      <c r="G19" s="10"/>
      <c r="H19" s="10"/>
      <c r="I19" s="10">
        <f t="shared" si="0"/>
        <v>0</v>
      </c>
      <c r="J19" s="29" t="s">
        <v>40</v>
      </c>
      <c r="K19" s="19" t="s">
        <v>57</v>
      </c>
      <c r="L19" s="12">
        <f t="shared" si="1"/>
        <v>0</v>
      </c>
      <c r="M19" s="12"/>
      <c r="N19" s="12"/>
      <c r="O19" s="12">
        <f t="shared" si="2"/>
        <v>0</v>
      </c>
      <c r="P19" s="12"/>
      <c r="Q19" s="12"/>
      <c r="R19" s="12">
        <f t="shared" si="3"/>
        <v>0</v>
      </c>
      <c r="S19" s="12"/>
      <c r="T19" s="12"/>
      <c r="U19" s="12">
        <f t="shared" si="4"/>
        <v>0</v>
      </c>
      <c r="V19" s="12"/>
      <c r="W19" s="12"/>
      <c r="X19" s="12">
        <f t="shared" si="5"/>
        <v>0</v>
      </c>
      <c r="Y19" s="12"/>
      <c r="Z19" s="12"/>
      <c r="AA19" s="13">
        <f t="shared" si="6"/>
        <v>-818000</v>
      </c>
      <c r="AB19" s="14">
        <v>45684</v>
      </c>
    </row>
    <row r="20" spans="1:28" ht="15.75" hidden="1" x14ac:dyDescent="0.25">
      <c r="A20" s="28">
        <v>45706</v>
      </c>
      <c r="B20" s="10" t="s">
        <v>58</v>
      </c>
      <c r="C20" s="10">
        <v>-50000</v>
      </c>
      <c r="D20" s="10" t="s">
        <v>59</v>
      </c>
      <c r="E20" s="10" t="s">
        <v>60</v>
      </c>
      <c r="F20" s="10">
        <v>4</v>
      </c>
      <c r="G20" s="10" t="s">
        <v>61</v>
      </c>
      <c r="H20" s="10"/>
      <c r="I20" s="10">
        <f t="shared" si="0"/>
        <v>0</v>
      </c>
      <c r="J20" s="29" t="s">
        <v>40</v>
      </c>
      <c r="K20" s="19"/>
      <c r="L20" s="12">
        <f t="shared" si="1"/>
        <v>0</v>
      </c>
      <c r="M20" s="12"/>
      <c r="N20" s="12"/>
      <c r="O20" s="12">
        <f t="shared" si="2"/>
        <v>0</v>
      </c>
      <c r="P20" s="12"/>
      <c r="Q20" s="12"/>
      <c r="R20" s="12">
        <f t="shared" si="3"/>
        <v>0</v>
      </c>
      <c r="S20" s="12"/>
      <c r="T20" s="12"/>
      <c r="U20" s="12">
        <f t="shared" si="4"/>
        <v>0</v>
      </c>
      <c r="V20" s="12"/>
      <c r="W20" s="12"/>
      <c r="X20" s="12">
        <f t="shared" si="5"/>
        <v>0</v>
      </c>
      <c r="Y20" s="12"/>
      <c r="Z20" s="12"/>
      <c r="AA20" s="13">
        <f t="shared" si="6"/>
        <v>-50000</v>
      </c>
      <c r="AB20" s="14">
        <v>45706</v>
      </c>
    </row>
    <row r="21" spans="1:28" ht="16.5" hidden="1" thickBot="1" x14ac:dyDescent="0.3">
      <c r="A21" s="30">
        <v>45727</v>
      </c>
      <c r="B21" s="31" t="s">
        <v>62</v>
      </c>
      <c r="C21" s="31">
        <v>-4400000</v>
      </c>
      <c r="D21" s="31" t="s">
        <v>28</v>
      </c>
      <c r="E21" s="31" t="s">
        <v>63</v>
      </c>
      <c r="F21" s="31">
        <v>4</v>
      </c>
      <c r="G21" s="31" t="s">
        <v>39</v>
      </c>
      <c r="H21" s="31"/>
      <c r="I21" s="31">
        <f t="shared" si="0"/>
        <v>0</v>
      </c>
      <c r="J21" s="32" t="s">
        <v>40</v>
      </c>
      <c r="K21" s="33"/>
      <c r="L21" s="34">
        <f t="shared" si="1"/>
        <v>0</v>
      </c>
      <c r="M21" s="34"/>
      <c r="N21" s="34"/>
      <c r="O21" s="34">
        <f t="shared" si="2"/>
        <v>0</v>
      </c>
      <c r="P21" s="34"/>
      <c r="Q21" s="34"/>
      <c r="R21" s="34">
        <f t="shared" si="3"/>
        <v>0</v>
      </c>
      <c r="S21" s="34"/>
      <c r="T21" s="34"/>
      <c r="U21" s="34">
        <f t="shared" si="4"/>
        <v>0</v>
      </c>
      <c r="V21" s="34"/>
      <c r="W21" s="34"/>
      <c r="X21" s="34">
        <f t="shared" si="5"/>
        <v>0</v>
      </c>
      <c r="Y21" s="34"/>
      <c r="Z21" s="34"/>
      <c r="AA21" s="35">
        <f t="shared" si="6"/>
        <v>-4400000</v>
      </c>
      <c r="AB21" s="36">
        <v>45693</v>
      </c>
    </row>
    <row r="22" spans="1:28" ht="16.5" hidden="1" thickBot="1" x14ac:dyDescent="0.3">
      <c r="A22" s="37">
        <v>45765</v>
      </c>
      <c r="B22" s="38" t="s">
        <v>64</v>
      </c>
      <c r="C22" s="38">
        <v>-520000</v>
      </c>
      <c r="D22" s="38" t="s">
        <v>32</v>
      </c>
      <c r="E22" s="38" t="s">
        <v>65</v>
      </c>
      <c r="F22" s="38">
        <v>5200</v>
      </c>
      <c r="G22" s="38" t="s">
        <v>26</v>
      </c>
      <c r="H22" s="38"/>
      <c r="I22" s="38">
        <f t="shared" si="0"/>
        <v>0</v>
      </c>
      <c r="J22" s="39" t="s">
        <v>40</v>
      </c>
      <c r="K22" s="40"/>
      <c r="L22" s="41">
        <f t="shared" si="1"/>
        <v>0</v>
      </c>
      <c r="M22" s="41"/>
      <c r="N22" s="41"/>
      <c r="O22" s="41">
        <f t="shared" si="2"/>
        <v>0</v>
      </c>
      <c r="P22" s="41"/>
      <c r="Q22" s="41"/>
      <c r="R22" s="41">
        <f t="shared" si="3"/>
        <v>0</v>
      </c>
      <c r="S22" s="41"/>
      <c r="T22" s="41"/>
      <c r="U22" s="41">
        <f t="shared" si="4"/>
        <v>0</v>
      </c>
      <c r="V22" s="41"/>
      <c r="W22" s="41"/>
      <c r="X22" s="41">
        <f t="shared" si="5"/>
        <v>0</v>
      </c>
      <c r="Y22" s="41"/>
      <c r="Z22" s="41"/>
      <c r="AA22" s="42">
        <f t="shared" si="6"/>
        <v>-520000</v>
      </c>
      <c r="AB22" s="43">
        <v>45821</v>
      </c>
    </row>
    <row r="23" spans="1:28" ht="15.75" hidden="1" x14ac:dyDescent="0.25">
      <c r="A23" s="44">
        <v>45813</v>
      </c>
      <c r="B23" s="45" t="s">
        <v>62</v>
      </c>
      <c r="C23" s="45">
        <v>-2700000</v>
      </c>
      <c r="D23" s="45" t="s">
        <v>28</v>
      </c>
      <c r="E23" s="45" t="s">
        <v>66</v>
      </c>
      <c r="F23" s="45">
        <v>200</v>
      </c>
      <c r="G23" s="45" t="s">
        <v>67</v>
      </c>
      <c r="H23" s="45"/>
      <c r="I23" s="45">
        <f t="shared" si="0"/>
        <v>0</v>
      </c>
      <c r="J23" s="46" t="s">
        <v>40</v>
      </c>
      <c r="K23" s="47"/>
      <c r="L23" s="48">
        <f t="shared" si="1"/>
        <v>0</v>
      </c>
      <c r="M23" s="48"/>
      <c r="N23" s="48"/>
      <c r="O23" s="48">
        <f t="shared" si="2"/>
        <v>0</v>
      </c>
      <c r="P23" s="48"/>
      <c r="Q23" s="48"/>
      <c r="R23" s="48">
        <f t="shared" si="3"/>
        <v>0</v>
      </c>
      <c r="S23" s="48"/>
      <c r="T23" s="48"/>
      <c r="U23" s="48">
        <f t="shared" si="4"/>
        <v>0</v>
      </c>
      <c r="V23" s="48"/>
      <c r="W23" s="48"/>
      <c r="X23" s="48">
        <f t="shared" si="5"/>
        <v>0</v>
      </c>
      <c r="Y23" s="48"/>
      <c r="Z23" s="48"/>
      <c r="AA23" s="49">
        <f t="shared" si="6"/>
        <v>-2700000</v>
      </c>
      <c r="AB23" s="50">
        <v>45847</v>
      </c>
    </row>
    <row r="24" spans="1:28" ht="15.75" hidden="1" x14ac:dyDescent="0.25">
      <c r="A24" s="28">
        <v>45817</v>
      </c>
      <c r="B24" s="10" t="s">
        <v>62</v>
      </c>
      <c r="C24" s="10">
        <v>40000000</v>
      </c>
      <c r="D24" s="10" t="s">
        <v>28</v>
      </c>
      <c r="E24" s="10" t="s">
        <v>68</v>
      </c>
      <c r="F24" s="10">
        <v>1000</v>
      </c>
      <c r="G24" s="10" t="s">
        <v>39</v>
      </c>
      <c r="H24" s="10"/>
      <c r="I24" s="10">
        <f t="shared" si="0"/>
        <v>0</v>
      </c>
      <c r="J24" s="29" t="s">
        <v>40</v>
      </c>
      <c r="K24" s="19"/>
      <c r="L24" s="12">
        <f t="shared" si="1"/>
        <v>0</v>
      </c>
      <c r="M24" s="12"/>
      <c r="N24" s="12"/>
      <c r="O24" s="12">
        <f t="shared" si="2"/>
        <v>49000000</v>
      </c>
      <c r="P24" s="12">
        <v>49000000</v>
      </c>
      <c r="Q24" s="12"/>
      <c r="R24" s="12">
        <f t="shared" si="3"/>
        <v>0</v>
      </c>
      <c r="S24" s="12"/>
      <c r="T24" s="12"/>
      <c r="U24" s="12">
        <f t="shared" si="4"/>
        <v>0</v>
      </c>
      <c r="V24" s="12"/>
      <c r="W24" s="12"/>
      <c r="X24" s="12">
        <f t="shared" si="5"/>
        <v>0</v>
      </c>
      <c r="Y24" s="12"/>
      <c r="Z24" s="12"/>
      <c r="AA24" s="13">
        <f t="shared" si="6"/>
        <v>-9000000</v>
      </c>
      <c r="AB24" s="14">
        <v>45866</v>
      </c>
    </row>
    <row r="25" spans="1:28" ht="16.5" hidden="1" thickBot="1" x14ac:dyDescent="0.3">
      <c r="A25" s="30">
        <v>45834</v>
      </c>
      <c r="B25" s="31" t="s">
        <v>69</v>
      </c>
      <c r="C25" s="31">
        <v>3000000</v>
      </c>
      <c r="D25" s="31" t="s">
        <v>28</v>
      </c>
      <c r="E25" s="31" t="s">
        <v>70</v>
      </c>
      <c r="F25" s="31">
        <v>60</v>
      </c>
      <c r="G25" s="31" t="s">
        <v>36</v>
      </c>
      <c r="H25" s="31"/>
      <c r="I25" s="31">
        <f t="shared" si="0"/>
        <v>0</v>
      </c>
      <c r="J25" s="51" t="s">
        <v>40</v>
      </c>
      <c r="K25" s="31" t="s">
        <v>71</v>
      </c>
      <c r="L25" s="34">
        <f t="shared" si="1"/>
        <v>0</v>
      </c>
      <c r="M25" s="34"/>
      <c r="N25" s="34"/>
      <c r="O25" s="34">
        <f t="shared" si="2"/>
        <v>3129000</v>
      </c>
      <c r="P25" s="34">
        <v>3000000</v>
      </c>
      <c r="Q25" s="34">
        <v>129000</v>
      </c>
      <c r="R25" s="34">
        <f t="shared" si="3"/>
        <v>0</v>
      </c>
      <c r="S25" s="34"/>
      <c r="T25" s="34"/>
      <c r="U25" s="34">
        <f t="shared" si="4"/>
        <v>0</v>
      </c>
      <c r="V25" s="34"/>
      <c r="W25" s="34"/>
      <c r="X25" s="34">
        <f t="shared" si="5"/>
        <v>0</v>
      </c>
      <c r="Y25" s="34"/>
      <c r="Z25" s="34"/>
      <c r="AA25" s="35">
        <f t="shared" si="6"/>
        <v>-129000</v>
      </c>
      <c r="AB25" s="36">
        <v>45841</v>
      </c>
    </row>
    <row r="26" spans="1:28" ht="16.5" hidden="1" thickBot="1" x14ac:dyDescent="0.3">
      <c r="A26" s="37">
        <v>45866</v>
      </c>
      <c r="B26" s="38" t="s">
        <v>72</v>
      </c>
      <c r="C26" s="38"/>
      <c r="D26" s="38" t="s">
        <v>32</v>
      </c>
      <c r="E26" s="38" t="s">
        <v>73</v>
      </c>
      <c r="F26" s="38">
        <v>125</v>
      </c>
      <c r="G26" s="38" t="s">
        <v>26</v>
      </c>
      <c r="H26" s="38">
        <v>2460</v>
      </c>
      <c r="I26" s="38">
        <f t="shared" si="0"/>
        <v>307500</v>
      </c>
      <c r="J26" s="39" t="s">
        <v>40</v>
      </c>
      <c r="K26" s="38"/>
      <c r="L26" s="41">
        <f t="shared" si="1"/>
        <v>0</v>
      </c>
      <c r="M26" s="41"/>
      <c r="N26" s="41"/>
      <c r="O26" s="41">
        <f t="shared" si="2"/>
        <v>0</v>
      </c>
      <c r="P26" s="41"/>
      <c r="Q26" s="41"/>
      <c r="R26" s="41">
        <f t="shared" si="3"/>
        <v>0</v>
      </c>
      <c r="S26" s="41"/>
      <c r="T26" s="41"/>
      <c r="U26" s="41">
        <f t="shared" si="4"/>
        <v>370000</v>
      </c>
      <c r="V26" s="41">
        <v>370000</v>
      </c>
      <c r="W26" s="41"/>
      <c r="X26" s="41">
        <f t="shared" si="5"/>
        <v>0</v>
      </c>
      <c r="Y26" s="41"/>
      <c r="Z26" s="41"/>
      <c r="AA26" s="42">
        <f t="shared" si="6"/>
        <v>-62500</v>
      </c>
      <c r="AB26" s="43">
        <v>45866</v>
      </c>
    </row>
    <row r="27" spans="1:28" ht="15.75" hidden="1" x14ac:dyDescent="0.25">
      <c r="A27" s="28">
        <v>45874</v>
      </c>
      <c r="B27" s="10" t="s">
        <v>74</v>
      </c>
      <c r="C27" s="10"/>
      <c r="D27" s="10" t="s">
        <v>28</v>
      </c>
      <c r="E27" s="10" t="s">
        <v>75</v>
      </c>
      <c r="F27" s="10">
        <v>20</v>
      </c>
      <c r="G27" s="10" t="s">
        <v>36</v>
      </c>
      <c r="H27" s="10">
        <v>60000</v>
      </c>
      <c r="I27" s="7">
        <f t="shared" si="0"/>
        <v>1200000</v>
      </c>
      <c r="J27" s="52" t="s">
        <v>76</v>
      </c>
      <c r="K27" s="10"/>
      <c r="L27" s="12">
        <f t="shared" si="1"/>
        <v>0</v>
      </c>
      <c r="M27" s="12"/>
      <c r="N27" s="12"/>
      <c r="O27" s="12">
        <f t="shared" si="2"/>
        <v>0</v>
      </c>
      <c r="P27" s="12"/>
      <c r="Q27" s="12"/>
      <c r="R27" s="12">
        <f t="shared" si="3"/>
        <v>0</v>
      </c>
      <c r="S27" s="12"/>
      <c r="T27" s="12"/>
      <c r="U27" s="12">
        <f t="shared" si="4"/>
        <v>0</v>
      </c>
      <c r="V27" s="12"/>
      <c r="W27" s="12"/>
      <c r="X27" s="12">
        <f t="shared" si="5"/>
        <v>0</v>
      </c>
      <c r="Y27" s="12"/>
      <c r="Z27" s="12"/>
      <c r="AA27" s="13">
        <f t="shared" si="6"/>
        <v>1200000</v>
      </c>
      <c r="AB27" s="14"/>
    </row>
    <row r="28" spans="1:28" ht="16.5" hidden="1" thickBot="1" x14ac:dyDescent="0.3">
      <c r="A28" s="53">
        <v>45885</v>
      </c>
      <c r="B28" s="54" t="s">
        <v>77</v>
      </c>
      <c r="C28" s="54"/>
      <c r="D28" s="54" t="s">
        <v>32</v>
      </c>
      <c r="E28" s="54" t="s">
        <v>78</v>
      </c>
      <c r="F28" s="54">
        <v>9</v>
      </c>
      <c r="G28" s="54" t="s">
        <v>61</v>
      </c>
      <c r="H28" s="54">
        <v>250000</v>
      </c>
      <c r="I28" s="54">
        <f t="shared" si="0"/>
        <v>2250000</v>
      </c>
      <c r="J28" s="55" t="s">
        <v>110</v>
      </c>
      <c r="K28" s="54"/>
      <c r="L28" s="56">
        <f t="shared" si="1"/>
        <v>0</v>
      </c>
      <c r="M28" s="56"/>
      <c r="N28" s="56"/>
      <c r="O28" s="56">
        <f t="shared" si="2"/>
        <v>0</v>
      </c>
      <c r="P28" s="56"/>
      <c r="Q28" s="56"/>
      <c r="R28" s="56">
        <f t="shared" si="3"/>
        <v>0</v>
      </c>
      <c r="S28" s="56"/>
      <c r="T28" s="56"/>
      <c r="U28" s="56">
        <f t="shared" si="4"/>
        <v>2250000</v>
      </c>
      <c r="V28" s="56">
        <v>2250000</v>
      </c>
      <c r="W28" s="56"/>
      <c r="X28" s="56">
        <f t="shared" si="5"/>
        <v>0</v>
      </c>
      <c r="Y28" s="56"/>
      <c r="Z28" s="56"/>
      <c r="AA28" s="57">
        <f t="shared" si="6"/>
        <v>0</v>
      </c>
      <c r="AB28" s="58">
        <v>45884</v>
      </c>
    </row>
    <row r="29" spans="1:28" ht="15.75" hidden="1" x14ac:dyDescent="0.25">
      <c r="A29" s="44">
        <v>45902</v>
      </c>
      <c r="B29" s="45" t="s">
        <v>79</v>
      </c>
      <c r="C29" s="45"/>
      <c r="D29" s="45" t="s">
        <v>28</v>
      </c>
      <c r="E29" s="45" t="s">
        <v>80</v>
      </c>
      <c r="F29" s="45">
        <v>23</v>
      </c>
      <c r="G29" s="45" t="s">
        <v>36</v>
      </c>
      <c r="H29" s="45">
        <v>43000</v>
      </c>
      <c r="I29" s="45">
        <f t="shared" si="0"/>
        <v>989000</v>
      </c>
      <c r="J29" s="59" t="s">
        <v>40</v>
      </c>
      <c r="K29" s="45"/>
      <c r="L29" s="48">
        <f t="shared" si="1"/>
        <v>0</v>
      </c>
      <c r="M29" s="48"/>
      <c r="N29" s="48"/>
      <c r="O29" s="48">
        <f t="shared" si="2"/>
        <v>0</v>
      </c>
      <c r="P29" s="48"/>
      <c r="Q29" s="48"/>
      <c r="R29" s="48">
        <f t="shared" si="3"/>
        <v>0</v>
      </c>
      <c r="S29" s="48"/>
      <c r="T29" s="48"/>
      <c r="U29" s="48">
        <f t="shared" si="4"/>
        <v>1053000</v>
      </c>
      <c r="V29" s="48">
        <v>1053000</v>
      </c>
      <c r="W29" s="48"/>
      <c r="X29" s="48">
        <f t="shared" si="5"/>
        <v>0</v>
      </c>
      <c r="Y29" s="48"/>
      <c r="Z29" s="48"/>
      <c r="AA29" s="49">
        <f t="shared" si="6"/>
        <v>-64000</v>
      </c>
      <c r="AB29" s="50">
        <v>45902</v>
      </c>
    </row>
    <row r="30" spans="1:28" ht="15.75" hidden="1" x14ac:dyDescent="0.25">
      <c r="A30" s="28">
        <v>45904</v>
      </c>
      <c r="B30" s="10" t="s">
        <v>81</v>
      </c>
      <c r="C30" s="10"/>
      <c r="D30" s="10" t="s">
        <v>32</v>
      </c>
      <c r="E30" s="10" t="s">
        <v>80</v>
      </c>
      <c r="F30" s="60">
        <v>45.2</v>
      </c>
      <c r="G30" s="10" t="s">
        <v>36</v>
      </c>
      <c r="H30" s="60">
        <v>43000</v>
      </c>
      <c r="I30" s="10">
        <f t="shared" si="0"/>
        <v>1943600.0000000002</v>
      </c>
      <c r="J30" s="52" t="s">
        <v>30</v>
      </c>
      <c r="K30" s="61" t="s">
        <v>82</v>
      </c>
      <c r="L30" s="12">
        <f t="shared" si="1"/>
        <v>1874600</v>
      </c>
      <c r="M30" s="12">
        <v>1874600</v>
      </c>
      <c r="N30" s="12"/>
      <c r="O30" s="12">
        <f t="shared" si="2"/>
        <v>0</v>
      </c>
      <c r="P30" s="12"/>
      <c r="Q30" s="12"/>
      <c r="R30" s="12">
        <f t="shared" si="3"/>
        <v>0</v>
      </c>
      <c r="S30" s="12"/>
      <c r="T30" s="12"/>
      <c r="U30" s="12">
        <f t="shared" si="4"/>
        <v>0</v>
      </c>
      <c r="V30" s="12"/>
      <c r="W30" s="12"/>
      <c r="X30" s="12">
        <f t="shared" si="5"/>
        <v>0</v>
      </c>
      <c r="Y30" s="12"/>
      <c r="Z30" s="12"/>
      <c r="AA30" s="13">
        <f t="shared" si="6"/>
        <v>69000.000000000233</v>
      </c>
      <c r="AB30" s="14">
        <v>45939</v>
      </c>
    </row>
    <row r="31" spans="1:28" ht="15.75" hidden="1" x14ac:dyDescent="0.25">
      <c r="A31" s="28">
        <v>45905</v>
      </c>
      <c r="B31" s="10" t="s">
        <v>83</v>
      </c>
      <c r="C31" s="10"/>
      <c r="D31" s="10" t="s">
        <v>32</v>
      </c>
      <c r="E31" s="10" t="s">
        <v>84</v>
      </c>
      <c r="F31" s="10">
        <v>50.2</v>
      </c>
      <c r="G31" s="10" t="s">
        <v>36</v>
      </c>
      <c r="H31" s="10">
        <v>42000</v>
      </c>
      <c r="I31" s="10">
        <f t="shared" si="0"/>
        <v>2108400</v>
      </c>
      <c r="J31" s="29" t="s">
        <v>40</v>
      </c>
      <c r="K31" s="10"/>
      <c r="L31" s="12">
        <f t="shared" si="1"/>
        <v>0</v>
      </c>
      <c r="M31" s="12"/>
      <c r="N31" s="12"/>
      <c r="O31" s="12">
        <f t="shared" si="2"/>
        <v>0</v>
      </c>
      <c r="P31" s="12"/>
      <c r="Q31" s="12"/>
      <c r="R31" s="12">
        <f t="shared" si="3"/>
        <v>0</v>
      </c>
      <c r="S31" s="12"/>
      <c r="T31" s="12"/>
      <c r="U31" s="12">
        <f t="shared" si="4"/>
        <v>2142000</v>
      </c>
      <c r="V31" s="12">
        <v>2142000</v>
      </c>
      <c r="W31" s="12"/>
      <c r="X31" s="12">
        <f t="shared" si="5"/>
        <v>0</v>
      </c>
      <c r="Y31" s="12"/>
      <c r="Z31" s="12"/>
      <c r="AA31" s="13">
        <f t="shared" si="6"/>
        <v>-33600</v>
      </c>
      <c r="AB31" s="14">
        <v>45905</v>
      </c>
    </row>
    <row r="32" spans="1:28" ht="15.75" hidden="1" x14ac:dyDescent="0.25">
      <c r="A32" s="28">
        <v>45908</v>
      </c>
      <c r="B32" s="10" t="s">
        <v>85</v>
      </c>
      <c r="C32" s="10"/>
      <c r="D32" s="10" t="s">
        <v>32</v>
      </c>
      <c r="E32" s="10" t="s">
        <v>86</v>
      </c>
      <c r="F32" s="10">
        <v>28.5</v>
      </c>
      <c r="G32" s="10" t="s">
        <v>36</v>
      </c>
      <c r="H32" s="10">
        <v>43000</v>
      </c>
      <c r="I32" s="10">
        <f t="shared" si="0"/>
        <v>1225500</v>
      </c>
      <c r="J32" s="29" t="s">
        <v>40</v>
      </c>
      <c r="K32" s="10"/>
      <c r="L32" s="12">
        <f t="shared" si="1"/>
        <v>0</v>
      </c>
      <c r="M32" s="12"/>
      <c r="N32" s="12"/>
      <c r="O32" s="12">
        <f t="shared" si="2"/>
        <v>1257500</v>
      </c>
      <c r="P32" s="12">
        <v>1257500</v>
      </c>
      <c r="Q32" s="12"/>
      <c r="R32" s="12">
        <f t="shared" si="3"/>
        <v>0</v>
      </c>
      <c r="S32" s="12"/>
      <c r="T32" s="12"/>
      <c r="U32" s="12">
        <f t="shared" si="4"/>
        <v>0</v>
      </c>
      <c r="V32" s="12"/>
      <c r="W32" s="12"/>
      <c r="X32" s="12">
        <f t="shared" si="5"/>
        <v>0</v>
      </c>
      <c r="Y32" s="12"/>
      <c r="Z32" s="12"/>
      <c r="AA32" s="13">
        <f t="shared" si="6"/>
        <v>-32000</v>
      </c>
      <c r="AB32" s="14">
        <v>45908</v>
      </c>
    </row>
    <row r="33" spans="1:28" ht="15.75" hidden="1" x14ac:dyDescent="0.25">
      <c r="A33" s="28">
        <v>45915</v>
      </c>
      <c r="B33" s="10" t="s">
        <v>87</v>
      </c>
      <c r="C33" s="10"/>
      <c r="D33" s="10" t="s">
        <v>28</v>
      </c>
      <c r="E33" s="10" t="s">
        <v>88</v>
      </c>
      <c r="F33" s="10">
        <v>25</v>
      </c>
      <c r="G33" s="10" t="s">
        <v>36</v>
      </c>
      <c r="H33" s="10">
        <v>120000</v>
      </c>
      <c r="I33" s="10">
        <f t="shared" si="0"/>
        <v>3000000</v>
      </c>
      <c r="J33" s="52" t="s">
        <v>30</v>
      </c>
      <c r="K33" s="10"/>
      <c r="L33" s="12">
        <f t="shared" si="1"/>
        <v>2990000</v>
      </c>
      <c r="M33" s="12">
        <v>2990000</v>
      </c>
      <c r="N33" s="12"/>
      <c r="O33" s="12">
        <f t="shared" si="2"/>
        <v>0</v>
      </c>
      <c r="P33" s="12"/>
      <c r="Q33" s="12"/>
      <c r="R33" s="12">
        <f t="shared" si="3"/>
        <v>0</v>
      </c>
      <c r="S33" s="12"/>
      <c r="T33" s="12"/>
      <c r="U33" s="12">
        <f t="shared" si="4"/>
        <v>0</v>
      </c>
      <c r="V33" s="12"/>
      <c r="W33" s="12"/>
      <c r="X33" s="12">
        <f t="shared" si="5"/>
        <v>0</v>
      </c>
      <c r="Y33" s="12"/>
      <c r="Z33" s="12"/>
      <c r="AA33" s="13">
        <f t="shared" si="6"/>
        <v>10000</v>
      </c>
      <c r="AB33" s="14">
        <v>45915</v>
      </c>
    </row>
    <row r="34" spans="1:28" ht="15.75" hidden="1" x14ac:dyDescent="0.25">
      <c r="A34" s="28">
        <v>45923</v>
      </c>
      <c r="B34" s="10" t="s">
        <v>89</v>
      </c>
      <c r="C34" s="10"/>
      <c r="D34" s="10" t="s">
        <v>32</v>
      </c>
      <c r="E34" s="10" t="s">
        <v>88</v>
      </c>
      <c r="F34" s="10">
        <v>200</v>
      </c>
      <c r="G34" s="10" t="s">
        <v>36</v>
      </c>
      <c r="H34" s="10">
        <v>82000</v>
      </c>
      <c r="I34" s="10">
        <f t="shared" si="0"/>
        <v>16400000</v>
      </c>
      <c r="J34" s="29" t="s">
        <v>110</v>
      </c>
      <c r="K34" s="71" t="s">
        <v>91</v>
      </c>
      <c r="L34" s="12">
        <f t="shared" si="1"/>
        <v>0</v>
      </c>
      <c r="M34" s="12"/>
      <c r="N34" s="12"/>
      <c r="O34" s="12">
        <f t="shared" si="2"/>
        <v>16400000</v>
      </c>
      <c r="P34" s="12">
        <v>16400000</v>
      </c>
      <c r="Q34" s="12"/>
      <c r="R34" s="12">
        <f t="shared" si="3"/>
        <v>0</v>
      </c>
      <c r="S34" s="12"/>
      <c r="T34" s="12"/>
      <c r="U34" s="12">
        <f t="shared" si="4"/>
        <v>0</v>
      </c>
      <c r="V34" s="12"/>
      <c r="W34" s="12"/>
      <c r="X34" s="12">
        <f t="shared" si="5"/>
        <v>0</v>
      </c>
      <c r="Y34" s="12"/>
      <c r="Z34" s="12"/>
      <c r="AA34" s="13">
        <f t="shared" si="6"/>
        <v>0</v>
      </c>
      <c r="AB34" s="14">
        <v>46028</v>
      </c>
    </row>
    <row r="35" spans="1:28" ht="15.75" hidden="1" x14ac:dyDescent="0.25">
      <c r="A35" s="28">
        <v>45923</v>
      </c>
      <c r="B35" s="10" t="s">
        <v>89</v>
      </c>
      <c r="C35" s="10"/>
      <c r="D35" s="10" t="s">
        <v>32</v>
      </c>
      <c r="E35" s="10" t="s">
        <v>92</v>
      </c>
      <c r="F35" s="10">
        <v>138.6</v>
      </c>
      <c r="G35" s="10" t="s">
        <v>36</v>
      </c>
      <c r="H35" s="10">
        <v>43000</v>
      </c>
      <c r="I35" s="10">
        <f t="shared" si="0"/>
        <v>5959800</v>
      </c>
      <c r="J35" s="29" t="s">
        <v>110</v>
      </c>
      <c r="K35" s="71" t="s">
        <v>91</v>
      </c>
      <c r="L35" s="12">
        <f t="shared" si="1"/>
        <v>0</v>
      </c>
      <c r="M35" s="12"/>
      <c r="N35" s="12"/>
      <c r="O35" s="12">
        <f t="shared" si="2"/>
        <v>5959800</v>
      </c>
      <c r="P35" s="12">
        <v>5959800</v>
      </c>
      <c r="Q35" s="12"/>
      <c r="R35" s="12">
        <f t="shared" si="3"/>
        <v>0</v>
      </c>
      <c r="S35" s="12"/>
      <c r="T35" s="12"/>
      <c r="U35" s="12">
        <f t="shared" si="4"/>
        <v>0</v>
      </c>
      <c r="V35" s="12"/>
      <c r="W35" s="12"/>
      <c r="X35" s="12">
        <f t="shared" si="5"/>
        <v>0</v>
      </c>
      <c r="Y35" s="12"/>
      <c r="Z35" s="12"/>
      <c r="AA35" s="13">
        <f t="shared" si="6"/>
        <v>0</v>
      </c>
      <c r="AB35" s="14">
        <v>46028</v>
      </c>
    </row>
    <row r="36" spans="1:28" ht="15.75" hidden="1" x14ac:dyDescent="0.25">
      <c r="A36" s="28">
        <v>45923</v>
      </c>
      <c r="B36" s="10" t="s">
        <v>89</v>
      </c>
      <c r="C36" s="10"/>
      <c r="D36" s="10" t="s">
        <v>32</v>
      </c>
      <c r="E36" s="10" t="s">
        <v>93</v>
      </c>
      <c r="F36" s="10">
        <v>95.9</v>
      </c>
      <c r="G36" s="10" t="s">
        <v>36</v>
      </c>
      <c r="H36" s="10">
        <v>43000</v>
      </c>
      <c r="I36" s="10">
        <f t="shared" si="0"/>
        <v>4123700.0000000005</v>
      </c>
      <c r="J36" s="29" t="s">
        <v>110</v>
      </c>
      <c r="K36" s="71" t="s">
        <v>91</v>
      </c>
      <c r="L36" s="12">
        <f t="shared" si="1"/>
        <v>0</v>
      </c>
      <c r="M36" s="12"/>
      <c r="N36" s="12"/>
      <c r="O36" s="12">
        <f t="shared" si="2"/>
        <v>4123700</v>
      </c>
      <c r="P36" s="12">
        <v>4123700</v>
      </c>
      <c r="Q36" s="12"/>
      <c r="R36" s="12">
        <f t="shared" si="3"/>
        <v>0</v>
      </c>
      <c r="S36" s="12"/>
      <c r="T36" s="12"/>
      <c r="U36" s="12">
        <f t="shared" si="4"/>
        <v>0</v>
      </c>
      <c r="V36" s="12"/>
      <c r="W36" s="12"/>
      <c r="X36" s="12">
        <f t="shared" si="5"/>
        <v>0</v>
      </c>
      <c r="Y36" s="12"/>
      <c r="Z36" s="12"/>
      <c r="AA36" s="13">
        <f t="shared" si="6"/>
        <v>4.6566128730773926E-10</v>
      </c>
      <c r="AB36" s="14">
        <v>46028</v>
      </c>
    </row>
    <row r="37" spans="1:28" ht="15.75" hidden="1" x14ac:dyDescent="0.25">
      <c r="A37" s="28">
        <v>45923</v>
      </c>
      <c r="B37" s="10" t="s">
        <v>94</v>
      </c>
      <c r="C37" s="10"/>
      <c r="D37" s="10" t="s">
        <v>28</v>
      </c>
      <c r="E37" s="10" t="s">
        <v>95</v>
      </c>
      <c r="F37" s="10">
        <v>632</v>
      </c>
      <c r="G37" s="10" t="s">
        <v>36</v>
      </c>
      <c r="H37" s="10">
        <v>14300</v>
      </c>
      <c r="I37" s="10">
        <f t="shared" si="0"/>
        <v>9037600</v>
      </c>
      <c r="J37" s="52" t="s">
        <v>90</v>
      </c>
      <c r="K37" s="63" t="s">
        <v>96</v>
      </c>
      <c r="L37" s="12">
        <f t="shared" si="1"/>
        <v>5185000</v>
      </c>
      <c r="M37" s="12">
        <v>5185000</v>
      </c>
      <c r="N37" s="12"/>
      <c r="O37" s="12">
        <f t="shared" si="2"/>
        <v>0</v>
      </c>
      <c r="P37" s="12"/>
      <c r="Q37" s="12"/>
      <c r="R37" s="12">
        <f t="shared" si="3"/>
        <v>0</v>
      </c>
      <c r="S37" s="12"/>
      <c r="T37" s="12"/>
      <c r="U37" s="12">
        <f t="shared" si="4"/>
        <v>0</v>
      </c>
      <c r="V37" s="12"/>
      <c r="W37" s="12"/>
      <c r="X37" s="12">
        <f t="shared" si="5"/>
        <v>0</v>
      </c>
      <c r="Y37" s="12"/>
      <c r="Z37" s="12"/>
      <c r="AA37" s="13">
        <f t="shared" si="6"/>
        <v>3852600</v>
      </c>
      <c r="AB37" s="14">
        <v>45929</v>
      </c>
    </row>
    <row r="38" spans="1:28" ht="15.75" hidden="1" x14ac:dyDescent="0.25">
      <c r="A38" s="28">
        <v>45923</v>
      </c>
      <c r="B38" s="10" t="s">
        <v>97</v>
      </c>
      <c r="C38" s="10"/>
      <c r="D38" s="10" t="s">
        <v>32</v>
      </c>
      <c r="E38" s="10" t="s">
        <v>98</v>
      </c>
      <c r="F38" s="10">
        <v>8000</v>
      </c>
      <c r="G38" s="10" t="s">
        <v>26</v>
      </c>
      <c r="H38" s="10">
        <v>1900</v>
      </c>
      <c r="I38" s="10">
        <f t="shared" si="0"/>
        <v>15200000</v>
      </c>
      <c r="J38" s="52" t="s">
        <v>90</v>
      </c>
      <c r="K38" s="63" t="s">
        <v>99</v>
      </c>
      <c r="L38" s="12">
        <f t="shared" si="1"/>
        <v>0</v>
      </c>
      <c r="M38" s="12"/>
      <c r="N38" s="12"/>
      <c r="O38" s="12">
        <f t="shared" si="2"/>
        <v>0</v>
      </c>
      <c r="P38" s="12"/>
      <c r="Q38" s="12"/>
      <c r="R38" s="12">
        <f t="shared" si="3"/>
        <v>0</v>
      </c>
      <c r="S38" s="12"/>
      <c r="T38" s="12"/>
      <c r="U38" s="12">
        <f t="shared" si="4"/>
        <v>0</v>
      </c>
      <c r="V38" s="12"/>
      <c r="W38" s="12"/>
      <c r="X38" s="12">
        <f t="shared" si="5"/>
        <v>0</v>
      </c>
      <c r="Y38" s="12"/>
      <c r="Z38" s="12"/>
      <c r="AA38" s="13">
        <f t="shared" si="6"/>
        <v>15200000</v>
      </c>
      <c r="AB38" s="14"/>
    </row>
    <row r="39" spans="1:28" ht="15.75" hidden="1" x14ac:dyDescent="0.25">
      <c r="A39" s="28">
        <v>45930</v>
      </c>
      <c r="B39" s="10" t="s">
        <v>94</v>
      </c>
      <c r="C39" s="10"/>
      <c r="D39" s="10" t="s">
        <v>28</v>
      </c>
      <c r="E39" s="10" t="s">
        <v>100</v>
      </c>
      <c r="F39" s="10">
        <v>644</v>
      </c>
      <c r="G39" s="10" t="s">
        <v>36</v>
      </c>
      <c r="H39" s="10">
        <v>14300</v>
      </c>
      <c r="I39" s="10">
        <f t="shared" si="0"/>
        <v>9209200</v>
      </c>
      <c r="J39" s="52" t="s">
        <v>30</v>
      </c>
      <c r="K39" s="63" t="s">
        <v>96</v>
      </c>
      <c r="L39" s="12">
        <f t="shared" si="1"/>
        <v>0</v>
      </c>
      <c r="M39" s="12"/>
      <c r="N39" s="12"/>
      <c r="O39" s="12">
        <f t="shared" si="2"/>
        <v>0</v>
      </c>
      <c r="P39" s="12"/>
      <c r="Q39" s="12"/>
      <c r="R39" s="12">
        <f t="shared" si="3"/>
        <v>0</v>
      </c>
      <c r="S39" s="12"/>
      <c r="T39" s="12"/>
      <c r="U39" s="12">
        <f t="shared" si="4"/>
        <v>0</v>
      </c>
      <c r="V39" s="12"/>
      <c r="W39" s="12"/>
      <c r="X39" s="12">
        <f t="shared" si="5"/>
        <v>0</v>
      </c>
      <c r="Y39" s="12"/>
      <c r="Z39" s="12"/>
      <c r="AA39" s="13">
        <f t="shared" si="6"/>
        <v>9209200</v>
      </c>
      <c r="AB39" s="14"/>
    </row>
    <row r="40" spans="1:28" ht="15.75" hidden="1" x14ac:dyDescent="0.25">
      <c r="A40" s="28">
        <v>45930</v>
      </c>
      <c r="B40" s="10" t="s">
        <v>101</v>
      </c>
      <c r="C40" s="10"/>
      <c r="D40" s="10" t="s">
        <v>32</v>
      </c>
      <c r="E40" s="10" t="s">
        <v>102</v>
      </c>
      <c r="F40" s="10">
        <v>2000</v>
      </c>
      <c r="G40" s="10" t="s">
        <v>26</v>
      </c>
      <c r="H40" s="10">
        <v>4000</v>
      </c>
      <c r="I40" s="10">
        <f t="shared" si="0"/>
        <v>8000000</v>
      </c>
      <c r="J40" s="29" t="s">
        <v>110</v>
      </c>
      <c r="K40" s="71" t="s">
        <v>103</v>
      </c>
      <c r="L40" s="12">
        <f t="shared" si="1"/>
        <v>0</v>
      </c>
      <c r="M40" s="12"/>
      <c r="N40" s="12"/>
      <c r="O40" s="12">
        <f t="shared" si="2"/>
        <v>8000000</v>
      </c>
      <c r="P40" s="12">
        <v>7370000</v>
      </c>
      <c r="Q40" s="12">
        <v>630000</v>
      </c>
      <c r="R40" s="12">
        <f t="shared" si="3"/>
        <v>0</v>
      </c>
      <c r="S40" s="12"/>
      <c r="T40" s="12"/>
      <c r="U40" s="12">
        <f t="shared" si="4"/>
        <v>0</v>
      </c>
      <c r="V40" s="12"/>
      <c r="W40" s="12"/>
      <c r="X40" s="12">
        <f t="shared" si="5"/>
        <v>0</v>
      </c>
      <c r="Y40" s="12"/>
      <c r="Z40" s="12"/>
      <c r="AA40" s="13">
        <f t="shared" si="6"/>
        <v>0</v>
      </c>
      <c r="AB40" s="14">
        <v>46006</v>
      </c>
    </row>
    <row r="41" spans="1:28" ht="16.5" hidden="1" thickBot="1" x14ac:dyDescent="0.3">
      <c r="A41" s="30">
        <v>45930</v>
      </c>
      <c r="B41" s="31" t="s">
        <v>89</v>
      </c>
      <c r="C41" s="31"/>
      <c r="D41" s="31" t="s">
        <v>28</v>
      </c>
      <c r="E41" s="31" t="s">
        <v>104</v>
      </c>
      <c r="F41" s="31">
        <v>5200</v>
      </c>
      <c r="G41" s="31" t="s">
        <v>26</v>
      </c>
      <c r="H41" s="31">
        <v>1900</v>
      </c>
      <c r="I41" s="31">
        <f t="shared" si="0"/>
        <v>9880000</v>
      </c>
      <c r="J41" s="51" t="s">
        <v>110</v>
      </c>
      <c r="K41" s="91" t="s">
        <v>91</v>
      </c>
      <c r="L41" s="34">
        <f t="shared" si="1"/>
        <v>0</v>
      </c>
      <c r="M41" s="34"/>
      <c r="N41" s="34"/>
      <c r="O41" s="34">
        <f t="shared" si="2"/>
        <v>9880000</v>
      </c>
      <c r="P41" s="34">
        <v>5343500</v>
      </c>
      <c r="Q41" s="34">
        <v>4536500</v>
      </c>
      <c r="R41" s="34">
        <f t="shared" si="3"/>
        <v>0</v>
      </c>
      <c r="S41" s="34"/>
      <c r="T41" s="34"/>
      <c r="U41" s="34">
        <f t="shared" si="4"/>
        <v>0</v>
      </c>
      <c r="V41" s="34"/>
      <c r="W41" s="34"/>
      <c r="X41" s="34">
        <f t="shared" si="5"/>
        <v>0</v>
      </c>
      <c r="Y41" s="34"/>
      <c r="Z41" s="34"/>
      <c r="AA41" s="35">
        <f t="shared" si="6"/>
        <v>0</v>
      </c>
      <c r="AB41" s="36">
        <v>46028</v>
      </c>
    </row>
    <row r="42" spans="1:28" ht="15.75" hidden="1" x14ac:dyDescent="0.25">
      <c r="A42" s="65">
        <v>45933</v>
      </c>
      <c r="B42" s="10" t="s">
        <v>74</v>
      </c>
      <c r="C42" s="10"/>
      <c r="D42" s="10" t="s">
        <v>28</v>
      </c>
      <c r="E42" s="10" t="s">
        <v>75</v>
      </c>
      <c r="F42" s="60">
        <v>20</v>
      </c>
      <c r="G42" s="10" t="s">
        <v>36</v>
      </c>
      <c r="H42" s="60">
        <v>60000</v>
      </c>
      <c r="I42" s="7">
        <f t="shared" si="0"/>
        <v>1200000</v>
      </c>
      <c r="J42" s="52" t="s">
        <v>76</v>
      </c>
      <c r="K42" s="60"/>
      <c r="L42" s="12">
        <f t="shared" si="1"/>
        <v>0</v>
      </c>
      <c r="M42" s="12"/>
      <c r="N42" s="12"/>
      <c r="O42" s="12">
        <f t="shared" si="2"/>
        <v>0</v>
      </c>
      <c r="P42" s="12"/>
      <c r="Q42" s="12"/>
      <c r="R42" s="12">
        <f t="shared" si="3"/>
        <v>0</v>
      </c>
      <c r="S42" s="12"/>
      <c r="T42" s="12"/>
      <c r="U42" s="12">
        <f t="shared" si="4"/>
        <v>0</v>
      </c>
      <c r="V42" s="12"/>
      <c r="W42" s="12"/>
      <c r="X42" s="12">
        <f t="shared" si="5"/>
        <v>0</v>
      </c>
      <c r="Y42" s="12"/>
      <c r="Z42" s="12"/>
      <c r="AA42" s="13">
        <f t="shared" si="6"/>
        <v>1200000</v>
      </c>
      <c r="AB42" s="14"/>
    </row>
    <row r="43" spans="1:28" ht="15.75" hidden="1" x14ac:dyDescent="0.25">
      <c r="A43" s="65">
        <v>45934</v>
      </c>
      <c r="B43" s="66" t="s">
        <v>89</v>
      </c>
      <c r="C43" s="66"/>
      <c r="D43" s="66" t="s">
        <v>32</v>
      </c>
      <c r="E43" s="66" t="s">
        <v>104</v>
      </c>
      <c r="F43" s="66">
        <v>5000</v>
      </c>
      <c r="G43" s="66" t="s">
        <v>26</v>
      </c>
      <c r="H43" s="66">
        <v>1900</v>
      </c>
      <c r="I43" s="66">
        <f t="shared" si="0"/>
        <v>9500000</v>
      </c>
      <c r="J43" s="84" t="s">
        <v>40</v>
      </c>
      <c r="K43" s="92" t="s">
        <v>105</v>
      </c>
      <c r="L43" s="67">
        <f t="shared" si="1"/>
        <v>0</v>
      </c>
      <c r="M43" s="67"/>
      <c r="N43" s="67"/>
      <c r="O43" s="67">
        <f t="shared" si="2"/>
        <v>20463500</v>
      </c>
      <c r="P43" s="67">
        <v>20463500</v>
      </c>
      <c r="Q43" s="67"/>
      <c r="R43" s="67">
        <f t="shared" si="3"/>
        <v>0</v>
      </c>
      <c r="S43" s="67"/>
      <c r="T43" s="67"/>
      <c r="U43" s="67">
        <f t="shared" si="4"/>
        <v>0</v>
      </c>
      <c r="V43" s="67"/>
      <c r="W43" s="67"/>
      <c r="X43" s="67">
        <f t="shared" si="5"/>
        <v>0</v>
      </c>
      <c r="Y43" s="67"/>
      <c r="Z43" s="67"/>
      <c r="AA43" s="68">
        <f t="shared" si="6"/>
        <v>-10963500</v>
      </c>
      <c r="AB43" s="69">
        <v>46035</v>
      </c>
    </row>
    <row r="44" spans="1:28" ht="15.75" hidden="1" x14ac:dyDescent="0.25">
      <c r="A44" s="28">
        <v>45945</v>
      </c>
      <c r="B44" s="10" t="s">
        <v>106</v>
      </c>
      <c r="C44" s="10"/>
      <c r="D44" s="10" t="s">
        <v>32</v>
      </c>
      <c r="E44" s="10" t="s">
        <v>107</v>
      </c>
      <c r="F44" s="10">
        <v>100</v>
      </c>
      <c r="G44" s="10" t="s">
        <v>36</v>
      </c>
      <c r="H44" s="10">
        <v>60000</v>
      </c>
      <c r="I44" s="10">
        <f t="shared" si="0"/>
        <v>6000000</v>
      </c>
      <c r="J44" s="29" t="s">
        <v>40</v>
      </c>
      <c r="K44" s="10" t="s">
        <v>108</v>
      </c>
      <c r="L44" s="12">
        <f t="shared" si="1"/>
        <v>0</v>
      </c>
      <c r="M44" s="12"/>
      <c r="N44" s="12"/>
      <c r="O44" s="12">
        <f t="shared" si="2"/>
        <v>7120000</v>
      </c>
      <c r="P44" s="12">
        <v>7120000</v>
      </c>
      <c r="Q44" s="12"/>
      <c r="R44" s="12">
        <f t="shared" si="3"/>
        <v>0</v>
      </c>
      <c r="S44" s="12"/>
      <c r="T44" s="12"/>
      <c r="U44" s="12">
        <f t="shared" si="4"/>
        <v>0</v>
      </c>
      <c r="V44" s="12"/>
      <c r="W44" s="12"/>
      <c r="X44" s="12">
        <f t="shared" si="5"/>
        <v>0</v>
      </c>
      <c r="Y44" s="12"/>
      <c r="Z44" s="12"/>
      <c r="AA44" s="13">
        <f t="shared" si="6"/>
        <v>-1120000</v>
      </c>
      <c r="AB44" s="14">
        <v>45952</v>
      </c>
    </row>
    <row r="45" spans="1:28" ht="15.75" hidden="1" x14ac:dyDescent="0.25">
      <c r="A45" s="28">
        <v>45945</v>
      </c>
      <c r="B45" s="10" t="s">
        <v>109</v>
      </c>
      <c r="C45" s="10"/>
      <c r="D45" s="10" t="s">
        <v>28</v>
      </c>
      <c r="E45" s="10" t="s">
        <v>107</v>
      </c>
      <c r="F45" s="10">
        <v>20</v>
      </c>
      <c r="G45" s="10" t="s">
        <v>36</v>
      </c>
      <c r="H45" s="10">
        <v>55000</v>
      </c>
      <c r="I45" s="10">
        <f t="shared" si="0"/>
        <v>1100000</v>
      </c>
      <c r="J45" s="70" t="s">
        <v>90</v>
      </c>
      <c r="K45" s="63" t="s">
        <v>91</v>
      </c>
      <c r="L45" s="12">
        <f t="shared" si="1"/>
        <v>0</v>
      </c>
      <c r="M45" s="12"/>
      <c r="N45" s="12"/>
      <c r="O45" s="12">
        <f t="shared" si="2"/>
        <v>625100</v>
      </c>
      <c r="P45" s="12">
        <v>625100</v>
      </c>
      <c r="Q45" s="12"/>
      <c r="R45" s="12">
        <f t="shared" si="3"/>
        <v>0</v>
      </c>
      <c r="S45" s="12"/>
      <c r="T45" s="12"/>
      <c r="U45" s="12">
        <f t="shared" si="4"/>
        <v>0</v>
      </c>
      <c r="V45" s="12"/>
      <c r="W45" s="12"/>
      <c r="X45" s="12">
        <f t="shared" si="5"/>
        <v>0</v>
      </c>
      <c r="Y45" s="12"/>
      <c r="Z45" s="12"/>
      <c r="AA45" s="13">
        <f t="shared" si="6"/>
        <v>474900</v>
      </c>
      <c r="AB45" s="14">
        <v>45979</v>
      </c>
    </row>
    <row r="46" spans="1:28" ht="15.75" hidden="1" x14ac:dyDescent="0.25">
      <c r="A46" s="65">
        <v>45948</v>
      </c>
      <c r="B46" s="10" t="s">
        <v>74</v>
      </c>
      <c r="C46" s="10"/>
      <c r="D46" s="66" t="s">
        <v>32</v>
      </c>
      <c r="E46" s="10" t="s">
        <v>75</v>
      </c>
      <c r="F46" s="10">
        <v>20</v>
      </c>
      <c r="G46" s="10" t="s">
        <v>36</v>
      </c>
      <c r="H46" s="10">
        <v>60000</v>
      </c>
      <c r="I46" s="7">
        <f t="shared" si="0"/>
        <v>1200000</v>
      </c>
      <c r="J46" s="52" t="s">
        <v>76</v>
      </c>
      <c r="K46" s="10"/>
      <c r="L46" s="12">
        <f t="shared" si="1"/>
        <v>0</v>
      </c>
      <c r="M46" s="12"/>
      <c r="N46" s="12"/>
      <c r="O46" s="12">
        <f t="shared" si="2"/>
        <v>0</v>
      </c>
      <c r="P46" s="12"/>
      <c r="Q46" s="12"/>
      <c r="R46" s="12">
        <f t="shared" si="3"/>
        <v>0</v>
      </c>
      <c r="S46" s="12"/>
      <c r="T46" s="12"/>
      <c r="U46" s="12">
        <f t="shared" si="4"/>
        <v>0</v>
      </c>
      <c r="V46" s="12"/>
      <c r="W46" s="12"/>
      <c r="X46" s="12">
        <f t="shared" si="5"/>
        <v>0</v>
      </c>
      <c r="Y46" s="12"/>
      <c r="Z46" s="12"/>
      <c r="AA46" s="13">
        <f t="shared" si="6"/>
        <v>1200000</v>
      </c>
      <c r="AB46" s="14"/>
    </row>
    <row r="47" spans="1:28" ht="15.75" hidden="1" x14ac:dyDescent="0.25">
      <c r="A47" s="28">
        <v>45950</v>
      </c>
      <c r="B47" s="10" t="s">
        <v>74</v>
      </c>
      <c r="C47" s="10"/>
      <c r="D47" s="10" t="s">
        <v>32</v>
      </c>
      <c r="E47" s="10" t="s">
        <v>88</v>
      </c>
      <c r="F47" s="10">
        <v>25</v>
      </c>
      <c r="G47" s="10" t="s">
        <v>36</v>
      </c>
      <c r="H47" s="10">
        <v>95400</v>
      </c>
      <c r="I47" s="10">
        <f t="shared" si="0"/>
        <v>2385000</v>
      </c>
      <c r="J47" s="29" t="s">
        <v>110</v>
      </c>
      <c r="K47" s="71" t="s">
        <v>91</v>
      </c>
      <c r="L47" s="12">
        <f t="shared" si="1"/>
        <v>0</v>
      </c>
      <c r="M47" s="12"/>
      <c r="N47" s="12"/>
      <c r="O47" s="12">
        <f t="shared" si="2"/>
        <v>2385000</v>
      </c>
      <c r="P47" s="12">
        <v>2385000</v>
      </c>
      <c r="Q47" s="12"/>
      <c r="R47" s="12">
        <f t="shared" si="3"/>
        <v>0</v>
      </c>
      <c r="S47" s="12"/>
      <c r="T47" s="12"/>
      <c r="U47" s="12">
        <f t="shared" si="4"/>
        <v>0</v>
      </c>
      <c r="V47" s="12"/>
      <c r="W47" s="12"/>
      <c r="X47" s="12">
        <f t="shared" si="5"/>
        <v>0</v>
      </c>
      <c r="Y47" s="12"/>
      <c r="Z47" s="12"/>
      <c r="AA47" s="13">
        <f t="shared" si="6"/>
        <v>0</v>
      </c>
      <c r="AB47" s="14">
        <v>45866</v>
      </c>
    </row>
    <row r="48" spans="1:28" ht="15.75" hidden="1" x14ac:dyDescent="0.25">
      <c r="A48" s="28">
        <v>45950</v>
      </c>
      <c r="B48" s="10" t="s">
        <v>111</v>
      </c>
      <c r="C48" s="10"/>
      <c r="D48" s="10" t="s">
        <v>32</v>
      </c>
      <c r="E48" s="10" t="s">
        <v>112</v>
      </c>
      <c r="F48" s="10">
        <v>1</v>
      </c>
      <c r="G48" s="10" t="s">
        <v>26</v>
      </c>
      <c r="H48" s="10">
        <v>95000</v>
      </c>
      <c r="I48" s="10">
        <f t="shared" si="0"/>
        <v>95000</v>
      </c>
      <c r="J48" s="29" t="s">
        <v>113</v>
      </c>
      <c r="K48" s="10"/>
      <c r="L48" s="12">
        <f t="shared" si="1"/>
        <v>0</v>
      </c>
      <c r="M48" s="12"/>
      <c r="N48" s="12"/>
      <c r="O48" s="12">
        <f t="shared" si="2"/>
        <v>0</v>
      </c>
      <c r="P48" s="12"/>
      <c r="Q48" s="12"/>
      <c r="R48" s="12">
        <f t="shared" si="3"/>
        <v>0</v>
      </c>
      <c r="S48" s="12"/>
      <c r="T48" s="12"/>
      <c r="U48" s="12">
        <f t="shared" si="4"/>
        <v>95000</v>
      </c>
      <c r="V48" s="12">
        <v>75000</v>
      </c>
      <c r="W48" s="12">
        <v>20000</v>
      </c>
      <c r="X48" s="12">
        <f t="shared" si="5"/>
        <v>0</v>
      </c>
      <c r="Y48" s="12"/>
      <c r="Z48" s="12"/>
      <c r="AA48" s="13">
        <f t="shared" si="6"/>
        <v>0</v>
      </c>
      <c r="AB48" s="14">
        <v>45950</v>
      </c>
    </row>
    <row r="49" spans="1:28" ht="15.75" hidden="1" x14ac:dyDescent="0.25">
      <c r="A49" s="28">
        <v>45952</v>
      </c>
      <c r="B49" s="10" t="s">
        <v>101</v>
      </c>
      <c r="C49" s="10"/>
      <c r="D49" s="10" t="s">
        <v>32</v>
      </c>
      <c r="E49" s="10" t="s">
        <v>114</v>
      </c>
      <c r="F49" s="10">
        <v>30</v>
      </c>
      <c r="G49" s="10" t="s">
        <v>67</v>
      </c>
      <c r="H49" s="10">
        <v>50000</v>
      </c>
      <c r="I49" s="10">
        <f t="shared" si="0"/>
        <v>1500000</v>
      </c>
      <c r="J49" s="29" t="s">
        <v>110</v>
      </c>
      <c r="K49" s="71" t="s">
        <v>115</v>
      </c>
      <c r="L49" s="12">
        <f t="shared" si="1"/>
        <v>0</v>
      </c>
      <c r="M49" s="12"/>
      <c r="N49" s="12"/>
      <c r="O49" s="12">
        <f t="shared" si="2"/>
        <v>1500000</v>
      </c>
      <c r="P49" s="12">
        <v>1500000</v>
      </c>
      <c r="Q49" s="12"/>
      <c r="R49" s="12">
        <f t="shared" si="3"/>
        <v>0</v>
      </c>
      <c r="S49" s="12"/>
      <c r="T49" s="12"/>
      <c r="U49" s="12">
        <f t="shared" si="4"/>
        <v>0</v>
      </c>
      <c r="V49" s="12"/>
      <c r="W49" s="12"/>
      <c r="X49" s="12">
        <f t="shared" si="5"/>
        <v>0</v>
      </c>
      <c r="Y49" s="12"/>
      <c r="Z49" s="12"/>
      <c r="AA49" s="13">
        <f t="shared" si="6"/>
        <v>0</v>
      </c>
      <c r="AB49" s="14">
        <v>46038</v>
      </c>
    </row>
    <row r="50" spans="1:28" ht="15.75" hidden="1" x14ac:dyDescent="0.25">
      <c r="A50" s="28">
        <v>45952</v>
      </c>
      <c r="B50" s="10" t="s">
        <v>101</v>
      </c>
      <c r="C50" s="10"/>
      <c r="D50" s="10" t="s">
        <v>32</v>
      </c>
      <c r="E50" s="10" t="s">
        <v>116</v>
      </c>
      <c r="F50" s="10">
        <v>20</v>
      </c>
      <c r="G50" s="10" t="s">
        <v>67</v>
      </c>
      <c r="H50" s="10">
        <v>65000</v>
      </c>
      <c r="I50" s="10">
        <f t="shared" si="0"/>
        <v>1300000</v>
      </c>
      <c r="J50" s="29" t="s">
        <v>110</v>
      </c>
      <c r="K50" s="71" t="s">
        <v>115</v>
      </c>
      <c r="L50" s="12">
        <f t="shared" si="1"/>
        <v>0</v>
      </c>
      <c r="M50" s="12"/>
      <c r="N50" s="12"/>
      <c r="O50" s="12">
        <f t="shared" si="2"/>
        <v>1300000</v>
      </c>
      <c r="P50" s="12">
        <v>1130000</v>
      </c>
      <c r="Q50" s="12">
        <v>170000</v>
      </c>
      <c r="R50" s="12">
        <f t="shared" si="3"/>
        <v>0</v>
      </c>
      <c r="S50" s="12"/>
      <c r="T50" s="12"/>
      <c r="U50" s="12">
        <f t="shared" si="4"/>
        <v>0</v>
      </c>
      <c r="V50" s="12"/>
      <c r="W50" s="12"/>
      <c r="X50" s="12">
        <f t="shared" si="5"/>
        <v>0</v>
      </c>
      <c r="Y50" s="12"/>
      <c r="Z50" s="12"/>
      <c r="AA50" s="13">
        <f t="shared" si="6"/>
        <v>0</v>
      </c>
      <c r="AB50" s="14">
        <v>46038</v>
      </c>
    </row>
    <row r="51" spans="1:28" ht="15.75" hidden="1" x14ac:dyDescent="0.25">
      <c r="A51" s="28">
        <v>45952</v>
      </c>
      <c r="B51" s="10" t="s">
        <v>101</v>
      </c>
      <c r="C51" s="10"/>
      <c r="D51" s="10" t="s">
        <v>32</v>
      </c>
      <c r="E51" s="10" t="s">
        <v>117</v>
      </c>
      <c r="F51" s="10">
        <v>10</v>
      </c>
      <c r="G51" s="10" t="s">
        <v>36</v>
      </c>
      <c r="H51" s="10">
        <v>70000</v>
      </c>
      <c r="I51" s="10">
        <f t="shared" si="0"/>
        <v>700000</v>
      </c>
      <c r="J51" s="29" t="s">
        <v>110</v>
      </c>
      <c r="K51" s="71" t="s">
        <v>115</v>
      </c>
      <c r="L51" s="12">
        <f t="shared" si="1"/>
        <v>0</v>
      </c>
      <c r="M51" s="12"/>
      <c r="N51" s="12"/>
      <c r="O51" s="12">
        <f t="shared" si="2"/>
        <v>700000</v>
      </c>
      <c r="P51" s="12"/>
      <c r="Q51" s="12">
        <v>700000</v>
      </c>
      <c r="R51" s="12">
        <f t="shared" si="3"/>
        <v>0</v>
      </c>
      <c r="S51" s="12"/>
      <c r="T51" s="12"/>
      <c r="U51" s="12">
        <f t="shared" si="4"/>
        <v>0</v>
      </c>
      <c r="V51" s="12"/>
      <c r="W51" s="12"/>
      <c r="X51" s="12">
        <f t="shared" si="5"/>
        <v>0</v>
      </c>
      <c r="Y51" s="12"/>
      <c r="Z51" s="12"/>
      <c r="AA51" s="13">
        <f t="shared" si="6"/>
        <v>0</v>
      </c>
      <c r="AB51" s="14">
        <v>46051</v>
      </c>
    </row>
    <row r="52" spans="1:28" ht="15.75" hidden="1" x14ac:dyDescent="0.25">
      <c r="A52" s="28">
        <v>45952</v>
      </c>
      <c r="B52" s="10" t="s">
        <v>101</v>
      </c>
      <c r="C52" s="10"/>
      <c r="D52" s="10" t="s">
        <v>32</v>
      </c>
      <c r="E52" s="10" t="s">
        <v>118</v>
      </c>
      <c r="F52" s="10">
        <v>3</v>
      </c>
      <c r="G52" s="10" t="s">
        <v>22</v>
      </c>
      <c r="H52" s="10">
        <v>400000</v>
      </c>
      <c r="I52" s="10">
        <f t="shared" si="0"/>
        <v>1200000</v>
      </c>
      <c r="J52" s="29" t="s">
        <v>110</v>
      </c>
      <c r="K52" s="71" t="s">
        <v>115</v>
      </c>
      <c r="L52" s="12">
        <f t="shared" si="1"/>
        <v>0</v>
      </c>
      <c r="M52" s="12"/>
      <c r="N52" s="12"/>
      <c r="O52" s="12">
        <f t="shared" si="2"/>
        <v>1200000</v>
      </c>
      <c r="P52" s="12"/>
      <c r="Q52" s="12">
        <v>1200000</v>
      </c>
      <c r="R52" s="12">
        <f t="shared" si="3"/>
        <v>0</v>
      </c>
      <c r="S52" s="12"/>
      <c r="T52" s="12"/>
      <c r="U52" s="12">
        <f t="shared" si="4"/>
        <v>0</v>
      </c>
      <c r="V52" s="12"/>
      <c r="W52" s="12"/>
      <c r="X52" s="12">
        <f t="shared" si="5"/>
        <v>0</v>
      </c>
      <c r="Y52" s="12"/>
      <c r="Z52" s="12"/>
      <c r="AA52" s="13">
        <f t="shared" si="6"/>
        <v>0</v>
      </c>
      <c r="AB52" s="14">
        <v>46051</v>
      </c>
    </row>
    <row r="53" spans="1:28" ht="15.75" hidden="1" x14ac:dyDescent="0.25">
      <c r="A53" s="28">
        <v>45954</v>
      </c>
      <c r="B53" s="10" t="s">
        <v>101</v>
      </c>
      <c r="C53" s="10"/>
      <c r="D53" s="10" t="s">
        <v>32</v>
      </c>
      <c r="E53" s="10" t="s">
        <v>88</v>
      </c>
      <c r="F53" s="10">
        <v>50</v>
      </c>
      <c r="G53" s="10" t="s">
        <v>36</v>
      </c>
      <c r="H53" s="10">
        <v>125000</v>
      </c>
      <c r="I53" s="10">
        <f t="shared" si="0"/>
        <v>6250000</v>
      </c>
      <c r="J53" s="29" t="s">
        <v>110</v>
      </c>
      <c r="K53" s="71" t="s">
        <v>115</v>
      </c>
      <c r="L53" s="12">
        <f t="shared" si="1"/>
        <v>0</v>
      </c>
      <c r="M53" s="12"/>
      <c r="N53" s="12"/>
      <c r="O53" s="12">
        <f t="shared" si="2"/>
        <v>6250000</v>
      </c>
      <c r="P53" s="12"/>
      <c r="Q53" s="12">
        <v>6250000</v>
      </c>
      <c r="R53" s="12">
        <f t="shared" si="3"/>
        <v>0</v>
      </c>
      <c r="S53" s="12"/>
      <c r="T53" s="12"/>
      <c r="U53" s="12">
        <f t="shared" si="4"/>
        <v>0</v>
      </c>
      <c r="V53" s="12"/>
      <c r="W53" s="12"/>
      <c r="X53" s="12">
        <f t="shared" si="5"/>
        <v>0</v>
      </c>
      <c r="Y53" s="12"/>
      <c r="Z53" s="12"/>
      <c r="AA53" s="13">
        <f t="shared" si="6"/>
        <v>0</v>
      </c>
      <c r="AB53" s="14">
        <v>46051</v>
      </c>
    </row>
    <row r="54" spans="1:28" ht="15.75" hidden="1" x14ac:dyDescent="0.25">
      <c r="A54" s="28">
        <v>45955</v>
      </c>
      <c r="B54" s="10" t="s">
        <v>81</v>
      </c>
      <c r="C54" s="10"/>
      <c r="D54" s="10" t="s">
        <v>32</v>
      </c>
      <c r="E54" s="10" t="s">
        <v>119</v>
      </c>
      <c r="F54" s="10">
        <v>25</v>
      </c>
      <c r="G54" s="10" t="s">
        <v>36</v>
      </c>
      <c r="H54" s="10">
        <v>155000</v>
      </c>
      <c r="I54" s="10">
        <f t="shared" si="0"/>
        <v>3875000</v>
      </c>
      <c r="J54" s="52" t="s">
        <v>30</v>
      </c>
      <c r="K54" s="63" t="s">
        <v>105</v>
      </c>
      <c r="L54" s="12">
        <f t="shared" si="1"/>
        <v>0</v>
      </c>
      <c r="M54" s="12"/>
      <c r="N54" s="12"/>
      <c r="O54" s="12">
        <f t="shared" si="2"/>
        <v>0</v>
      </c>
      <c r="P54" s="12"/>
      <c r="Q54" s="12"/>
      <c r="R54" s="12">
        <f t="shared" si="3"/>
        <v>0</v>
      </c>
      <c r="S54" s="12"/>
      <c r="T54" s="12"/>
      <c r="U54" s="12">
        <f t="shared" si="4"/>
        <v>0</v>
      </c>
      <c r="V54" s="12"/>
      <c r="W54" s="12"/>
      <c r="X54" s="12">
        <f t="shared" si="5"/>
        <v>0</v>
      </c>
      <c r="Y54" s="12"/>
      <c r="Z54" s="12"/>
      <c r="AA54" s="13">
        <f t="shared" si="6"/>
        <v>3875000</v>
      </c>
      <c r="AB54" s="14"/>
    </row>
    <row r="55" spans="1:28" ht="15.75" hidden="1" x14ac:dyDescent="0.25">
      <c r="A55" s="28">
        <v>45955</v>
      </c>
      <c r="B55" s="10" t="s">
        <v>94</v>
      </c>
      <c r="C55" s="10"/>
      <c r="D55" s="10" t="s">
        <v>32</v>
      </c>
      <c r="E55" s="10" t="s">
        <v>88</v>
      </c>
      <c r="F55" s="10">
        <v>25</v>
      </c>
      <c r="G55" s="10" t="s">
        <v>36</v>
      </c>
      <c r="H55" s="10">
        <v>125000</v>
      </c>
      <c r="I55" s="10">
        <f t="shared" si="0"/>
        <v>3125000</v>
      </c>
      <c r="J55" s="52" t="s">
        <v>30</v>
      </c>
      <c r="K55" s="63" t="s">
        <v>105</v>
      </c>
      <c r="L55" s="12">
        <f t="shared" si="1"/>
        <v>0</v>
      </c>
      <c r="M55" s="12"/>
      <c r="N55" s="12"/>
      <c r="O55" s="12">
        <f t="shared" si="2"/>
        <v>0</v>
      </c>
      <c r="P55" s="12"/>
      <c r="Q55" s="12"/>
      <c r="R55" s="12">
        <f t="shared" si="3"/>
        <v>0</v>
      </c>
      <c r="S55" s="12"/>
      <c r="T55" s="12"/>
      <c r="U55" s="12">
        <f t="shared" si="4"/>
        <v>0</v>
      </c>
      <c r="V55" s="12"/>
      <c r="W55" s="12"/>
      <c r="X55" s="12">
        <f t="shared" si="5"/>
        <v>0</v>
      </c>
      <c r="Y55" s="12"/>
      <c r="Z55" s="12"/>
      <c r="AA55" s="13">
        <f t="shared" si="6"/>
        <v>3125000</v>
      </c>
      <c r="AB55" s="14"/>
    </row>
    <row r="56" spans="1:28" ht="15.75" hidden="1" x14ac:dyDescent="0.25">
      <c r="A56" s="28">
        <v>45960</v>
      </c>
      <c r="B56" s="10" t="s">
        <v>94</v>
      </c>
      <c r="C56" s="10"/>
      <c r="D56" s="10" t="s">
        <v>32</v>
      </c>
      <c r="E56" s="10" t="s">
        <v>120</v>
      </c>
      <c r="F56" s="10">
        <v>1</v>
      </c>
      <c r="G56" s="10" t="s">
        <v>36</v>
      </c>
      <c r="H56" s="10"/>
      <c r="I56" s="10">
        <f t="shared" si="0"/>
        <v>0</v>
      </c>
      <c r="J56" s="52" t="s">
        <v>30</v>
      </c>
      <c r="K56" s="10" t="s">
        <v>121</v>
      </c>
      <c r="L56" s="12">
        <f t="shared" si="1"/>
        <v>0</v>
      </c>
      <c r="M56" s="12"/>
      <c r="N56" s="12"/>
      <c r="O56" s="12">
        <f t="shared" si="2"/>
        <v>0</v>
      </c>
      <c r="P56" s="12"/>
      <c r="Q56" s="12"/>
      <c r="R56" s="12">
        <f t="shared" si="3"/>
        <v>0</v>
      </c>
      <c r="S56" s="12"/>
      <c r="T56" s="12"/>
      <c r="U56" s="12">
        <f t="shared" si="4"/>
        <v>0</v>
      </c>
      <c r="V56" s="12"/>
      <c r="W56" s="12"/>
      <c r="X56" s="12">
        <f t="shared" si="5"/>
        <v>0</v>
      </c>
      <c r="Y56" s="12"/>
      <c r="Z56" s="12"/>
      <c r="AA56" s="13">
        <f t="shared" si="6"/>
        <v>0</v>
      </c>
      <c r="AB56" s="14"/>
    </row>
    <row r="57" spans="1:28" ht="15.75" hidden="1" x14ac:dyDescent="0.25">
      <c r="A57" s="28">
        <v>45960</v>
      </c>
      <c r="B57" s="10" t="s">
        <v>122</v>
      </c>
      <c r="C57" s="10"/>
      <c r="D57" s="10" t="s">
        <v>32</v>
      </c>
      <c r="E57" s="10" t="s">
        <v>65</v>
      </c>
      <c r="F57" s="10">
        <v>10400</v>
      </c>
      <c r="G57" s="10" t="s">
        <v>26</v>
      </c>
      <c r="H57" s="10">
        <v>3800</v>
      </c>
      <c r="I57" s="10">
        <f t="shared" si="0"/>
        <v>39520000</v>
      </c>
      <c r="J57" s="29" t="s">
        <v>113</v>
      </c>
      <c r="K57" s="71" t="s">
        <v>123</v>
      </c>
      <c r="L57" s="12">
        <f t="shared" si="1"/>
        <v>12949000</v>
      </c>
      <c r="M57" s="12">
        <v>12949000</v>
      </c>
      <c r="N57" s="12"/>
      <c r="O57" s="12">
        <f t="shared" si="2"/>
        <v>26571000</v>
      </c>
      <c r="P57" s="12">
        <v>26571000</v>
      </c>
      <c r="Q57" s="12"/>
      <c r="R57" s="12">
        <f t="shared" si="3"/>
        <v>0</v>
      </c>
      <c r="S57" s="12"/>
      <c r="T57" s="12"/>
      <c r="U57" s="12">
        <f t="shared" si="4"/>
        <v>0</v>
      </c>
      <c r="V57" s="12"/>
      <c r="W57" s="12"/>
      <c r="X57" s="12">
        <f t="shared" si="5"/>
        <v>0</v>
      </c>
      <c r="Y57" s="12"/>
      <c r="Z57" s="12"/>
      <c r="AA57" s="13">
        <f t="shared" si="6"/>
        <v>0</v>
      </c>
      <c r="AB57" s="14">
        <v>46008</v>
      </c>
    </row>
    <row r="58" spans="1:28" ht="15.75" hidden="1" x14ac:dyDescent="0.25">
      <c r="A58" s="28">
        <v>45960</v>
      </c>
      <c r="B58" s="10" t="s">
        <v>122</v>
      </c>
      <c r="C58" s="10"/>
      <c r="D58" s="10" t="s">
        <v>32</v>
      </c>
      <c r="E58" s="10" t="s">
        <v>118</v>
      </c>
      <c r="F58" s="10">
        <v>10</v>
      </c>
      <c r="G58" s="10" t="s">
        <v>22</v>
      </c>
      <c r="H58" s="10">
        <v>400000</v>
      </c>
      <c r="I58" s="10">
        <f t="shared" si="0"/>
        <v>4000000</v>
      </c>
      <c r="J58" s="29" t="s">
        <v>110</v>
      </c>
      <c r="K58" s="71" t="s">
        <v>123</v>
      </c>
      <c r="L58" s="12">
        <f t="shared" si="1"/>
        <v>0</v>
      </c>
      <c r="M58" s="12"/>
      <c r="N58" s="12"/>
      <c r="O58" s="12">
        <f t="shared" si="2"/>
        <v>4000000</v>
      </c>
      <c r="P58" s="12">
        <v>4000000</v>
      </c>
      <c r="Q58" s="12"/>
      <c r="R58" s="12">
        <f t="shared" si="3"/>
        <v>0</v>
      </c>
      <c r="S58" s="12"/>
      <c r="T58" s="12"/>
      <c r="U58" s="12">
        <f t="shared" si="4"/>
        <v>0</v>
      </c>
      <c r="V58" s="12"/>
      <c r="W58" s="12"/>
      <c r="X58" s="12">
        <f t="shared" si="5"/>
        <v>0</v>
      </c>
      <c r="Y58" s="12"/>
      <c r="Z58" s="12"/>
      <c r="AA58" s="13">
        <f t="shared" si="6"/>
        <v>0</v>
      </c>
      <c r="AB58" s="14">
        <v>46021</v>
      </c>
    </row>
    <row r="59" spans="1:28" ht="16.5" hidden="1" thickBot="1" x14ac:dyDescent="0.3">
      <c r="A59" s="30">
        <v>45961</v>
      </c>
      <c r="B59" s="31" t="s">
        <v>124</v>
      </c>
      <c r="C59" s="31"/>
      <c r="D59" s="31" t="s">
        <v>32</v>
      </c>
      <c r="E59" s="31" t="s">
        <v>125</v>
      </c>
      <c r="F59" s="31">
        <v>12.3</v>
      </c>
      <c r="G59" s="31" t="s">
        <v>36</v>
      </c>
      <c r="H59" s="31">
        <v>200000</v>
      </c>
      <c r="I59" s="31">
        <f t="shared" si="0"/>
        <v>2460000</v>
      </c>
      <c r="J59" s="64" t="s">
        <v>90</v>
      </c>
      <c r="K59" s="72" t="s">
        <v>126</v>
      </c>
      <c r="L59" s="34">
        <f t="shared" si="1"/>
        <v>0</v>
      </c>
      <c r="M59" s="34"/>
      <c r="N59" s="34"/>
      <c r="O59" s="34">
        <f t="shared" si="2"/>
        <v>2080000</v>
      </c>
      <c r="P59" s="34">
        <v>2080000</v>
      </c>
      <c r="Q59" s="34"/>
      <c r="R59" s="34">
        <f t="shared" si="3"/>
        <v>0</v>
      </c>
      <c r="S59" s="34"/>
      <c r="T59" s="34"/>
      <c r="U59" s="34">
        <f t="shared" si="4"/>
        <v>0</v>
      </c>
      <c r="V59" s="34"/>
      <c r="W59" s="34"/>
      <c r="X59" s="34">
        <f t="shared" si="5"/>
        <v>0</v>
      </c>
      <c r="Y59" s="34"/>
      <c r="Z59" s="34"/>
      <c r="AA59" s="35">
        <f t="shared" si="6"/>
        <v>380000</v>
      </c>
      <c r="AB59" s="36">
        <v>45972</v>
      </c>
    </row>
    <row r="60" spans="1:28" ht="15.75" hidden="1" x14ac:dyDescent="0.25">
      <c r="A60" s="44">
        <v>45964</v>
      </c>
      <c r="B60" s="45" t="s">
        <v>127</v>
      </c>
      <c r="C60" s="45"/>
      <c r="D60" s="45" t="s">
        <v>32</v>
      </c>
      <c r="E60" s="45" t="s">
        <v>65</v>
      </c>
      <c r="F60" s="45">
        <v>15600</v>
      </c>
      <c r="G60" s="45" t="s">
        <v>26</v>
      </c>
      <c r="H60" s="45">
        <v>3900</v>
      </c>
      <c r="I60" s="45">
        <f t="shared" si="0"/>
        <v>60840000</v>
      </c>
      <c r="J60" s="59" t="s">
        <v>110</v>
      </c>
      <c r="K60" s="100" t="s">
        <v>128</v>
      </c>
      <c r="L60" s="48">
        <f t="shared" si="1"/>
        <v>0</v>
      </c>
      <c r="M60" s="48"/>
      <c r="N60" s="48"/>
      <c r="O60" s="48">
        <f t="shared" si="2"/>
        <v>30000000</v>
      </c>
      <c r="P60" s="48">
        <v>30000000</v>
      </c>
      <c r="Q60" s="48"/>
      <c r="R60" s="48">
        <f t="shared" si="3"/>
        <v>30840000</v>
      </c>
      <c r="S60" s="48">
        <v>11031555</v>
      </c>
      <c r="T60" s="48">
        <v>19808445</v>
      </c>
      <c r="U60" s="48">
        <f t="shared" si="4"/>
        <v>0</v>
      </c>
      <c r="V60" s="48"/>
      <c r="W60" s="48"/>
      <c r="X60" s="48">
        <f t="shared" si="5"/>
        <v>0</v>
      </c>
      <c r="Y60" s="48"/>
      <c r="Z60" s="48"/>
      <c r="AA60" s="49">
        <f t="shared" si="6"/>
        <v>0</v>
      </c>
      <c r="AB60" s="50">
        <v>46000</v>
      </c>
    </row>
    <row r="61" spans="1:28" ht="15.75" hidden="1" x14ac:dyDescent="0.25">
      <c r="A61" s="28">
        <v>45964</v>
      </c>
      <c r="B61" s="10" t="s">
        <v>127</v>
      </c>
      <c r="C61" s="10"/>
      <c r="D61" s="10" t="s">
        <v>32</v>
      </c>
      <c r="E61" s="10" t="s">
        <v>129</v>
      </c>
      <c r="F61" s="10">
        <v>1400</v>
      </c>
      <c r="G61" s="10" t="s">
        <v>26</v>
      </c>
      <c r="H61" s="10">
        <v>3900</v>
      </c>
      <c r="I61" s="10">
        <f t="shared" si="0"/>
        <v>5460000</v>
      </c>
      <c r="J61" s="29" t="s">
        <v>110</v>
      </c>
      <c r="K61" s="71" t="s">
        <v>128</v>
      </c>
      <c r="L61" s="12">
        <f t="shared" si="1"/>
        <v>0</v>
      </c>
      <c r="M61" s="12"/>
      <c r="N61" s="12"/>
      <c r="O61" s="12">
        <f t="shared" si="2"/>
        <v>0</v>
      </c>
      <c r="P61" s="12"/>
      <c r="Q61" s="12"/>
      <c r="R61" s="12">
        <f t="shared" si="3"/>
        <v>5460000</v>
      </c>
      <c r="S61" s="12">
        <v>5460000</v>
      </c>
      <c r="T61" s="12"/>
      <c r="U61" s="12">
        <f t="shared" si="4"/>
        <v>0</v>
      </c>
      <c r="V61" s="12"/>
      <c r="W61" s="12"/>
      <c r="X61" s="12">
        <f t="shared" si="5"/>
        <v>0</v>
      </c>
      <c r="Y61" s="12"/>
      <c r="Z61" s="12"/>
      <c r="AA61" s="13">
        <f t="shared" si="6"/>
        <v>0</v>
      </c>
      <c r="AB61" s="14">
        <v>46042</v>
      </c>
    </row>
    <row r="62" spans="1:28" ht="15.75" hidden="1" x14ac:dyDescent="0.25">
      <c r="A62" s="28">
        <v>45964</v>
      </c>
      <c r="B62" s="10" t="s">
        <v>127</v>
      </c>
      <c r="C62" s="10"/>
      <c r="D62" s="10" t="s">
        <v>32</v>
      </c>
      <c r="E62" s="10" t="s">
        <v>130</v>
      </c>
      <c r="F62" s="10">
        <v>40</v>
      </c>
      <c r="G62" s="10" t="s">
        <v>67</v>
      </c>
      <c r="H62" s="10">
        <v>50000</v>
      </c>
      <c r="I62" s="10">
        <f t="shared" si="0"/>
        <v>2000000</v>
      </c>
      <c r="J62" s="29" t="s">
        <v>110</v>
      </c>
      <c r="K62" s="71" t="s">
        <v>128</v>
      </c>
      <c r="L62" s="12">
        <f t="shared" si="1"/>
        <v>0</v>
      </c>
      <c r="M62" s="12"/>
      <c r="N62" s="12"/>
      <c r="O62" s="12">
        <f t="shared" si="2"/>
        <v>0</v>
      </c>
      <c r="P62" s="12"/>
      <c r="Q62" s="12"/>
      <c r="R62" s="12">
        <f t="shared" si="3"/>
        <v>2000000</v>
      </c>
      <c r="S62" s="12">
        <v>2000000</v>
      </c>
      <c r="T62" s="12"/>
      <c r="U62" s="12">
        <f t="shared" si="4"/>
        <v>0</v>
      </c>
      <c r="V62" s="12"/>
      <c r="W62" s="12"/>
      <c r="X62" s="12">
        <f t="shared" si="5"/>
        <v>0</v>
      </c>
      <c r="Y62" s="12"/>
      <c r="Z62" s="12"/>
      <c r="AA62" s="13">
        <f t="shared" si="6"/>
        <v>0</v>
      </c>
      <c r="AB62" s="14">
        <v>46042</v>
      </c>
    </row>
    <row r="63" spans="1:28" ht="15.75" hidden="1" x14ac:dyDescent="0.25">
      <c r="A63" s="28">
        <v>45964</v>
      </c>
      <c r="B63" s="10" t="s">
        <v>127</v>
      </c>
      <c r="C63" s="10"/>
      <c r="D63" s="10" t="s">
        <v>32</v>
      </c>
      <c r="E63" s="10" t="s">
        <v>114</v>
      </c>
      <c r="F63" s="10">
        <v>40</v>
      </c>
      <c r="G63" s="10" t="s">
        <v>67</v>
      </c>
      <c r="H63" s="10">
        <v>50000</v>
      </c>
      <c r="I63" s="10">
        <f t="shared" si="0"/>
        <v>2000000</v>
      </c>
      <c r="J63" s="29" t="s">
        <v>110</v>
      </c>
      <c r="K63" s="71" t="s">
        <v>128</v>
      </c>
      <c r="L63" s="12">
        <f t="shared" si="1"/>
        <v>0</v>
      </c>
      <c r="M63" s="12"/>
      <c r="N63" s="12"/>
      <c r="O63" s="12">
        <f t="shared" si="2"/>
        <v>0</v>
      </c>
      <c r="P63" s="12"/>
      <c r="Q63" s="12"/>
      <c r="R63" s="12">
        <f t="shared" si="3"/>
        <v>2000000</v>
      </c>
      <c r="S63" s="12">
        <v>2000000</v>
      </c>
      <c r="T63" s="12"/>
      <c r="U63" s="12">
        <f t="shared" si="4"/>
        <v>0</v>
      </c>
      <c r="V63" s="12"/>
      <c r="W63" s="12"/>
      <c r="X63" s="12">
        <f t="shared" si="5"/>
        <v>0</v>
      </c>
      <c r="Y63" s="12"/>
      <c r="Z63" s="12"/>
      <c r="AA63" s="13">
        <f t="shared" si="6"/>
        <v>0</v>
      </c>
      <c r="AB63" s="14">
        <v>46042</v>
      </c>
    </row>
    <row r="64" spans="1:28" ht="15.75" hidden="1" x14ac:dyDescent="0.25">
      <c r="A64" s="28">
        <v>45964</v>
      </c>
      <c r="B64" s="10" t="s">
        <v>127</v>
      </c>
      <c r="C64" s="10"/>
      <c r="D64" s="10" t="s">
        <v>32</v>
      </c>
      <c r="E64" s="10" t="s">
        <v>131</v>
      </c>
      <c r="F64" s="10">
        <v>25</v>
      </c>
      <c r="G64" s="10" t="s">
        <v>36</v>
      </c>
      <c r="H64" s="10">
        <v>125000</v>
      </c>
      <c r="I64" s="10">
        <f t="shared" si="0"/>
        <v>3125000</v>
      </c>
      <c r="J64" s="52" t="s">
        <v>30</v>
      </c>
      <c r="K64" s="62" t="s">
        <v>128</v>
      </c>
      <c r="L64" s="12">
        <f t="shared" si="1"/>
        <v>0</v>
      </c>
      <c r="M64" s="12"/>
      <c r="N64" s="12"/>
      <c r="O64" s="12">
        <f t="shared" si="2"/>
        <v>0</v>
      </c>
      <c r="P64" s="12"/>
      <c r="Q64" s="12"/>
      <c r="R64" s="12">
        <f t="shared" si="3"/>
        <v>731555</v>
      </c>
      <c r="S64" s="12">
        <v>731555</v>
      </c>
      <c r="T64" s="12"/>
      <c r="U64" s="12">
        <f t="shared" si="4"/>
        <v>0</v>
      </c>
      <c r="V64" s="12"/>
      <c r="W64" s="12"/>
      <c r="X64" s="12">
        <f t="shared" si="5"/>
        <v>0</v>
      </c>
      <c r="Y64" s="12"/>
      <c r="Z64" s="12"/>
      <c r="AA64" s="13">
        <f t="shared" si="6"/>
        <v>2393445</v>
      </c>
      <c r="AB64" s="14">
        <v>46042</v>
      </c>
    </row>
    <row r="65" spans="1:28" ht="15.75" hidden="1" x14ac:dyDescent="0.25">
      <c r="A65" s="28">
        <v>45964</v>
      </c>
      <c r="B65" s="10" t="s">
        <v>127</v>
      </c>
      <c r="C65" s="10"/>
      <c r="D65" s="10" t="s">
        <v>32</v>
      </c>
      <c r="E65" s="10" t="s">
        <v>132</v>
      </c>
      <c r="F65" s="10">
        <v>1.06</v>
      </c>
      <c r="G65" s="10" t="s">
        <v>133</v>
      </c>
      <c r="H65" s="10">
        <v>1150000</v>
      </c>
      <c r="I65" s="10">
        <f t="shared" si="0"/>
        <v>1219000</v>
      </c>
      <c r="J65" s="52" t="s">
        <v>30</v>
      </c>
      <c r="K65" s="62" t="s">
        <v>128</v>
      </c>
      <c r="L65" s="12">
        <f t="shared" si="1"/>
        <v>0</v>
      </c>
      <c r="M65" s="12"/>
      <c r="N65" s="12"/>
      <c r="O65" s="12">
        <f t="shared" si="2"/>
        <v>0</v>
      </c>
      <c r="P65" s="12"/>
      <c r="Q65" s="12"/>
      <c r="R65" s="12">
        <f t="shared" si="3"/>
        <v>0</v>
      </c>
      <c r="S65" s="12"/>
      <c r="T65" s="12"/>
      <c r="U65" s="12">
        <f t="shared" si="4"/>
        <v>0</v>
      </c>
      <c r="V65" s="12"/>
      <c r="W65" s="12"/>
      <c r="X65" s="12">
        <f t="shared" si="5"/>
        <v>0</v>
      </c>
      <c r="Y65" s="12"/>
      <c r="Z65" s="12"/>
      <c r="AA65" s="13">
        <f t="shared" si="6"/>
        <v>1219000</v>
      </c>
      <c r="AB65" s="14"/>
    </row>
    <row r="66" spans="1:28" ht="15.75" hidden="1" x14ac:dyDescent="0.25">
      <c r="A66" s="28">
        <v>45964</v>
      </c>
      <c r="B66" s="10" t="s">
        <v>127</v>
      </c>
      <c r="C66" s="10"/>
      <c r="D66" s="10" t="s">
        <v>32</v>
      </c>
      <c r="E66" s="10" t="s">
        <v>134</v>
      </c>
      <c r="F66" s="10">
        <v>1</v>
      </c>
      <c r="G66" s="10" t="s">
        <v>39</v>
      </c>
      <c r="H66" s="10">
        <v>75000</v>
      </c>
      <c r="I66" s="10">
        <f t="shared" si="0"/>
        <v>75000</v>
      </c>
      <c r="J66" s="52" t="s">
        <v>30</v>
      </c>
      <c r="K66" s="62" t="s">
        <v>128</v>
      </c>
      <c r="L66" s="12">
        <f t="shared" si="1"/>
        <v>0</v>
      </c>
      <c r="M66" s="12"/>
      <c r="N66" s="12"/>
      <c r="O66" s="12">
        <f t="shared" si="2"/>
        <v>0</v>
      </c>
      <c r="P66" s="12"/>
      <c r="Q66" s="12"/>
      <c r="R66" s="12">
        <f t="shared" si="3"/>
        <v>0</v>
      </c>
      <c r="S66" s="12"/>
      <c r="T66" s="12"/>
      <c r="U66" s="12">
        <f t="shared" si="4"/>
        <v>0</v>
      </c>
      <c r="V66" s="12"/>
      <c r="W66" s="12"/>
      <c r="X66" s="12">
        <f t="shared" si="5"/>
        <v>0</v>
      </c>
      <c r="Y66" s="12"/>
      <c r="Z66" s="12"/>
      <c r="AA66" s="13">
        <f t="shared" si="6"/>
        <v>75000</v>
      </c>
      <c r="AB66" s="14"/>
    </row>
    <row r="67" spans="1:28" ht="15.75" hidden="1" x14ac:dyDescent="0.25">
      <c r="A67" s="28">
        <v>45964</v>
      </c>
      <c r="B67" s="10" t="s">
        <v>127</v>
      </c>
      <c r="C67" s="10"/>
      <c r="D67" s="10" t="s">
        <v>32</v>
      </c>
      <c r="E67" s="10" t="s">
        <v>112</v>
      </c>
      <c r="F67" s="10">
        <v>1</v>
      </c>
      <c r="G67" s="10" t="s">
        <v>39</v>
      </c>
      <c r="H67" s="10">
        <v>95000</v>
      </c>
      <c r="I67" s="10">
        <f t="shared" si="0"/>
        <v>95000</v>
      </c>
      <c r="J67" s="52" t="s">
        <v>30</v>
      </c>
      <c r="K67" s="62" t="s">
        <v>128</v>
      </c>
      <c r="L67" s="12">
        <f t="shared" si="1"/>
        <v>0</v>
      </c>
      <c r="M67" s="12"/>
      <c r="N67" s="12"/>
      <c r="O67" s="12">
        <f t="shared" si="2"/>
        <v>0</v>
      </c>
      <c r="P67" s="12"/>
      <c r="Q67" s="12"/>
      <c r="R67" s="12">
        <f t="shared" si="3"/>
        <v>0</v>
      </c>
      <c r="S67" s="12"/>
      <c r="T67" s="12"/>
      <c r="U67" s="12">
        <f t="shared" si="4"/>
        <v>0</v>
      </c>
      <c r="V67" s="12"/>
      <c r="W67" s="12"/>
      <c r="X67" s="12">
        <f t="shared" si="5"/>
        <v>0</v>
      </c>
      <c r="Y67" s="12"/>
      <c r="Z67" s="12"/>
      <c r="AA67" s="13">
        <f t="shared" si="6"/>
        <v>95000</v>
      </c>
      <c r="AB67" s="14"/>
    </row>
    <row r="68" spans="1:28" ht="15.75" hidden="1" x14ac:dyDescent="0.25">
      <c r="A68" s="28">
        <v>45965</v>
      </c>
      <c r="B68" s="10" t="s">
        <v>135</v>
      </c>
      <c r="C68" s="10"/>
      <c r="D68" s="10" t="s">
        <v>32</v>
      </c>
      <c r="E68" s="10" t="s">
        <v>60</v>
      </c>
      <c r="F68" s="60">
        <v>2</v>
      </c>
      <c r="G68" s="10" t="s">
        <v>61</v>
      </c>
      <c r="H68" s="60">
        <v>150000</v>
      </c>
      <c r="I68" s="10">
        <f t="shared" si="0"/>
        <v>300000</v>
      </c>
      <c r="J68" s="29" t="s">
        <v>113</v>
      </c>
      <c r="K68" s="60" t="s">
        <v>115</v>
      </c>
      <c r="L68" s="12">
        <f t="shared" si="1"/>
        <v>300000</v>
      </c>
      <c r="M68" s="12">
        <v>300000</v>
      </c>
      <c r="N68" s="12"/>
      <c r="O68" s="12">
        <f t="shared" si="2"/>
        <v>0</v>
      </c>
      <c r="P68" s="12"/>
      <c r="Q68" s="12"/>
      <c r="R68" s="12">
        <f t="shared" si="3"/>
        <v>0</v>
      </c>
      <c r="S68" s="12"/>
      <c r="T68" s="12"/>
      <c r="U68" s="12">
        <f t="shared" si="4"/>
        <v>0</v>
      </c>
      <c r="V68" s="12"/>
      <c r="W68" s="12"/>
      <c r="X68" s="12">
        <f t="shared" si="5"/>
        <v>0</v>
      </c>
      <c r="Y68" s="12"/>
      <c r="Z68" s="12"/>
      <c r="AA68" s="13">
        <f t="shared" si="6"/>
        <v>0</v>
      </c>
      <c r="AB68" s="14">
        <v>46053</v>
      </c>
    </row>
    <row r="69" spans="1:28" ht="15.75" hidden="1" x14ac:dyDescent="0.25">
      <c r="A69" s="28">
        <v>45965</v>
      </c>
      <c r="B69" s="10" t="s">
        <v>122</v>
      </c>
      <c r="C69" s="10"/>
      <c r="D69" s="10" t="s">
        <v>32</v>
      </c>
      <c r="E69" s="10" t="s">
        <v>136</v>
      </c>
      <c r="F69" s="10">
        <v>145.9</v>
      </c>
      <c r="G69" s="10" t="s">
        <v>36</v>
      </c>
      <c r="H69" s="10">
        <v>43000</v>
      </c>
      <c r="I69" s="10">
        <f t="shared" ref="I69:I134" si="7">F69*H69</f>
        <v>6273700</v>
      </c>
      <c r="J69" s="29" t="s">
        <v>110</v>
      </c>
      <c r="K69" s="60" t="s">
        <v>123</v>
      </c>
      <c r="L69" s="12">
        <f t="shared" ref="L69:L134" si="8">M69+N69</f>
        <v>0</v>
      </c>
      <c r="M69" s="12"/>
      <c r="N69" s="12"/>
      <c r="O69" s="12">
        <f t="shared" ref="O69:O134" si="9">P69+Q69</f>
        <v>6273700</v>
      </c>
      <c r="P69" s="12">
        <v>6273700</v>
      </c>
      <c r="Q69" s="12"/>
      <c r="R69" s="12">
        <f t="shared" ref="R69:R134" si="10">S69+T69</f>
        <v>0</v>
      </c>
      <c r="S69" s="12"/>
      <c r="T69" s="12"/>
      <c r="U69" s="12">
        <f t="shared" ref="U69:U134" si="11">V69+W69</f>
        <v>0</v>
      </c>
      <c r="V69" s="12"/>
      <c r="W69" s="12"/>
      <c r="X69" s="12">
        <f t="shared" ref="X69:X134" si="12">Y69+Z69</f>
        <v>0</v>
      </c>
      <c r="Y69" s="12"/>
      <c r="Z69" s="12"/>
      <c r="AA69" s="13">
        <f t="shared" ref="AA69:AA134" si="13">C69+I69-L69-O69-U69-X69-R69</f>
        <v>0</v>
      </c>
      <c r="AB69" s="14">
        <v>46021</v>
      </c>
    </row>
    <row r="70" spans="1:28" ht="15.75" hidden="1" x14ac:dyDescent="0.25">
      <c r="A70" s="28">
        <v>45965</v>
      </c>
      <c r="B70" s="10" t="s">
        <v>122</v>
      </c>
      <c r="C70" s="10"/>
      <c r="D70" s="10" t="s">
        <v>32</v>
      </c>
      <c r="E70" s="10" t="s">
        <v>80</v>
      </c>
      <c r="F70" s="10">
        <v>133.9</v>
      </c>
      <c r="G70" s="10" t="s">
        <v>36</v>
      </c>
      <c r="H70" s="10">
        <v>43000</v>
      </c>
      <c r="I70" s="10">
        <f t="shared" si="7"/>
        <v>5757700</v>
      </c>
      <c r="J70" s="29" t="s">
        <v>110</v>
      </c>
      <c r="K70" s="60" t="s">
        <v>123</v>
      </c>
      <c r="L70" s="12">
        <f t="shared" si="8"/>
        <v>0</v>
      </c>
      <c r="M70" s="12"/>
      <c r="N70" s="12"/>
      <c r="O70" s="12">
        <f t="shared" si="9"/>
        <v>5757700</v>
      </c>
      <c r="P70" s="12">
        <v>5757700</v>
      </c>
      <c r="Q70" s="12"/>
      <c r="R70" s="12">
        <f t="shared" si="10"/>
        <v>0</v>
      </c>
      <c r="S70" s="12"/>
      <c r="T70" s="12"/>
      <c r="U70" s="12">
        <f t="shared" si="11"/>
        <v>0</v>
      </c>
      <c r="V70" s="12"/>
      <c r="W70" s="12"/>
      <c r="X70" s="12">
        <f t="shared" si="12"/>
        <v>0</v>
      </c>
      <c r="Y70" s="12"/>
      <c r="Z70" s="12"/>
      <c r="AA70" s="13">
        <f t="shared" si="13"/>
        <v>0</v>
      </c>
      <c r="AB70" s="14">
        <v>46021</v>
      </c>
    </row>
    <row r="71" spans="1:28" ht="15.75" hidden="1" x14ac:dyDescent="0.25">
      <c r="A71" s="28">
        <v>45965</v>
      </c>
      <c r="B71" s="10" t="s">
        <v>122</v>
      </c>
      <c r="C71" s="10"/>
      <c r="D71" s="10" t="s">
        <v>32</v>
      </c>
      <c r="E71" s="10" t="s">
        <v>137</v>
      </c>
      <c r="F71" s="10">
        <v>60</v>
      </c>
      <c r="G71" s="10" t="s">
        <v>36</v>
      </c>
      <c r="H71" s="10">
        <v>200000</v>
      </c>
      <c r="I71" s="10">
        <f t="shared" si="7"/>
        <v>12000000</v>
      </c>
      <c r="J71" s="29" t="s">
        <v>110</v>
      </c>
      <c r="K71" s="60" t="s">
        <v>123</v>
      </c>
      <c r="L71" s="12">
        <f t="shared" si="8"/>
        <v>0</v>
      </c>
      <c r="M71" s="12"/>
      <c r="N71" s="12"/>
      <c r="O71" s="12">
        <f t="shared" si="9"/>
        <v>12000000</v>
      </c>
      <c r="P71" s="12">
        <v>12000000</v>
      </c>
      <c r="Q71" s="12"/>
      <c r="R71" s="12">
        <f t="shared" si="10"/>
        <v>0</v>
      </c>
      <c r="S71" s="12"/>
      <c r="T71" s="12"/>
      <c r="U71" s="12">
        <f t="shared" si="11"/>
        <v>0</v>
      </c>
      <c r="V71" s="12"/>
      <c r="W71" s="12"/>
      <c r="X71" s="12">
        <f t="shared" si="12"/>
        <v>0</v>
      </c>
      <c r="Y71" s="12"/>
      <c r="Z71" s="12"/>
      <c r="AA71" s="13">
        <f t="shared" si="13"/>
        <v>0</v>
      </c>
      <c r="AB71" s="14">
        <v>46021</v>
      </c>
    </row>
    <row r="72" spans="1:28" ht="15.75" hidden="1" x14ac:dyDescent="0.25">
      <c r="A72" s="28">
        <v>45965</v>
      </c>
      <c r="B72" s="10" t="s">
        <v>122</v>
      </c>
      <c r="C72" s="10"/>
      <c r="D72" s="10" t="s">
        <v>32</v>
      </c>
      <c r="E72" s="10" t="s">
        <v>138</v>
      </c>
      <c r="F72" s="10">
        <v>16</v>
      </c>
      <c r="G72" s="10" t="s">
        <v>61</v>
      </c>
      <c r="H72" s="10">
        <v>300000</v>
      </c>
      <c r="I72" s="10">
        <f t="shared" si="7"/>
        <v>4800000</v>
      </c>
      <c r="J72" s="29" t="s">
        <v>110</v>
      </c>
      <c r="K72" s="60" t="s">
        <v>123</v>
      </c>
      <c r="L72" s="12">
        <f t="shared" si="8"/>
        <v>0</v>
      </c>
      <c r="M72" s="12"/>
      <c r="N72" s="12"/>
      <c r="O72" s="12">
        <f t="shared" si="9"/>
        <v>4800000</v>
      </c>
      <c r="P72" s="12">
        <v>4800000</v>
      </c>
      <c r="Q72" s="12"/>
      <c r="R72" s="12">
        <f t="shared" si="10"/>
        <v>0</v>
      </c>
      <c r="S72" s="12"/>
      <c r="T72" s="12"/>
      <c r="U72" s="12">
        <f t="shared" si="11"/>
        <v>0</v>
      </c>
      <c r="V72" s="12"/>
      <c r="W72" s="12"/>
      <c r="X72" s="12">
        <f t="shared" si="12"/>
        <v>0</v>
      </c>
      <c r="Y72" s="12"/>
      <c r="Z72" s="12"/>
      <c r="AA72" s="13">
        <f t="shared" si="13"/>
        <v>0</v>
      </c>
      <c r="AB72" s="14">
        <v>46021</v>
      </c>
    </row>
    <row r="73" spans="1:28" ht="15.75" hidden="1" x14ac:dyDescent="0.25">
      <c r="A73" s="28">
        <v>45967</v>
      </c>
      <c r="B73" s="10" t="s">
        <v>81</v>
      </c>
      <c r="C73" s="10"/>
      <c r="D73" s="10" t="s">
        <v>28</v>
      </c>
      <c r="E73" s="10" t="s">
        <v>139</v>
      </c>
      <c r="F73" s="10">
        <v>19.5</v>
      </c>
      <c r="G73" s="10" t="s">
        <v>36</v>
      </c>
      <c r="H73" s="10">
        <v>43000</v>
      </c>
      <c r="I73" s="10">
        <f t="shared" si="7"/>
        <v>838500</v>
      </c>
      <c r="J73" s="52" t="s">
        <v>30</v>
      </c>
      <c r="K73" s="10"/>
      <c r="L73" s="12">
        <f t="shared" si="8"/>
        <v>459300</v>
      </c>
      <c r="M73" s="12">
        <v>459300</v>
      </c>
      <c r="N73" s="12"/>
      <c r="O73" s="12">
        <f t="shared" si="9"/>
        <v>0</v>
      </c>
      <c r="P73" s="12"/>
      <c r="Q73" s="12"/>
      <c r="R73" s="12">
        <f t="shared" si="10"/>
        <v>0</v>
      </c>
      <c r="S73" s="12"/>
      <c r="T73" s="12"/>
      <c r="U73" s="12">
        <f t="shared" si="11"/>
        <v>0</v>
      </c>
      <c r="V73" s="12"/>
      <c r="W73" s="12"/>
      <c r="X73" s="12">
        <f t="shared" si="12"/>
        <v>0</v>
      </c>
      <c r="Y73" s="12"/>
      <c r="Z73" s="12"/>
      <c r="AA73" s="13">
        <f t="shared" si="13"/>
        <v>379200</v>
      </c>
      <c r="AB73" s="14">
        <v>45967</v>
      </c>
    </row>
    <row r="74" spans="1:28" ht="15.75" hidden="1" x14ac:dyDescent="0.25">
      <c r="A74" s="28">
        <v>45969</v>
      </c>
      <c r="B74" s="10" t="s">
        <v>74</v>
      </c>
      <c r="C74" s="10"/>
      <c r="D74" s="10" t="s">
        <v>28</v>
      </c>
      <c r="E74" s="10" t="s">
        <v>75</v>
      </c>
      <c r="F74" s="10">
        <v>20</v>
      </c>
      <c r="G74" s="10" t="s">
        <v>36</v>
      </c>
      <c r="H74" s="10">
        <v>60000</v>
      </c>
      <c r="I74" s="10">
        <f t="shared" si="7"/>
        <v>1200000</v>
      </c>
      <c r="J74" s="52" t="s">
        <v>76</v>
      </c>
      <c r="K74" s="10"/>
      <c r="L74" s="12">
        <f t="shared" si="8"/>
        <v>0</v>
      </c>
      <c r="M74" s="12"/>
      <c r="N74" s="12"/>
      <c r="O74" s="12">
        <f t="shared" si="9"/>
        <v>0</v>
      </c>
      <c r="P74" s="12"/>
      <c r="Q74" s="12"/>
      <c r="R74" s="12">
        <f t="shared" si="10"/>
        <v>0</v>
      </c>
      <c r="S74" s="12"/>
      <c r="T74" s="12"/>
      <c r="U74" s="12">
        <f t="shared" si="11"/>
        <v>0</v>
      </c>
      <c r="V74" s="12"/>
      <c r="W74" s="12"/>
      <c r="X74" s="12">
        <f t="shared" si="12"/>
        <v>0</v>
      </c>
      <c r="Y74" s="12"/>
      <c r="Z74" s="12"/>
      <c r="AA74" s="13">
        <f t="shared" si="13"/>
        <v>1200000</v>
      </c>
      <c r="AB74" s="14"/>
    </row>
    <row r="75" spans="1:28" ht="15.75" hidden="1" x14ac:dyDescent="0.25">
      <c r="A75" s="28">
        <v>45971</v>
      </c>
      <c r="B75" s="10" t="s">
        <v>122</v>
      </c>
      <c r="C75" s="10"/>
      <c r="D75" s="10" t="s">
        <v>28</v>
      </c>
      <c r="E75" s="10" t="s">
        <v>65</v>
      </c>
      <c r="F75" s="10">
        <v>10400</v>
      </c>
      <c r="G75" s="10" t="s">
        <v>26</v>
      </c>
      <c r="H75" s="10">
        <v>3800</v>
      </c>
      <c r="I75" s="10">
        <f t="shared" si="7"/>
        <v>39520000</v>
      </c>
      <c r="J75" s="29" t="s">
        <v>113</v>
      </c>
      <c r="K75" s="71" t="s">
        <v>140</v>
      </c>
      <c r="L75" s="12">
        <f t="shared" si="8"/>
        <v>32910700</v>
      </c>
      <c r="M75" s="12">
        <v>32910700</v>
      </c>
      <c r="N75" s="12"/>
      <c r="O75" s="12">
        <f t="shared" si="9"/>
        <v>6609300</v>
      </c>
      <c r="P75" s="12">
        <v>6609300</v>
      </c>
      <c r="Q75" s="12"/>
      <c r="R75" s="12">
        <f t="shared" si="10"/>
        <v>0</v>
      </c>
      <c r="S75" s="12"/>
      <c r="T75" s="12"/>
      <c r="U75" s="12">
        <f t="shared" si="11"/>
        <v>0</v>
      </c>
      <c r="V75" s="12"/>
      <c r="W75" s="12"/>
      <c r="X75" s="12">
        <f t="shared" si="12"/>
        <v>0</v>
      </c>
      <c r="Y75" s="12"/>
      <c r="Z75" s="12"/>
      <c r="AA75" s="13">
        <f t="shared" si="13"/>
        <v>0</v>
      </c>
      <c r="AB75" s="14">
        <v>46021</v>
      </c>
    </row>
    <row r="76" spans="1:28" ht="15.75" hidden="1" x14ac:dyDescent="0.25">
      <c r="A76" s="28">
        <v>45971</v>
      </c>
      <c r="B76" s="10" t="s">
        <v>122</v>
      </c>
      <c r="C76" s="10"/>
      <c r="D76" s="10" t="s">
        <v>28</v>
      </c>
      <c r="E76" s="10" t="s">
        <v>116</v>
      </c>
      <c r="F76" s="10">
        <v>12</v>
      </c>
      <c r="G76" s="10" t="s">
        <v>36</v>
      </c>
      <c r="H76" s="10">
        <v>65000</v>
      </c>
      <c r="I76" s="10">
        <f t="shared" si="7"/>
        <v>780000</v>
      </c>
      <c r="J76" s="29" t="s">
        <v>113</v>
      </c>
      <c r="K76" s="71" t="s">
        <v>140</v>
      </c>
      <c r="L76" s="12">
        <f t="shared" si="8"/>
        <v>780000</v>
      </c>
      <c r="M76" s="12">
        <v>780000</v>
      </c>
      <c r="N76" s="12"/>
      <c r="O76" s="12">
        <f t="shared" si="9"/>
        <v>0</v>
      </c>
      <c r="P76" s="12"/>
      <c r="Q76" s="12"/>
      <c r="R76" s="12">
        <f t="shared" si="10"/>
        <v>0</v>
      </c>
      <c r="S76" s="12"/>
      <c r="T76" s="12"/>
      <c r="U76" s="12">
        <f t="shared" si="11"/>
        <v>0</v>
      </c>
      <c r="V76" s="12"/>
      <c r="W76" s="12"/>
      <c r="X76" s="12">
        <f t="shared" si="12"/>
        <v>0</v>
      </c>
      <c r="Y76" s="12"/>
      <c r="Z76" s="12"/>
      <c r="AA76" s="13">
        <f t="shared" si="13"/>
        <v>0</v>
      </c>
      <c r="AB76" s="14">
        <v>46027</v>
      </c>
    </row>
    <row r="77" spans="1:28" ht="15.75" hidden="1" x14ac:dyDescent="0.25">
      <c r="A77" s="28">
        <v>45975</v>
      </c>
      <c r="B77" s="10" t="s">
        <v>122</v>
      </c>
      <c r="C77" s="10"/>
      <c r="D77" s="10" t="s">
        <v>28</v>
      </c>
      <c r="E77" s="10" t="s">
        <v>65</v>
      </c>
      <c r="F77" s="10">
        <v>15600</v>
      </c>
      <c r="G77" s="10" t="s">
        <v>26</v>
      </c>
      <c r="H77" s="10">
        <v>3800</v>
      </c>
      <c r="I77" s="10">
        <f t="shared" si="7"/>
        <v>59280000</v>
      </c>
      <c r="J77" s="29" t="s">
        <v>113</v>
      </c>
      <c r="K77" s="71" t="s">
        <v>128</v>
      </c>
      <c r="L77" s="12">
        <f t="shared" si="8"/>
        <v>59280000</v>
      </c>
      <c r="M77" s="12">
        <v>59280000</v>
      </c>
      <c r="N77" s="12"/>
      <c r="O77" s="12">
        <f t="shared" si="9"/>
        <v>0</v>
      </c>
      <c r="P77" s="12"/>
      <c r="Q77" s="12"/>
      <c r="R77" s="12">
        <f t="shared" si="10"/>
        <v>0</v>
      </c>
      <c r="S77" s="12"/>
      <c r="T77" s="12"/>
      <c r="U77" s="12">
        <f t="shared" si="11"/>
        <v>0</v>
      </c>
      <c r="V77" s="12"/>
      <c r="W77" s="12"/>
      <c r="X77" s="12">
        <f t="shared" si="12"/>
        <v>0</v>
      </c>
      <c r="Y77" s="12"/>
      <c r="Z77" s="12"/>
      <c r="AA77" s="13">
        <f t="shared" si="13"/>
        <v>0</v>
      </c>
      <c r="AB77" s="14">
        <v>46027</v>
      </c>
    </row>
    <row r="78" spans="1:28" ht="15.75" hidden="1" x14ac:dyDescent="0.25">
      <c r="A78" s="28">
        <v>45975</v>
      </c>
      <c r="B78" s="10" t="s">
        <v>109</v>
      </c>
      <c r="C78" s="10"/>
      <c r="D78" s="10" t="s">
        <v>28</v>
      </c>
      <c r="E78" s="10" t="s">
        <v>141</v>
      </c>
      <c r="F78" s="10">
        <v>1000</v>
      </c>
      <c r="G78" s="10" t="s">
        <v>26</v>
      </c>
      <c r="H78" s="10">
        <v>2000</v>
      </c>
      <c r="I78" s="10">
        <f t="shared" si="7"/>
        <v>2000000</v>
      </c>
      <c r="J78" s="70" t="s">
        <v>90</v>
      </c>
      <c r="K78" s="62" t="s">
        <v>123</v>
      </c>
      <c r="L78" s="12">
        <f t="shared" si="8"/>
        <v>0</v>
      </c>
      <c r="M78" s="12"/>
      <c r="N78" s="12"/>
      <c r="O78" s="12">
        <f t="shared" si="9"/>
        <v>0</v>
      </c>
      <c r="P78" s="12"/>
      <c r="Q78" s="12"/>
      <c r="R78" s="12">
        <f t="shared" si="10"/>
        <v>0</v>
      </c>
      <c r="S78" s="12"/>
      <c r="T78" s="12"/>
      <c r="U78" s="12">
        <f t="shared" si="11"/>
        <v>0</v>
      </c>
      <c r="V78" s="12"/>
      <c r="W78" s="12"/>
      <c r="X78" s="12">
        <f t="shared" si="12"/>
        <v>0</v>
      </c>
      <c r="Y78" s="12"/>
      <c r="Z78" s="12"/>
      <c r="AA78" s="13">
        <f t="shared" si="13"/>
        <v>2000000</v>
      </c>
      <c r="AB78" s="14"/>
    </row>
    <row r="79" spans="1:28" ht="15.75" hidden="1" x14ac:dyDescent="0.25">
      <c r="A79" s="28">
        <v>45975</v>
      </c>
      <c r="B79" s="10" t="s">
        <v>109</v>
      </c>
      <c r="C79" s="10"/>
      <c r="D79" s="10" t="s">
        <v>28</v>
      </c>
      <c r="E79" s="10" t="s">
        <v>84</v>
      </c>
      <c r="F79" s="10">
        <v>33.6</v>
      </c>
      <c r="G79" s="10" t="s">
        <v>36</v>
      </c>
      <c r="H79" s="10">
        <v>43000</v>
      </c>
      <c r="I79" s="10">
        <f t="shared" si="7"/>
        <v>1444800</v>
      </c>
      <c r="J79" s="29" t="s">
        <v>113</v>
      </c>
      <c r="K79" s="71" t="s">
        <v>123</v>
      </c>
      <c r="L79" s="12">
        <f t="shared" si="8"/>
        <v>1444800</v>
      </c>
      <c r="M79" s="12"/>
      <c r="N79" s="12">
        <v>1444800</v>
      </c>
      <c r="O79" s="12">
        <f t="shared" si="9"/>
        <v>0</v>
      </c>
      <c r="P79" s="12"/>
      <c r="Q79" s="12"/>
      <c r="R79" s="12">
        <f t="shared" si="10"/>
        <v>0</v>
      </c>
      <c r="S79" s="12"/>
      <c r="T79" s="12"/>
      <c r="U79" s="12">
        <f t="shared" si="11"/>
        <v>0</v>
      </c>
      <c r="V79" s="12"/>
      <c r="W79" s="12"/>
      <c r="X79" s="12">
        <f t="shared" si="12"/>
        <v>0</v>
      </c>
      <c r="Y79" s="12"/>
      <c r="Z79" s="12"/>
      <c r="AA79" s="13">
        <f t="shared" si="13"/>
        <v>0</v>
      </c>
      <c r="AB79" s="14">
        <v>46052</v>
      </c>
    </row>
    <row r="80" spans="1:28" ht="15.75" hidden="1" x14ac:dyDescent="0.25">
      <c r="A80" s="28">
        <v>45975</v>
      </c>
      <c r="B80" s="10" t="s">
        <v>109</v>
      </c>
      <c r="C80" s="10"/>
      <c r="D80" s="10" t="s">
        <v>28</v>
      </c>
      <c r="E80" s="10" t="s">
        <v>104</v>
      </c>
      <c r="F80" s="10">
        <v>2600</v>
      </c>
      <c r="G80" s="10" t="s">
        <v>26</v>
      </c>
      <c r="H80" s="10">
        <v>2000</v>
      </c>
      <c r="I80" s="10">
        <f t="shared" si="7"/>
        <v>5200000</v>
      </c>
      <c r="J80" s="70" t="s">
        <v>90</v>
      </c>
      <c r="K80" s="62" t="s">
        <v>123</v>
      </c>
      <c r="L80" s="12">
        <f t="shared" si="8"/>
        <v>0</v>
      </c>
      <c r="M80" s="12"/>
      <c r="N80" s="12"/>
      <c r="O80" s="12">
        <f t="shared" si="9"/>
        <v>0</v>
      </c>
      <c r="P80" s="12"/>
      <c r="Q80" s="12"/>
      <c r="R80" s="12">
        <f t="shared" si="10"/>
        <v>0</v>
      </c>
      <c r="S80" s="12"/>
      <c r="T80" s="12"/>
      <c r="U80" s="12">
        <f t="shared" si="11"/>
        <v>0</v>
      </c>
      <c r="V80" s="12"/>
      <c r="W80" s="12"/>
      <c r="X80" s="12">
        <f t="shared" si="12"/>
        <v>0</v>
      </c>
      <c r="Y80" s="12"/>
      <c r="Z80" s="12"/>
      <c r="AA80" s="13">
        <f t="shared" si="13"/>
        <v>5200000</v>
      </c>
      <c r="AB80" s="14"/>
    </row>
    <row r="81" spans="1:28" ht="15.75" hidden="1" x14ac:dyDescent="0.25">
      <c r="A81" s="28">
        <v>45976</v>
      </c>
      <c r="B81" s="10" t="s">
        <v>55</v>
      </c>
      <c r="C81" s="10"/>
      <c r="D81" s="10" t="s">
        <v>28</v>
      </c>
      <c r="E81" s="10" t="s">
        <v>65</v>
      </c>
      <c r="F81" s="10">
        <v>4000</v>
      </c>
      <c r="G81" s="10" t="s">
        <v>26</v>
      </c>
      <c r="H81" s="10">
        <v>3800</v>
      </c>
      <c r="I81" s="10">
        <f t="shared" si="7"/>
        <v>15200000</v>
      </c>
      <c r="J81" s="29" t="s">
        <v>110</v>
      </c>
      <c r="K81" s="71" t="s">
        <v>142</v>
      </c>
      <c r="L81" s="12">
        <f t="shared" si="8"/>
        <v>0</v>
      </c>
      <c r="M81" s="12"/>
      <c r="N81" s="12"/>
      <c r="O81" s="12">
        <f t="shared" si="9"/>
        <v>15200000</v>
      </c>
      <c r="P81" s="12">
        <v>15200000</v>
      </c>
      <c r="Q81" s="12"/>
      <c r="R81" s="12">
        <f t="shared" si="10"/>
        <v>0</v>
      </c>
      <c r="S81" s="12"/>
      <c r="T81" s="12"/>
      <c r="U81" s="12">
        <f t="shared" si="11"/>
        <v>0</v>
      </c>
      <c r="V81" s="12"/>
      <c r="W81" s="12"/>
      <c r="X81" s="12">
        <f t="shared" si="12"/>
        <v>0</v>
      </c>
      <c r="Y81" s="12"/>
      <c r="Z81" s="12"/>
      <c r="AA81" s="13">
        <f t="shared" si="13"/>
        <v>0</v>
      </c>
      <c r="AB81" s="14">
        <v>46027</v>
      </c>
    </row>
    <row r="82" spans="1:28" ht="15.75" hidden="1" x14ac:dyDescent="0.25">
      <c r="A82" s="28">
        <v>45979</v>
      </c>
      <c r="B82" s="10" t="s">
        <v>122</v>
      </c>
      <c r="C82" s="10"/>
      <c r="D82" s="10" t="s">
        <v>28</v>
      </c>
      <c r="E82" s="10" t="s">
        <v>138</v>
      </c>
      <c r="F82" s="10">
        <v>16</v>
      </c>
      <c r="G82" s="10" t="s">
        <v>61</v>
      </c>
      <c r="H82" s="10">
        <v>300000</v>
      </c>
      <c r="I82" s="10">
        <f t="shared" si="7"/>
        <v>4800000</v>
      </c>
      <c r="J82" s="83" t="s">
        <v>113</v>
      </c>
      <c r="K82" s="71" t="s">
        <v>143</v>
      </c>
      <c r="L82" s="12">
        <f t="shared" si="8"/>
        <v>4800000</v>
      </c>
      <c r="M82" s="75">
        <v>4800000</v>
      </c>
      <c r="N82" s="75"/>
      <c r="O82" s="12">
        <f t="shared" si="9"/>
        <v>0</v>
      </c>
      <c r="P82" s="75"/>
      <c r="Q82" s="75"/>
      <c r="R82" s="12">
        <f t="shared" si="10"/>
        <v>0</v>
      </c>
      <c r="S82" s="75"/>
      <c r="T82" s="75"/>
      <c r="U82" s="12">
        <f t="shared" si="11"/>
        <v>0</v>
      </c>
      <c r="V82" s="75"/>
      <c r="W82" s="75"/>
      <c r="X82" s="12">
        <f t="shared" si="12"/>
        <v>0</v>
      </c>
      <c r="Y82" s="75"/>
      <c r="Z82" s="75"/>
      <c r="AA82" s="13">
        <f t="shared" si="13"/>
        <v>0</v>
      </c>
      <c r="AB82" s="76">
        <v>46027</v>
      </c>
    </row>
    <row r="83" spans="1:28" ht="15.75" hidden="1" x14ac:dyDescent="0.25">
      <c r="A83" s="28">
        <v>45979</v>
      </c>
      <c r="B83" s="10" t="s">
        <v>122</v>
      </c>
      <c r="C83" s="10"/>
      <c r="D83" s="10" t="s">
        <v>28</v>
      </c>
      <c r="E83" s="10" t="s">
        <v>80</v>
      </c>
      <c r="F83" s="10">
        <v>181.5</v>
      </c>
      <c r="G83" s="10" t="s">
        <v>36</v>
      </c>
      <c r="H83" s="10">
        <v>43000</v>
      </c>
      <c r="I83" s="10">
        <f t="shared" si="7"/>
        <v>7804500</v>
      </c>
      <c r="J83" s="83" t="s">
        <v>113</v>
      </c>
      <c r="K83" s="71" t="s">
        <v>143</v>
      </c>
      <c r="L83" s="12">
        <f t="shared" si="8"/>
        <v>2396500</v>
      </c>
      <c r="M83" s="75">
        <v>2396500</v>
      </c>
      <c r="N83" s="75"/>
      <c r="O83" s="12">
        <f t="shared" si="9"/>
        <v>5408000</v>
      </c>
      <c r="P83" s="75">
        <v>5408000</v>
      </c>
      <c r="Q83" s="75"/>
      <c r="R83" s="12">
        <f t="shared" si="10"/>
        <v>0</v>
      </c>
      <c r="S83" s="75"/>
      <c r="T83" s="75"/>
      <c r="U83" s="12">
        <f t="shared" si="11"/>
        <v>0</v>
      </c>
      <c r="V83" s="75"/>
      <c r="W83" s="75"/>
      <c r="X83" s="12">
        <f t="shared" si="12"/>
        <v>0</v>
      </c>
      <c r="Y83" s="75"/>
      <c r="Z83" s="75"/>
      <c r="AA83" s="13">
        <f t="shared" si="13"/>
        <v>0</v>
      </c>
      <c r="AB83" s="76">
        <v>45979</v>
      </c>
    </row>
    <row r="84" spans="1:28" ht="15.75" hidden="1" x14ac:dyDescent="0.25">
      <c r="A84" s="28">
        <v>45979</v>
      </c>
      <c r="B84" s="10" t="s">
        <v>109</v>
      </c>
      <c r="C84" s="10"/>
      <c r="D84" s="10" t="s">
        <v>28</v>
      </c>
      <c r="E84" s="10" t="s">
        <v>141</v>
      </c>
      <c r="F84" s="10">
        <v>10400</v>
      </c>
      <c r="G84" s="10" t="s">
        <v>26</v>
      </c>
      <c r="H84" s="10">
        <v>2000</v>
      </c>
      <c r="I84" s="10">
        <f t="shared" si="7"/>
        <v>20800000</v>
      </c>
      <c r="J84" s="52" t="s">
        <v>90</v>
      </c>
      <c r="K84" s="62" t="s">
        <v>128</v>
      </c>
      <c r="L84" s="12">
        <f t="shared" si="8"/>
        <v>0</v>
      </c>
      <c r="M84" s="75"/>
      <c r="N84" s="75"/>
      <c r="O84" s="12">
        <f t="shared" si="9"/>
        <v>0</v>
      </c>
      <c r="P84" s="75"/>
      <c r="Q84" s="75"/>
      <c r="R84" s="12">
        <f t="shared" si="10"/>
        <v>0</v>
      </c>
      <c r="S84" s="75"/>
      <c r="T84" s="75"/>
      <c r="U84" s="12">
        <f t="shared" si="11"/>
        <v>0</v>
      </c>
      <c r="V84" s="75"/>
      <c r="W84" s="75"/>
      <c r="X84" s="12">
        <f t="shared" si="12"/>
        <v>0</v>
      </c>
      <c r="Y84" s="75"/>
      <c r="Z84" s="75"/>
      <c r="AA84" s="13">
        <f t="shared" si="13"/>
        <v>20800000</v>
      </c>
      <c r="AB84" s="76"/>
    </row>
    <row r="85" spans="1:28" ht="15.75" hidden="1" x14ac:dyDescent="0.25">
      <c r="A85" s="28">
        <v>45982</v>
      </c>
      <c r="B85" s="10" t="s">
        <v>55</v>
      </c>
      <c r="C85" s="10"/>
      <c r="D85" s="10" t="s">
        <v>28</v>
      </c>
      <c r="E85" s="10" t="s">
        <v>98</v>
      </c>
      <c r="F85" s="10">
        <v>2000</v>
      </c>
      <c r="G85" s="10" t="s">
        <v>26</v>
      </c>
      <c r="H85" s="10">
        <v>1900</v>
      </c>
      <c r="I85" s="10">
        <f t="shared" si="7"/>
        <v>3800000</v>
      </c>
      <c r="J85" s="29" t="s">
        <v>110</v>
      </c>
      <c r="K85" s="71" t="s">
        <v>142</v>
      </c>
      <c r="L85" s="12">
        <f t="shared" si="8"/>
        <v>0</v>
      </c>
      <c r="M85" s="75"/>
      <c r="N85" s="75"/>
      <c r="O85" s="12">
        <f t="shared" si="9"/>
        <v>3800000</v>
      </c>
      <c r="P85" s="75">
        <v>3800000</v>
      </c>
      <c r="Q85" s="75"/>
      <c r="R85" s="12">
        <f t="shared" si="10"/>
        <v>0</v>
      </c>
      <c r="S85" s="75"/>
      <c r="T85" s="75"/>
      <c r="U85" s="12">
        <f t="shared" si="11"/>
        <v>0</v>
      </c>
      <c r="V85" s="75"/>
      <c r="W85" s="75"/>
      <c r="X85" s="12">
        <f t="shared" si="12"/>
        <v>0</v>
      </c>
      <c r="Y85" s="75"/>
      <c r="Z85" s="75"/>
      <c r="AA85" s="13">
        <f t="shared" si="13"/>
        <v>0</v>
      </c>
      <c r="AB85" s="76">
        <v>46021</v>
      </c>
    </row>
    <row r="86" spans="1:28" ht="15.75" hidden="1" x14ac:dyDescent="0.25">
      <c r="A86" s="28">
        <v>45982</v>
      </c>
      <c r="B86" s="10" t="s">
        <v>144</v>
      </c>
      <c r="C86" s="10"/>
      <c r="D86" s="10" t="s">
        <v>28</v>
      </c>
      <c r="E86" s="10" t="s">
        <v>139</v>
      </c>
      <c r="F86" s="10">
        <v>117.9</v>
      </c>
      <c r="G86" s="10" t="s">
        <v>36</v>
      </c>
      <c r="H86" s="10">
        <v>43000</v>
      </c>
      <c r="I86" s="10">
        <f t="shared" si="7"/>
        <v>5069700</v>
      </c>
      <c r="J86" s="29" t="s">
        <v>110</v>
      </c>
      <c r="K86" s="71" t="s">
        <v>145</v>
      </c>
      <c r="L86" s="12">
        <f t="shared" si="8"/>
        <v>0</v>
      </c>
      <c r="M86" s="75"/>
      <c r="N86" s="75"/>
      <c r="O86" s="12">
        <f t="shared" si="9"/>
        <v>5069700</v>
      </c>
      <c r="P86" s="75">
        <v>3001300</v>
      </c>
      <c r="Q86" s="75">
        <v>2068400</v>
      </c>
      <c r="R86" s="12">
        <f t="shared" si="10"/>
        <v>0</v>
      </c>
      <c r="S86" s="75"/>
      <c r="T86" s="75"/>
      <c r="U86" s="12">
        <f t="shared" si="11"/>
        <v>0</v>
      </c>
      <c r="V86" s="75"/>
      <c r="W86" s="75"/>
      <c r="X86" s="12">
        <f t="shared" si="12"/>
        <v>0</v>
      </c>
      <c r="Y86" s="75"/>
      <c r="Z86" s="75"/>
      <c r="AA86" s="13">
        <f t="shared" si="13"/>
        <v>0</v>
      </c>
      <c r="AB86" s="76">
        <v>46020</v>
      </c>
    </row>
    <row r="87" spans="1:28" ht="15.75" hidden="1" x14ac:dyDescent="0.25">
      <c r="A87" s="28">
        <v>45983</v>
      </c>
      <c r="B87" s="10" t="s">
        <v>101</v>
      </c>
      <c r="C87" s="10"/>
      <c r="D87" s="10" t="s">
        <v>28</v>
      </c>
      <c r="E87" s="10" t="s">
        <v>118</v>
      </c>
      <c r="F87" s="10">
        <v>4</v>
      </c>
      <c r="G87" s="10" t="s">
        <v>22</v>
      </c>
      <c r="H87" s="10">
        <v>400000</v>
      </c>
      <c r="I87" s="10">
        <f t="shared" si="7"/>
        <v>1600000</v>
      </c>
      <c r="J87" s="29" t="s">
        <v>110</v>
      </c>
      <c r="K87" s="71" t="s">
        <v>128</v>
      </c>
      <c r="L87" s="12">
        <f t="shared" si="8"/>
        <v>0</v>
      </c>
      <c r="M87" s="75"/>
      <c r="N87" s="75"/>
      <c r="O87" s="12">
        <f t="shared" si="9"/>
        <v>1600000</v>
      </c>
      <c r="P87" s="75"/>
      <c r="Q87" s="75">
        <v>1600000</v>
      </c>
      <c r="R87" s="12">
        <f t="shared" si="10"/>
        <v>0</v>
      </c>
      <c r="S87" s="75"/>
      <c r="T87" s="75"/>
      <c r="U87" s="12">
        <f t="shared" si="11"/>
        <v>0</v>
      </c>
      <c r="V87" s="75"/>
      <c r="W87" s="75"/>
      <c r="X87" s="12">
        <f t="shared" si="12"/>
        <v>0</v>
      </c>
      <c r="Y87" s="75"/>
      <c r="Z87" s="75"/>
      <c r="AA87" s="13">
        <f t="shared" si="13"/>
        <v>0</v>
      </c>
      <c r="AB87" s="76">
        <v>46051</v>
      </c>
    </row>
    <row r="88" spans="1:28" ht="15.75" hidden="1" x14ac:dyDescent="0.25">
      <c r="A88" s="28">
        <v>45983</v>
      </c>
      <c r="B88" s="10" t="s">
        <v>127</v>
      </c>
      <c r="C88" s="10"/>
      <c r="D88" s="10" t="s">
        <v>28</v>
      </c>
      <c r="E88" s="10" t="s">
        <v>51</v>
      </c>
      <c r="F88" s="10">
        <v>1</v>
      </c>
      <c r="G88" s="10" t="s">
        <v>22</v>
      </c>
      <c r="H88" s="10">
        <v>400000</v>
      </c>
      <c r="I88" s="10">
        <f t="shared" si="7"/>
        <v>400000</v>
      </c>
      <c r="J88" s="52" t="s">
        <v>30</v>
      </c>
      <c r="K88" s="62" t="s">
        <v>128</v>
      </c>
      <c r="L88" s="12">
        <f t="shared" si="8"/>
        <v>0</v>
      </c>
      <c r="M88" s="75"/>
      <c r="N88" s="75"/>
      <c r="O88" s="12">
        <f t="shared" si="9"/>
        <v>0</v>
      </c>
      <c r="P88" s="75"/>
      <c r="Q88" s="75"/>
      <c r="R88" s="12">
        <f t="shared" si="10"/>
        <v>0</v>
      </c>
      <c r="S88" s="75"/>
      <c r="T88" s="75"/>
      <c r="U88" s="12">
        <f t="shared" si="11"/>
        <v>0</v>
      </c>
      <c r="V88" s="75"/>
      <c r="W88" s="75"/>
      <c r="X88" s="12">
        <f t="shared" si="12"/>
        <v>0</v>
      </c>
      <c r="Y88" s="75"/>
      <c r="Z88" s="75"/>
      <c r="AA88" s="13">
        <f t="shared" si="13"/>
        <v>400000</v>
      </c>
      <c r="AB88" s="76"/>
    </row>
    <row r="89" spans="1:28" ht="15.75" hidden="1" x14ac:dyDescent="0.25">
      <c r="A89" s="28">
        <v>45983</v>
      </c>
      <c r="B89" s="10" t="s">
        <v>97</v>
      </c>
      <c r="C89" s="10"/>
      <c r="D89" s="10" t="s">
        <v>28</v>
      </c>
      <c r="E89" s="10" t="s">
        <v>80</v>
      </c>
      <c r="F89" s="10">
        <v>133.80000000000001</v>
      </c>
      <c r="G89" s="10" t="s">
        <v>36</v>
      </c>
      <c r="H89" s="10">
        <v>43000</v>
      </c>
      <c r="I89" s="10">
        <f t="shared" si="7"/>
        <v>5753400.0000000009</v>
      </c>
      <c r="J89" s="52" t="s">
        <v>90</v>
      </c>
      <c r="K89" s="62" t="s">
        <v>128</v>
      </c>
      <c r="L89" s="12">
        <f t="shared" si="8"/>
        <v>0</v>
      </c>
      <c r="M89" s="75"/>
      <c r="N89" s="75"/>
      <c r="O89" s="12">
        <f t="shared" si="9"/>
        <v>0</v>
      </c>
      <c r="P89" s="75"/>
      <c r="Q89" s="75"/>
      <c r="R89" s="12">
        <f t="shared" si="10"/>
        <v>0</v>
      </c>
      <c r="S89" s="75"/>
      <c r="T89" s="75"/>
      <c r="U89" s="12">
        <f t="shared" si="11"/>
        <v>0</v>
      </c>
      <c r="V89" s="75"/>
      <c r="W89" s="75"/>
      <c r="X89" s="12">
        <f t="shared" si="12"/>
        <v>0</v>
      </c>
      <c r="Y89" s="75"/>
      <c r="Z89" s="75"/>
      <c r="AA89" s="13">
        <f t="shared" si="13"/>
        <v>5753400.0000000009</v>
      </c>
      <c r="AB89" s="76"/>
    </row>
    <row r="90" spans="1:28" ht="15.75" hidden="1" x14ac:dyDescent="0.25">
      <c r="A90" s="28">
        <v>45983</v>
      </c>
      <c r="B90" s="10" t="s">
        <v>97</v>
      </c>
      <c r="C90" s="10"/>
      <c r="D90" s="10" t="s">
        <v>28</v>
      </c>
      <c r="E90" s="10" t="s">
        <v>137</v>
      </c>
      <c r="F90" s="10">
        <v>10</v>
      </c>
      <c r="G90" s="10" t="s">
        <v>36</v>
      </c>
      <c r="H90" s="10">
        <v>200000</v>
      </c>
      <c r="I90" s="10">
        <f t="shared" si="7"/>
        <v>2000000</v>
      </c>
      <c r="J90" s="52" t="s">
        <v>90</v>
      </c>
      <c r="K90" s="62" t="s">
        <v>128</v>
      </c>
      <c r="L90" s="12">
        <f t="shared" si="8"/>
        <v>0</v>
      </c>
      <c r="M90" s="75"/>
      <c r="N90" s="75"/>
      <c r="O90" s="12">
        <f t="shared" si="9"/>
        <v>0</v>
      </c>
      <c r="P90" s="75"/>
      <c r="Q90" s="75"/>
      <c r="R90" s="12">
        <f t="shared" si="10"/>
        <v>0</v>
      </c>
      <c r="S90" s="75"/>
      <c r="T90" s="75"/>
      <c r="U90" s="12">
        <f t="shared" si="11"/>
        <v>0</v>
      </c>
      <c r="V90" s="75"/>
      <c r="W90" s="75"/>
      <c r="X90" s="12">
        <f t="shared" si="12"/>
        <v>0</v>
      </c>
      <c r="Y90" s="75"/>
      <c r="Z90" s="75"/>
      <c r="AA90" s="13">
        <f t="shared" si="13"/>
        <v>2000000</v>
      </c>
      <c r="AB90" s="76"/>
    </row>
    <row r="91" spans="1:28" ht="15.75" hidden="1" x14ac:dyDescent="0.25">
      <c r="A91" s="28">
        <v>45983</v>
      </c>
      <c r="B91" s="10" t="s">
        <v>97</v>
      </c>
      <c r="C91" s="10"/>
      <c r="D91" s="10" t="s">
        <v>28</v>
      </c>
      <c r="E91" s="10" t="s">
        <v>38</v>
      </c>
      <c r="F91" s="10">
        <v>4</v>
      </c>
      <c r="G91" s="10" t="s">
        <v>39</v>
      </c>
      <c r="H91" s="10">
        <v>45000</v>
      </c>
      <c r="I91" s="10">
        <f t="shared" si="7"/>
        <v>180000</v>
      </c>
      <c r="J91" s="52" t="s">
        <v>90</v>
      </c>
      <c r="K91" s="62" t="s">
        <v>128</v>
      </c>
      <c r="L91" s="12">
        <f t="shared" si="8"/>
        <v>0</v>
      </c>
      <c r="M91" s="75"/>
      <c r="N91" s="75"/>
      <c r="O91" s="12">
        <f t="shared" si="9"/>
        <v>0</v>
      </c>
      <c r="P91" s="75"/>
      <c r="Q91" s="75"/>
      <c r="R91" s="12">
        <f t="shared" si="10"/>
        <v>0</v>
      </c>
      <c r="S91" s="75"/>
      <c r="T91" s="75"/>
      <c r="U91" s="12">
        <f t="shared" si="11"/>
        <v>0</v>
      </c>
      <c r="V91" s="75"/>
      <c r="W91" s="75"/>
      <c r="X91" s="12">
        <f t="shared" si="12"/>
        <v>0</v>
      </c>
      <c r="Y91" s="75"/>
      <c r="Z91" s="75"/>
      <c r="AA91" s="13">
        <f t="shared" si="13"/>
        <v>180000</v>
      </c>
      <c r="AB91" s="76"/>
    </row>
    <row r="92" spans="1:28" ht="15.75" hidden="1" x14ac:dyDescent="0.25">
      <c r="A92" s="28">
        <v>45985</v>
      </c>
      <c r="B92" s="10" t="s">
        <v>146</v>
      </c>
      <c r="C92" s="10"/>
      <c r="D92" s="10" t="s">
        <v>28</v>
      </c>
      <c r="E92" s="10" t="s">
        <v>147</v>
      </c>
      <c r="F92" s="10">
        <v>6.5</v>
      </c>
      <c r="G92" s="10" t="s">
        <v>133</v>
      </c>
      <c r="H92" s="10">
        <v>1200000</v>
      </c>
      <c r="I92" s="10">
        <f t="shared" si="7"/>
        <v>7800000</v>
      </c>
      <c r="J92" s="52" t="s">
        <v>90</v>
      </c>
      <c r="K92" s="10"/>
      <c r="L92" s="12">
        <f t="shared" si="8"/>
        <v>0</v>
      </c>
      <c r="M92" s="75"/>
      <c r="N92" s="75"/>
      <c r="O92" s="12">
        <f t="shared" si="9"/>
        <v>0</v>
      </c>
      <c r="P92" s="75"/>
      <c r="Q92" s="75"/>
      <c r="R92" s="12">
        <f t="shared" si="10"/>
        <v>0</v>
      </c>
      <c r="S92" s="75"/>
      <c r="T92" s="75"/>
      <c r="U92" s="12">
        <f t="shared" si="11"/>
        <v>0</v>
      </c>
      <c r="V92" s="75"/>
      <c r="W92" s="75"/>
      <c r="X92" s="12">
        <f t="shared" si="12"/>
        <v>0</v>
      </c>
      <c r="Y92" s="75"/>
      <c r="Z92" s="75"/>
      <c r="AA92" s="13">
        <f t="shared" si="13"/>
        <v>7800000</v>
      </c>
      <c r="AB92" s="76"/>
    </row>
    <row r="93" spans="1:28" ht="15.75" hidden="1" x14ac:dyDescent="0.25">
      <c r="A93" s="28">
        <v>45986</v>
      </c>
      <c r="B93" s="10" t="s">
        <v>97</v>
      </c>
      <c r="C93" s="10"/>
      <c r="D93" s="10" t="s">
        <v>28</v>
      </c>
      <c r="E93" s="10" t="s">
        <v>92</v>
      </c>
      <c r="F93" s="10">
        <v>34.200000000000003</v>
      </c>
      <c r="G93" s="10" t="s">
        <v>36</v>
      </c>
      <c r="H93" s="10">
        <v>43000</v>
      </c>
      <c r="I93" s="10">
        <f t="shared" si="7"/>
        <v>1470600.0000000002</v>
      </c>
      <c r="J93" s="52" t="s">
        <v>90</v>
      </c>
      <c r="K93" s="63" t="s">
        <v>148</v>
      </c>
      <c r="L93" s="12">
        <f t="shared" si="8"/>
        <v>0</v>
      </c>
      <c r="M93" s="75"/>
      <c r="N93" s="75"/>
      <c r="O93" s="12">
        <f t="shared" si="9"/>
        <v>0</v>
      </c>
      <c r="P93" s="75"/>
      <c r="Q93" s="75"/>
      <c r="R93" s="12">
        <f t="shared" si="10"/>
        <v>0</v>
      </c>
      <c r="S93" s="75"/>
      <c r="T93" s="75"/>
      <c r="U93" s="12">
        <f t="shared" si="11"/>
        <v>0</v>
      </c>
      <c r="V93" s="75"/>
      <c r="W93" s="75"/>
      <c r="X93" s="12">
        <f t="shared" si="12"/>
        <v>0</v>
      </c>
      <c r="Y93" s="75"/>
      <c r="Z93" s="75"/>
      <c r="AA93" s="13">
        <f t="shared" si="13"/>
        <v>1470600.0000000002</v>
      </c>
      <c r="AB93" s="76"/>
    </row>
    <row r="94" spans="1:28" ht="15.75" hidden="1" x14ac:dyDescent="0.25">
      <c r="A94" s="28">
        <v>45986</v>
      </c>
      <c r="B94" s="10" t="s">
        <v>97</v>
      </c>
      <c r="C94" s="10"/>
      <c r="D94" s="10" t="s">
        <v>28</v>
      </c>
      <c r="E94" s="10" t="s">
        <v>86</v>
      </c>
      <c r="F94" s="10">
        <v>28.4</v>
      </c>
      <c r="G94" s="10" t="s">
        <v>36</v>
      </c>
      <c r="H94" s="10">
        <v>43000</v>
      </c>
      <c r="I94" s="10">
        <f t="shared" si="7"/>
        <v>1221200</v>
      </c>
      <c r="J94" s="52" t="s">
        <v>90</v>
      </c>
      <c r="K94" s="63" t="s">
        <v>148</v>
      </c>
      <c r="L94" s="12">
        <f t="shared" si="8"/>
        <v>0</v>
      </c>
      <c r="M94" s="75"/>
      <c r="N94" s="75"/>
      <c r="O94" s="12">
        <f t="shared" si="9"/>
        <v>0</v>
      </c>
      <c r="P94" s="75"/>
      <c r="Q94" s="75"/>
      <c r="R94" s="12">
        <f t="shared" si="10"/>
        <v>0</v>
      </c>
      <c r="S94" s="75"/>
      <c r="T94" s="75"/>
      <c r="U94" s="12">
        <f t="shared" si="11"/>
        <v>0</v>
      </c>
      <c r="V94" s="75"/>
      <c r="W94" s="75"/>
      <c r="X94" s="12">
        <f t="shared" si="12"/>
        <v>0</v>
      </c>
      <c r="Y94" s="75"/>
      <c r="Z94" s="75"/>
      <c r="AA94" s="13">
        <f t="shared" si="13"/>
        <v>1221200</v>
      </c>
      <c r="AB94" s="76"/>
    </row>
    <row r="95" spans="1:28" ht="15.75" hidden="1" x14ac:dyDescent="0.25">
      <c r="A95" s="28">
        <v>45986</v>
      </c>
      <c r="B95" s="10" t="s">
        <v>109</v>
      </c>
      <c r="C95" s="10"/>
      <c r="D95" s="10" t="s">
        <v>28</v>
      </c>
      <c r="E95" s="10" t="s">
        <v>86</v>
      </c>
      <c r="F95" s="10">
        <v>29.2</v>
      </c>
      <c r="G95" s="10" t="s">
        <v>36</v>
      </c>
      <c r="H95" s="10">
        <v>43000</v>
      </c>
      <c r="I95" s="10">
        <f t="shared" si="7"/>
        <v>1255600</v>
      </c>
      <c r="J95" s="29" t="s">
        <v>113</v>
      </c>
      <c r="K95" s="71" t="s">
        <v>142</v>
      </c>
      <c r="L95" s="12">
        <f t="shared" si="8"/>
        <v>1255600</v>
      </c>
      <c r="M95" s="75">
        <v>370100</v>
      </c>
      <c r="N95" s="75">
        <v>885500</v>
      </c>
      <c r="O95" s="12">
        <f t="shared" si="9"/>
        <v>0</v>
      </c>
      <c r="P95" s="75"/>
      <c r="Q95" s="75"/>
      <c r="R95" s="12">
        <f t="shared" si="10"/>
        <v>0</v>
      </c>
      <c r="S95" s="75"/>
      <c r="T95" s="75"/>
      <c r="U95" s="12">
        <f t="shared" si="11"/>
        <v>0</v>
      </c>
      <c r="V95" s="75"/>
      <c r="W95" s="75"/>
      <c r="X95" s="12">
        <f t="shared" si="12"/>
        <v>0</v>
      </c>
      <c r="Y95" s="75"/>
      <c r="Z95" s="75"/>
      <c r="AA95" s="13">
        <f t="shared" si="13"/>
        <v>0</v>
      </c>
      <c r="AB95" s="76">
        <v>46015</v>
      </c>
    </row>
    <row r="96" spans="1:28" ht="15.75" hidden="1" x14ac:dyDescent="0.25">
      <c r="A96" s="28">
        <v>45986</v>
      </c>
      <c r="B96" s="10" t="s">
        <v>149</v>
      </c>
      <c r="C96" s="10"/>
      <c r="D96" s="10" t="s">
        <v>28</v>
      </c>
      <c r="E96" s="10" t="s">
        <v>107</v>
      </c>
      <c r="F96" s="10">
        <v>300</v>
      </c>
      <c r="G96" s="10" t="s">
        <v>36</v>
      </c>
      <c r="H96" s="10">
        <v>60000</v>
      </c>
      <c r="I96" s="10">
        <f t="shared" si="7"/>
        <v>18000000</v>
      </c>
      <c r="J96" s="29" t="s">
        <v>110</v>
      </c>
      <c r="K96" s="71" t="s">
        <v>150</v>
      </c>
      <c r="L96" s="12">
        <f t="shared" si="8"/>
        <v>0</v>
      </c>
      <c r="M96" s="75"/>
      <c r="N96" s="75"/>
      <c r="O96" s="12">
        <f t="shared" si="9"/>
        <v>18000000</v>
      </c>
      <c r="P96" s="75">
        <v>18000000</v>
      </c>
      <c r="Q96" s="75"/>
      <c r="R96" s="12">
        <f t="shared" si="10"/>
        <v>0</v>
      </c>
      <c r="S96" s="75"/>
      <c r="T96" s="75"/>
      <c r="U96" s="12">
        <f t="shared" si="11"/>
        <v>0</v>
      </c>
      <c r="V96" s="75"/>
      <c r="W96" s="75"/>
      <c r="X96" s="12">
        <f t="shared" si="12"/>
        <v>0</v>
      </c>
      <c r="Y96" s="75"/>
      <c r="Z96" s="75"/>
      <c r="AA96" s="13">
        <f t="shared" si="13"/>
        <v>0</v>
      </c>
      <c r="AB96" s="76">
        <v>46021</v>
      </c>
    </row>
    <row r="97" spans="1:28" ht="15.75" hidden="1" x14ac:dyDescent="0.25">
      <c r="A97" s="28"/>
      <c r="B97" s="77" t="s">
        <v>151</v>
      </c>
      <c r="C97" s="77"/>
      <c r="D97" s="77"/>
      <c r="E97" s="77"/>
      <c r="F97" s="77"/>
      <c r="G97" s="77"/>
      <c r="H97" s="77"/>
      <c r="I97" s="77">
        <f t="shared" si="7"/>
        <v>0</v>
      </c>
      <c r="J97" s="29" t="s">
        <v>40</v>
      </c>
      <c r="K97" s="10" t="s">
        <v>152</v>
      </c>
      <c r="L97" s="12">
        <f t="shared" si="8"/>
        <v>0</v>
      </c>
      <c r="M97" s="75"/>
      <c r="N97" s="75"/>
      <c r="O97" s="12">
        <f t="shared" si="9"/>
        <v>19780000</v>
      </c>
      <c r="P97" s="75">
        <v>19780000</v>
      </c>
      <c r="Q97" s="75"/>
      <c r="R97" s="12">
        <f t="shared" si="10"/>
        <v>0</v>
      </c>
      <c r="S97" s="75"/>
      <c r="T97" s="75"/>
      <c r="U97" s="12">
        <f t="shared" si="11"/>
        <v>0</v>
      </c>
      <c r="V97" s="75"/>
      <c r="W97" s="75"/>
      <c r="X97" s="12">
        <f t="shared" si="12"/>
        <v>0</v>
      </c>
      <c r="Y97" s="75"/>
      <c r="Z97" s="75"/>
      <c r="AA97" s="13">
        <f t="shared" si="13"/>
        <v>-19780000</v>
      </c>
      <c r="AB97" s="76">
        <v>46021</v>
      </c>
    </row>
    <row r="98" spans="1:28" ht="15.75" hidden="1" x14ac:dyDescent="0.25">
      <c r="A98" s="28"/>
      <c r="B98" s="77" t="s">
        <v>151</v>
      </c>
      <c r="C98" s="77"/>
      <c r="D98" s="77"/>
      <c r="E98" s="77"/>
      <c r="F98" s="77"/>
      <c r="G98" s="77"/>
      <c r="H98" s="77"/>
      <c r="I98" s="77">
        <f t="shared" si="7"/>
        <v>0</v>
      </c>
      <c r="J98" s="29" t="s">
        <v>40</v>
      </c>
      <c r="K98" s="10" t="s">
        <v>153</v>
      </c>
      <c r="L98" s="12">
        <f t="shared" si="8"/>
        <v>0</v>
      </c>
      <c r="M98" s="75"/>
      <c r="N98" s="75"/>
      <c r="O98" s="12">
        <f t="shared" si="9"/>
        <v>26350000</v>
      </c>
      <c r="P98" s="75">
        <v>26350000</v>
      </c>
      <c r="Q98" s="75"/>
      <c r="R98" s="12">
        <f t="shared" si="10"/>
        <v>0</v>
      </c>
      <c r="S98" s="75"/>
      <c r="T98" s="75"/>
      <c r="U98" s="12">
        <f t="shared" si="11"/>
        <v>0</v>
      </c>
      <c r="V98" s="75"/>
      <c r="W98" s="75"/>
      <c r="X98" s="12">
        <f t="shared" si="12"/>
        <v>0</v>
      </c>
      <c r="Y98" s="75"/>
      <c r="Z98" s="75"/>
      <c r="AA98" s="13">
        <f t="shared" si="13"/>
        <v>-26350000</v>
      </c>
      <c r="AB98" s="76">
        <v>46021</v>
      </c>
    </row>
    <row r="99" spans="1:28" ht="15.75" hidden="1" x14ac:dyDescent="0.25">
      <c r="A99" s="28"/>
      <c r="B99" s="77" t="s">
        <v>151</v>
      </c>
      <c r="C99" s="77"/>
      <c r="D99" s="77"/>
      <c r="E99" s="77"/>
      <c r="F99" s="77"/>
      <c r="G99" s="77"/>
      <c r="H99" s="77"/>
      <c r="I99" s="77">
        <f t="shared" si="7"/>
        <v>0</v>
      </c>
      <c r="J99" s="29" t="s">
        <v>40</v>
      </c>
      <c r="K99" s="10" t="s">
        <v>154</v>
      </c>
      <c r="L99" s="12">
        <f t="shared" si="8"/>
        <v>0</v>
      </c>
      <c r="M99" s="75"/>
      <c r="N99" s="75"/>
      <c r="O99" s="12">
        <f t="shared" si="9"/>
        <v>38806000</v>
      </c>
      <c r="P99" s="75">
        <v>38806000</v>
      </c>
      <c r="Q99" s="75"/>
      <c r="R99" s="12">
        <f t="shared" si="10"/>
        <v>0</v>
      </c>
      <c r="S99" s="75"/>
      <c r="T99" s="75"/>
      <c r="U99" s="12">
        <f t="shared" si="11"/>
        <v>0</v>
      </c>
      <c r="V99" s="75"/>
      <c r="W99" s="75"/>
      <c r="X99" s="12">
        <f t="shared" si="12"/>
        <v>0</v>
      </c>
      <c r="Y99" s="75"/>
      <c r="Z99" s="75"/>
      <c r="AA99" s="13">
        <f t="shared" si="13"/>
        <v>-38806000</v>
      </c>
      <c r="AB99" s="76">
        <v>46021</v>
      </c>
    </row>
    <row r="100" spans="1:28" ht="15.75" hidden="1" x14ac:dyDescent="0.25">
      <c r="A100" s="28"/>
      <c r="B100" s="77" t="s">
        <v>151</v>
      </c>
      <c r="C100" s="77"/>
      <c r="D100" s="77"/>
      <c r="E100" s="77"/>
      <c r="F100" s="77"/>
      <c r="G100" s="77"/>
      <c r="H100" s="77"/>
      <c r="I100" s="77">
        <f t="shared" si="7"/>
        <v>0</v>
      </c>
      <c r="J100" s="29" t="s">
        <v>40</v>
      </c>
      <c r="K100" s="10"/>
      <c r="L100" s="12">
        <f t="shared" si="8"/>
        <v>0</v>
      </c>
      <c r="M100" s="75"/>
      <c r="N100" s="75"/>
      <c r="O100" s="12">
        <f t="shared" si="9"/>
        <v>25000000</v>
      </c>
      <c r="P100" s="75">
        <v>25000000</v>
      </c>
      <c r="Q100" s="75"/>
      <c r="R100" s="12">
        <f t="shared" si="10"/>
        <v>0</v>
      </c>
      <c r="S100" s="75"/>
      <c r="T100" s="75"/>
      <c r="U100" s="12">
        <f t="shared" si="11"/>
        <v>0</v>
      </c>
      <c r="V100" s="75"/>
      <c r="W100" s="75"/>
      <c r="X100" s="12">
        <f t="shared" si="12"/>
        <v>0</v>
      </c>
      <c r="Y100" s="75"/>
      <c r="Z100" s="75"/>
      <c r="AA100" s="13">
        <f t="shared" si="13"/>
        <v>-25000000</v>
      </c>
      <c r="AB100" s="76">
        <v>46029</v>
      </c>
    </row>
    <row r="101" spans="1:28" ht="15.75" hidden="1" x14ac:dyDescent="0.25">
      <c r="A101" s="28"/>
      <c r="B101" s="77" t="s">
        <v>151</v>
      </c>
      <c r="C101" s="77"/>
      <c r="D101" s="77"/>
      <c r="E101" s="77"/>
      <c r="F101" s="77"/>
      <c r="G101" s="77"/>
      <c r="H101" s="77"/>
      <c r="I101" s="77">
        <f t="shared" si="7"/>
        <v>0</v>
      </c>
      <c r="J101" s="29" t="s">
        <v>40</v>
      </c>
      <c r="K101" s="10" t="s">
        <v>287</v>
      </c>
      <c r="L101" s="12">
        <f t="shared" si="8"/>
        <v>0</v>
      </c>
      <c r="M101" s="75"/>
      <c r="N101" s="75"/>
      <c r="O101" s="12">
        <f t="shared" si="9"/>
        <v>20200000</v>
      </c>
      <c r="P101" s="75">
        <v>20200000</v>
      </c>
      <c r="Q101" s="75"/>
      <c r="R101" s="12">
        <f t="shared" si="10"/>
        <v>0</v>
      </c>
      <c r="S101" s="75"/>
      <c r="T101" s="75"/>
      <c r="U101" s="12">
        <f t="shared" si="11"/>
        <v>0</v>
      </c>
      <c r="V101" s="75"/>
      <c r="W101" s="75"/>
      <c r="X101" s="12">
        <f t="shared" si="12"/>
        <v>0</v>
      </c>
      <c r="Y101" s="75"/>
      <c r="Z101" s="75"/>
      <c r="AA101" s="13">
        <f t="shared" si="13"/>
        <v>-20200000</v>
      </c>
      <c r="AB101" s="76">
        <v>46031</v>
      </c>
    </row>
    <row r="102" spans="1:28" ht="15.75" hidden="1" x14ac:dyDescent="0.25">
      <c r="A102" s="28"/>
      <c r="B102" s="77" t="s">
        <v>155</v>
      </c>
      <c r="C102" s="77"/>
      <c r="D102" s="77"/>
      <c r="E102" s="77"/>
      <c r="F102" s="77"/>
      <c r="G102" s="77"/>
      <c r="H102" s="77"/>
      <c r="I102" s="77">
        <f t="shared" si="7"/>
        <v>0</v>
      </c>
      <c r="J102" s="29" t="s">
        <v>40</v>
      </c>
      <c r="K102" s="10"/>
      <c r="L102" s="12">
        <f t="shared" si="8"/>
        <v>0</v>
      </c>
      <c r="M102" s="75"/>
      <c r="N102" s="75"/>
      <c r="O102" s="12">
        <f t="shared" si="9"/>
        <v>800000</v>
      </c>
      <c r="P102" s="75">
        <v>800000</v>
      </c>
      <c r="Q102" s="75"/>
      <c r="R102" s="12">
        <f t="shared" si="10"/>
        <v>0</v>
      </c>
      <c r="S102" s="75"/>
      <c r="T102" s="75"/>
      <c r="U102" s="12">
        <f t="shared" si="11"/>
        <v>0</v>
      </c>
      <c r="V102" s="75"/>
      <c r="W102" s="75"/>
      <c r="X102" s="12">
        <f t="shared" si="12"/>
        <v>0</v>
      </c>
      <c r="Y102" s="75"/>
      <c r="Z102" s="75"/>
      <c r="AA102" s="13">
        <f t="shared" si="13"/>
        <v>-800000</v>
      </c>
      <c r="AB102" s="76">
        <v>45994</v>
      </c>
    </row>
    <row r="103" spans="1:28" ht="15.75" hidden="1" x14ac:dyDescent="0.25">
      <c r="A103" s="28">
        <v>45987</v>
      </c>
      <c r="B103" s="10" t="s">
        <v>74</v>
      </c>
      <c r="C103" s="10"/>
      <c r="D103" s="10" t="s">
        <v>28</v>
      </c>
      <c r="E103" s="10" t="s">
        <v>88</v>
      </c>
      <c r="F103" s="10">
        <v>25</v>
      </c>
      <c r="G103" s="10" t="s">
        <v>36</v>
      </c>
      <c r="H103" s="10">
        <v>95400</v>
      </c>
      <c r="I103" s="10">
        <f t="shared" si="7"/>
        <v>2385000</v>
      </c>
      <c r="J103" s="29" t="s">
        <v>110</v>
      </c>
      <c r="K103" s="71" t="s">
        <v>128</v>
      </c>
      <c r="L103" s="12">
        <f t="shared" si="8"/>
        <v>0</v>
      </c>
      <c r="M103" s="75"/>
      <c r="N103" s="75"/>
      <c r="O103" s="12">
        <f t="shared" si="9"/>
        <v>2385000</v>
      </c>
      <c r="P103" s="75">
        <v>2385000</v>
      </c>
      <c r="Q103" s="75"/>
      <c r="R103" s="12">
        <f t="shared" si="10"/>
        <v>0</v>
      </c>
      <c r="S103" s="75"/>
      <c r="T103" s="75"/>
      <c r="U103" s="12">
        <f t="shared" si="11"/>
        <v>0</v>
      </c>
      <c r="V103" s="75"/>
      <c r="W103" s="75"/>
      <c r="X103" s="12">
        <f t="shared" si="12"/>
        <v>0</v>
      </c>
      <c r="Y103" s="75"/>
      <c r="Z103" s="75"/>
      <c r="AA103" s="13">
        <f t="shared" si="13"/>
        <v>0</v>
      </c>
      <c r="AB103" s="76">
        <v>45866</v>
      </c>
    </row>
    <row r="104" spans="1:28" ht="15.75" hidden="1" x14ac:dyDescent="0.25">
      <c r="A104" s="28">
        <v>45988</v>
      </c>
      <c r="B104" s="10" t="s">
        <v>69</v>
      </c>
      <c r="C104" s="10"/>
      <c r="D104" s="10" t="s">
        <v>28</v>
      </c>
      <c r="E104" s="10" t="s">
        <v>156</v>
      </c>
      <c r="F104" s="10">
        <v>50</v>
      </c>
      <c r="G104" s="10" t="s">
        <v>39</v>
      </c>
      <c r="H104" s="78"/>
      <c r="I104" s="10">
        <f t="shared" si="7"/>
        <v>0</v>
      </c>
      <c r="J104" s="52" t="s">
        <v>90</v>
      </c>
      <c r="K104" s="10"/>
      <c r="L104" s="12">
        <f t="shared" si="8"/>
        <v>0</v>
      </c>
      <c r="M104" s="75"/>
      <c r="N104" s="75"/>
      <c r="O104" s="12">
        <f t="shared" si="9"/>
        <v>0</v>
      </c>
      <c r="P104" s="75"/>
      <c r="Q104" s="75"/>
      <c r="R104" s="12">
        <f t="shared" si="10"/>
        <v>0</v>
      </c>
      <c r="S104" s="75"/>
      <c r="T104" s="75"/>
      <c r="U104" s="12">
        <f t="shared" si="11"/>
        <v>0</v>
      </c>
      <c r="V104" s="75"/>
      <c r="W104" s="75"/>
      <c r="X104" s="12">
        <f t="shared" si="12"/>
        <v>0</v>
      </c>
      <c r="Y104" s="75"/>
      <c r="Z104" s="75"/>
      <c r="AA104" s="13">
        <f t="shared" si="13"/>
        <v>0</v>
      </c>
      <c r="AB104" s="76"/>
    </row>
    <row r="105" spans="1:28" ht="15.75" hidden="1" x14ac:dyDescent="0.25">
      <c r="A105" s="28">
        <v>45988</v>
      </c>
      <c r="B105" s="10" t="s">
        <v>41</v>
      </c>
      <c r="C105" s="10"/>
      <c r="D105" s="10" t="s">
        <v>28</v>
      </c>
      <c r="E105" s="10" t="s">
        <v>42</v>
      </c>
      <c r="F105" s="10">
        <v>100</v>
      </c>
      <c r="G105" s="10" t="s">
        <v>39</v>
      </c>
      <c r="H105" s="78"/>
      <c r="I105" s="10">
        <f t="shared" si="7"/>
        <v>0</v>
      </c>
      <c r="J105" s="52" t="s">
        <v>90</v>
      </c>
      <c r="K105" s="10"/>
      <c r="L105" s="12">
        <f t="shared" si="8"/>
        <v>0</v>
      </c>
      <c r="M105" s="75"/>
      <c r="N105" s="75"/>
      <c r="O105" s="12">
        <f t="shared" si="9"/>
        <v>0</v>
      </c>
      <c r="P105" s="75"/>
      <c r="Q105" s="75"/>
      <c r="R105" s="12">
        <f t="shared" si="10"/>
        <v>0</v>
      </c>
      <c r="S105" s="75"/>
      <c r="T105" s="75"/>
      <c r="U105" s="12">
        <f t="shared" si="11"/>
        <v>0</v>
      </c>
      <c r="V105" s="75"/>
      <c r="W105" s="75"/>
      <c r="X105" s="12">
        <f t="shared" si="12"/>
        <v>0</v>
      </c>
      <c r="Y105" s="75"/>
      <c r="Z105" s="75"/>
      <c r="AA105" s="13">
        <f t="shared" si="13"/>
        <v>0</v>
      </c>
      <c r="AB105" s="76"/>
    </row>
    <row r="106" spans="1:28" ht="15.75" hidden="1" x14ac:dyDescent="0.25">
      <c r="A106" s="28">
        <v>45988</v>
      </c>
      <c r="B106" s="10" t="s">
        <v>41</v>
      </c>
      <c r="C106" s="10"/>
      <c r="D106" s="10" t="s">
        <v>28</v>
      </c>
      <c r="E106" s="10" t="s">
        <v>66</v>
      </c>
      <c r="F106" s="10">
        <v>200</v>
      </c>
      <c r="G106" s="10" t="s">
        <v>67</v>
      </c>
      <c r="H106" s="10">
        <v>65000</v>
      </c>
      <c r="I106" s="10">
        <f t="shared" si="7"/>
        <v>13000000</v>
      </c>
      <c r="J106" s="52" t="s">
        <v>90</v>
      </c>
      <c r="K106" s="62" t="s">
        <v>157</v>
      </c>
      <c r="L106" s="12">
        <f t="shared" si="8"/>
        <v>0</v>
      </c>
      <c r="M106" s="75"/>
      <c r="N106" s="75"/>
      <c r="O106" s="12">
        <f t="shared" si="9"/>
        <v>0</v>
      </c>
      <c r="P106" s="75"/>
      <c r="Q106" s="75"/>
      <c r="R106" s="12">
        <f t="shared" si="10"/>
        <v>0</v>
      </c>
      <c r="S106" s="75"/>
      <c r="T106" s="75"/>
      <c r="U106" s="12">
        <f t="shared" si="11"/>
        <v>0</v>
      </c>
      <c r="V106" s="75"/>
      <c r="W106" s="75"/>
      <c r="X106" s="12">
        <f t="shared" si="12"/>
        <v>0</v>
      </c>
      <c r="Y106" s="75"/>
      <c r="Z106" s="75"/>
      <c r="AA106" s="13">
        <f t="shared" si="13"/>
        <v>13000000</v>
      </c>
      <c r="AB106" s="76"/>
    </row>
    <row r="107" spans="1:28" ht="15.75" hidden="1" x14ac:dyDescent="0.25">
      <c r="A107" s="28">
        <v>45990</v>
      </c>
      <c r="B107" s="10" t="s">
        <v>55</v>
      </c>
      <c r="C107" s="10"/>
      <c r="D107" s="10" t="s">
        <v>32</v>
      </c>
      <c r="E107" s="10" t="s">
        <v>98</v>
      </c>
      <c r="F107" s="10">
        <v>2000</v>
      </c>
      <c r="G107" s="10" t="s">
        <v>26</v>
      </c>
      <c r="H107" s="10">
        <v>1900</v>
      </c>
      <c r="I107" s="10">
        <f t="shared" si="7"/>
        <v>3800000</v>
      </c>
      <c r="J107" s="29" t="s">
        <v>110</v>
      </c>
      <c r="K107" s="71" t="s">
        <v>140</v>
      </c>
      <c r="L107" s="12">
        <f t="shared" si="8"/>
        <v>0</v>
      </c>
      <c r="M107" s="75"/>
      <c r="N107" s="75"/>
      <c r="O107" s="12">
        <f t="shared" si="9"/>
        <v>3800000</v>
      </c>
      <c r="P107" s="75">
        <v>3800000</v>
      </c>
      <c r="Q107" s="75"/>
      <c r="R107" s="12">
        <f t="shared" si="10"/>
        <v>0</v>
      </c>
      <c r="S107" s="75"/>
      <c r="T107" s="75"/>
      <c r="U107" s="12">
        <f t="shared" si="11"/>
        <v>0</v>
      </c>
      <c r="V107" s="75"/>
      <c r="W107" s="75"/>
      <c r="X107" s="12">
        <f t="shared" si="12"/>
        <v>0</v>
      </c>
      <c r="Y107" s="75"/>
      <c r="Z107" s="75"/>
      <c r="AA107" s="13">
        <f t="shared" si="13"/>
        <v>0</v>
      </c>
      <c r="AB107" s="76">
        <v>46027</v>
      </c>
    </row>
    <row r="108" spans="1:28" ht="16.5" hidden="1" thickBot="1" x14ac:dyDescent="0.3">
      <c r="A108" s="30">
        <v>45990</v>
      </c>
      <c r="B108" s="31" t="s">
        <v>122</v>
      </c>
      <c r="C108" s="31"/>
      <c r="D108" s="31" t="s">
        <v>32</v>
      </c>
      <c r="E108" s="31" t="s">
        <v>65</v>
      </c>
      <c r="F108" s="31">
        <v>10400</v>
      </c>
      <c r="G108" s="31" t="s">
        <v>26</v>
      </c>
      <c r="H108" s="31">
        <v>3800</v>
      </c>
      <c r="I108" s="31">
        <f t="shared" si="7"/>
        <v>39520000</v>
      </c>
      <c r="J108" s="51" t="s">
        <v>113</v>
      </c>
      <c r="K108" s="91" t="s">
        <v>150</v>
      </c>
      <c r="L108" s="34">
        <f t="shared" si="8"/>
        <v>39520000</v>
      </c>
      <c r="M108" s="79">
        <v>19832800</v>
      </c>
      <c r="N108" s="79">
        <v>19687200</v>
      </c>
      <c r="O108" s="34">
        <f t="shared" si="9"/>
        <v>0</v>
      </c>
      <c r="P108" s="79"/>
      <c r="Q108" s="79"/>
      <c r="R108" s="34">
        <f t="shared" si="10"/>
        <v>0</v>
      </c>
      <c r="S108" s="79"/>
      <c r="T108" s="79"/>
      <c r="U108" s="34">
        <f t="shared" si="11"/>
        <v>0</v>
      </c>
      <c r="V108" s="79"/>
      <c r="W108" s="79"/>
      <c r="X108" s="34">
        <f t="shared" si="12"/>
        <v>0</v>
      </c>
      <c r="Y108" s="79"/>
      <c r="Z108" s="79"/>
      <c r="AA108" s="35">
        <f t="shared" si="13"/>
        <v>0</v>
      </c>
      <c r="AB108" s="80">
        <v>46027</v>
      </c>
    </row>
    <row r="109" spans="1:28" ht="15.75" hidden="1" x14ac:dyDescent="0.25">
      <c r="A109" s="65">
        <v>45992</v>
      </c>
      <c r="B109" s="66" t="s">
        <v>158</v>
      </c>
      <c r="C109" s="66"/>
      <c r="D109" s="66" t="s">
        <v>32</v>
      </c>
      <c r="E109" s="66" t="s">
        <v>104</v>
      </c>
      <c r="F109" s="66">
        <v>10400</v>
      </c>
      <c r="G109" s="66" t="s">
        <v>26</v>
      </c>
      <c r="H109" s="66">
        <v>1825</v>
      </c>
      <c r="I109" s="66">
        <f t="shared" si="7"/>
        <v>18980000</v>
      </c>
      <c r="J109" s="84" t="s">
        <v>110</v>
      </c>
      <c r="K109" s="66" t="s">
        <v>159</v>
      </c>
      <c r="L109" s="67">
        <f t="shared" si="8"/>
        <v>0</v>
      </c>
      <c r="M109" s="67"/>
      <c r="N109" s="67"/>
      <c r="O109" s="67">
        <f t="shared" si="9"/>
        <v>0</v>
      </c>
      <c r="P109" s="67"/>
      <c r="Q109" s="67"/>
      <c r="R109" s="67">
        <f t="shared" si="10"/>
        <v>18980000</v>
      </c>
      <c r="S109" s="67">
        <v>6000000</v>
      </c>
      <c r="T109" s="67">
        <f>12950000+30000</f>
        <v>12980000</v>
      </c>
      <c r="U109" s="67">
        <f t="shared" si="11"/>
        <v>0</v>
      </c>
      <c r="V109" s="67"/>
      <c r="W109" s="67"/>
      <c r="X109" s="67">
        <f t="shared" si="12"/>
        <v>0</v>
      </c>
      <c r="Y109" s="67"/>
      <c r="Z109" s="67"/>
      <c r="AA109" s="68">
        <f t="shared" si="13"/>
        <v>0</v>
      </c>
      <c r="AB109" s="69">
        <v>46017</v>
      </c>
    </row>
    <row r="110" spans="1:28" ht="15.75" hidden="1" x14ac:dyDescent="0.25">
      <c r="A110" s="28">
        <v>45992</v>
      </c>
      <c r="B110" s="10" t="s">
        <v>124</v>
      </c>
      <c r="C110" s="10"/>
      <c r="D110" s="10" t="s">
        <v>28</v>
      </c>
      <c r="E110" s="10" t="s">
        <v>160</v>
      </c>
      <c r="F110" s="10">
        <v>2</v>
      </c>
      <c r="G110" s="10" t="s">
        <v>22</v>
      </c>
      <c r="H110" s="10">
        <v>400000</v>
      </c>
      <c r="I110" s="10">
        <f t="shared" si="7"/>
        <v>800000</v>
      </c>
      <c r="J110" s="52" t="s">
        <v>90</v>
      </c>
      <c r="K110" s="62" t="s">
        <v>128</v>
      </c>
      <c r="L110" s="12">
        <f t="shared" si="8"/>
        <v>0</v>
      </c>
      <c r="M110" s="12"/>
      <c r="N110" s="12"/>
      <c r="O110" s="12">
        <f t="shared" si="9"/>
        <v>0</v>
      </c>
      <c r="P110" s="12"/>
      <c r="Q110" s="12"/>
      <c r="R110" s="12">
        <f t="shared" si="10"/>
        <v>0</v>
      </c>
      <c r="S110" s="12"/>
      <c r="T110" s="12"/>
      <c r="U110" s="12">
        <f t="shared" si="11"/>
        <v>0</v>
      </c>
      <c r="V110" s="12"/>
      <c r="W110" s="12"/>
      <c r="X110" s="12">
        <f t="shared" si="12"/>
        <v>0</v>
      </c>
      <c r="Y110" s="12"/>
      <c r="Z110" s="12"/>
      <c r="AA110" s="13">
        <f t="shared" si="13"/>
        <v>800000</v>
      </c>
      <c r="AB110" s="14"/>
    </row>
    <row r="111" spans="1:28" ht="15.75" hidden="1" x14ac:dyDescent="0.25">
      <c r="A111" s="28">
        <v>45992</v>
      </c>
      <c r="B111" s="10" t="s">
        <v>106</v>
      </c>
      <c r="C111" s="10"/>
      <c r="D111" s="10" t="s">
        <v>32</v>
      </c>
      <c r="E111" s="10" t="s">
        <v>161</v>
      </c>
      <c r="F111" s="10">
        <v>1</v>
      </c>
      <c r="G111" s="10" t="s">
        <v>61</v>
      </c>
      <c r="H111" s="10">
        <v>230000</v>
      </c>
      <c r="I111" s="10">
        <f t="shared" si="7"/>
        <v>230000</v>
      </c>
      <c r="J111" s="29" t="s">
        <v>113</v>
      </c>
      <c r="K111" s="71" t="s">
        <v>128</v>
      </c>
      <c r="L111" s="12">
        <f t="shared" si="8"/>
        <v>0</v>
      </c>
      <c r="M111" s="12"/>
      <c r="N111" s="12"/>
      <c r="O111" s="12">
        <f t="shared" si="9"/>
        <v>230000</v>
      </c>
      <c r="P111" s="12">
        <v>230000</v>
      </c>
      <c r="Q111" s="12"/>
      <c r="R111" s="12">
        <f t="shared" si="10"/>
        <v>0</v>
      </c>
      <c r="S111" s="12"/>
      <c r="T111" s="12"/>
      <c r="U111" s="12">
        <f t="shared" si="11"/>
        <v>0</v>
      </c>
      <c r="V111" s="12"/>
      <c r="W111" s="12"/>
      <c r="X111" s="12">
        <f t="shared" si="12"/>
        <v>0</v>
      </c>
      <c r="Y111" s="12"/>
      <c r="Z111" s="12"/>
      <c r="AA111" s="13">
        <f t="shared" si="13"/>
        <v>0</v>
      </c>
      <c r="AB111" s="14">
        <v>46043</v>
      </c>
    </row>
    <row r="112" spans="1:28" ht="15.75" hidden="1" x14ac:dyDescent="0.25">
      <c r="A112" s="28">
        <v>45992</v>
      </c>
      <c r="B112" s="10" t="s">
        <v>101</v>
      </c>
      <c r="C112" s="10"/>
      <c r="D112" s="10" t="s">
        <v>32</v>
      </c>
      <c r="E112" s="10" t="s">
        <v>116</v>
      </c>
      <c r="F112" s="10">
        <v>32</v>
      </c>
      <c r="G112" s="10" t="s">
        <v>67</v>
      </c>
      <c r="H112" s="10">
        <v>65000</v>
      </c>
      <c r="I112" s="10">
        <f t="shared" si="7"/>
        <v>2080000</v>
      </c>
      <c r="J112" s="52" t="s">
        <v>90</v>
      </c>
      <c r="K112" s="63" t="s">
        <v>143</v>
      </c>
      <c r="L112" s="12">
        <f t="shared" si="8"/>
        <v>0</v>
      </c>
      <c r="M112" s="12"/>
      <c r="N112" s="12"/>
      <c r="O112" s="12">
        <f t="shared" si="9"/>
        <v>80000</v>
      </c>
      <c r="P112" s="12"/>
      <c r="Q112" s="12">
        <v>80000</v>
      </c>
      <c r="R112" s="12">
        <f t="shared" si="10"/>
        <v>0</v>
      </c>
      <c r="S112" s="12"/>
      <c r="T112" s="12"/>
      <c r="U112" s="12">
        <f t="shared" si="11"/>
        <v>0</v>
      </c>
      <c r="V112" s="12"/>
      <c r="W112" s="12"/>
      <c r="X112" s="12">
        <f t="shared" si="12"/>
        <v>0</v>
      </c>
      <c r="Y112" s="12"/>
      <c r="Z112" s="12"/>
      <c r="AA112" s="13">
        <f t="shared" si="13"/>
        <v>2000000</v>
      </c>
      <c r="AB112" s="14">
        <v>46051</v>
      </c>
    </row>
    <row r="113" spans="1:28" ht="15.75" hidden="1" x14ac:dyDescent="0.25">
      <c r="A113" s="28">
        <v>45992</v>
      </c>
      <c r="B113" s="10" t="s">
        <v>101</v>
      </c>
      <c r="C113" s="10"/>
      <c r="D113" s="10" t="s">
        <v>32</v>
      </c>
      <c r="E113" s="10" t="s">
        <v>114</v>
      </c>
      <c r="F113" s="10">
        <v>30</v>
      </c>
      <c r="G113" s="10" t="s">
        <v>67</v>
      </c>
      <c r="H113" s="10">
        <v>50000</v>
      </c>
      <c r="I113" s="10">
        <f t="shared" si="7"/>
        <v>1500000</v>
      </c>
      <c r="J113" s="52" t="s">
        <v>90</v>
      </c>
      <c r="K113" s="63" t="s">
        <v>143</v>
      </c>
      <c r="L113" s="12">
        <f t="shared" si="8"/>
        <v>0</v>
      </c>
      <c r="M113" s="12"/>
      <c r="N113" s="12"/>
      <c r="O113" s="12">
        <f t="shared" si="9"/>
        <v>0</v>
      </c>
      <c r="P113" s="12"/>
      <c r="Q113" s="12"/>
      <c r="R113" s="12">
        <f t="shared" si="10"/>
        <v>0</v>
      </c>
      <c r="S113" s="12"/>
      <c r="T113" s="12"/>
      <c r="U113" s="12">
        <f t="shared" si="11"/>
        <v>0</v>
      </c>
      <c r="V113" s="12"/>
      <c r="W113" s="12"/>
      <c r="X113" s="12">
        <f t="shared" si="12"/>
        <v>0</v>
      </c>
      <c r="Y113" s="12"/>
      <c r="Z113" s="12"/>
      <c r="AA113" s="13">
        <f t="shared" si="13"/>
        <v>1500000</v>
      </c>
      <c r="AB113" s="14"/>
    </row>
    <row r="114" spans="1:28" ht="15.75" hidden="1" x14ac:dyDescent="0.25">
      <c r="A114" s="28">
        <v>45992</v>
      </c>
      <c r="B114" s="10" t="s">
        <v>101</v>
      </c>
      <c r="C114" s="10"/>
      <c r="D114" s="10" t="s">
        <v>32</v>
      </c>
      <c r="E114" s="10" t="s">
        <v>130</v>
      </c>
      <c r="F114" s="10">
        <v>30</v>
      </c>
      <c r="G114" s="10" t="s">
        <v>67</v>
      </c>
      <c r="H114" s="10">
        <v>50000</v>
      </c>
      <c r="I114" s="10">
        <f t="shared" si="7"/>
        <v>1500000</v>
      </c>
      <c r="J114" s="52" t="s">
        <v>90</v>
      </c>
      <c r="K114" s="63" t="s">
        <v>143</v>
      </c>
      <c r="L114" s="12">
        <f t="shared" si="8"/>
        <v>0</v>
      </c>
      <c r="M114" s="12"/>
      <c r="N114" s="12"/>
      <c r="O114" s="12">
        <f t="shared" si="9"/>
        <v>0</v>
      </c>
      <c r="P114" s="12"/>
      <c r="Q114" s="12"/>
      <c r="R114" s="12">
        <f t="shared" si="10"/>
        <v>0</v>
      </c>
      <c r="S114" s="12"/>
      <c r="T114" s="12"/>
      <c r="U114" s="12">
        <f t="shared" si="11"/>
        <v>0</v>
      </c>
      <c r="V114" s="12"/>
      <c r="W114" s="12"/>
      <c r="X114" s="12">
        <f t="shared" si="12"/>
        <v>0</v>
      </c>
      <c r="Y114" s="12"/>
      <c r="Z114" s="12"/>
      <c r="AA114" s="13">
        <f t="shared" si="13"/>
        <v>1500000</v>
      </c>
      <c r="AB114" s="14"/>
    </row>
    <row r="115" spans="1:28" ht="15.75" hidden="1" x14ac:dyDescent="0.25">
      <c r="A115" s="28">
        <v>45992</v>
      </c>
      <c r="B115" s="10" t="s">
        <v>135</v>
      </c>
      <c r="C115" s="10"/>
      <c r="D115" s="10" t="s">
        <v>32</v>
      </c>
      <c r="E115" s="10" t="s">
        <v>104</v>
      </c>
      <c r="F115" s="10">
        <v>20000</v>
      </c>
      <c r="G115" s="10" t="s">
        <v>26</v>
      </c>
      <c r="H115" s="10">
        <v>2000</v>
      </c>
      <c r="I115" s="10">
        <f t="shared" si="7"/>
        <v>40000000</v>
      </c>
      <c r="J115" s="52" t="s">
        <v>30</v>
      </c>
      <c r="K115" s="87" t="s">
        <v>159</v>
      </c>
      <c r="L115" s="12">
        <f t="shared" si="8"/>
        <v>0</v>
      </c>
      <c r="M115" s="12"/>
      <c r="N115" s="12"/>
      <c r="O115" s="12">
        <f t="shared" si="9"/>
        <v>0</v>
      </c>
      <c r="P115" s="12"/>
      <c r="Q115" s="12"/>
      <c r="R115" s="12">
        <f t="shared" si="10"/>
        <v>0</v>
      </c>
      <c r="S115" s="12"/>
      <c r="T115" s="12"/>
      <c r="U115" s="12">
        <f t="shared" si="11"/>
        <v>0</v>
      </c>
      <c r="V115" s="12"/>
      <c r="W115" s="12"/>
      <c r="X115" s="12">
        <f t="shared" si="12"/>
        <v>0</v>
      </c>
      <c r="Y115" s="12"/>
      <c r="Z115" s="12"/>
      <c r="AA115" s="13">
        <f t="shared" si="13"/>
        <v>40000000</v>
      </c>
      <c r="AB115" s="14"/>
    </row>
    <row r="116" spans="1:28" ht="15.75" hidden="1" x14ac:dyDescent="0.25">
      <c r="A116" s="28">
        <v>45993</v>
      </c>
      <c r="B116" s="10" t="s">
        <v>122</v>
      </c>
      <c r="C116" s="10"/>
      <c r="D116" s="10" t="s">
        <v>32</v>
      </c>
      <c r="E116" s="10" t="s">
        <v>65</v>
      </c>
      <c r="F116" s="10">
        <v>20800</v>
      </c>
      <c r="G116" s="10" t="s">
        <v>26</v>
      </c>
      <c r="H116" s="10">
        <v>3800</v>
      </c>
      <c r="I116" s="10">
        <f t="shared" si="7"/>
        <v>79040000</v>
      </c>
      <c r="J116" s="52" t="s">
        <v>90</v>
      </c>
      <c r="K116" s="62" t="s">
        <v>162</v>
      </c>
      <c r="L116" s="12">
        <f t="shared" si="8"/>
        <v>0</v>
      </c>
      <c r="M116" s="12"/>
      <c r="N116" s="12"/>
      <c r="O116" s="12">
        <f t="shared" si="9"/>
        <v>20000000</v>
      </c>
      <c r="P116" s="12">
        <v>20000000</v>
      </c>
      <c r="Q116" s="12"/>
      <c r="R116" s="12">
        <f t="shared" si="10"/>
        <v>0</v>
      </c>
      <c r="S116" s="12"/>
      <c r="T116" s="12"/>
      <c r="U116" s="12">
        <f t="shared" si="11"/>
        <v>0</v>
      </c>
      <c r="V116" s="12"/>
      <c r="W116" s="12"/>
      <c r="X116" s="12">
        <f t="shared" si="12"/>
        <v>0</v>
      </c>
      <c r="Y116" s="12"/>
      <c r="Z116" s="12"/>
      <c r="AA116" s="13">
        <f t="shared" si="13"/>
        <v>59040000</v>
      </c>
      <c r="AB116" s="14">
        <v>46000</v>
      </c>
    </row>
    <row r="117" spans="1:28" ht="15.75" hidden="1" x14ac:dyDescent="0.25">
      <c r="A117" s="28">
        <v>45993</v>
      </c>
      <c r="B117" s="10" t="s">
        <v>122</v>
      </c>
      <c r="C117" s="10"/>
      <c r="D117" s="10" t="s">
        <v>32</v>
      </c>
      <c r="E117" s="10" t="s">
        <v>118</v>
      </c>
      <c r="F117" s="10">
        <v>20</v>
      </c>
      <c r="G117" s="10" t="s">
        <v>22</v>
      </c>
      <c r="H117" s="10">
        <v>400000</v>
      </c>
      <c r="I117" s="10">
        <f t="shared" si="7"/>
        <v>8000000</v>
      </c>
      <c r="J117" s="29" t="s">
        <v>113</v>
      </c>
      <c r="K117" s="71" t="s">
        <v>162</v>
      </c>
      <c r="L117" s="12">
        <f t="shared" si="8"/>
        <v>8000000</v>
      </c>
      <c r="M117" s="12"/>
      <c r="N117" s="12">
        <v>8000000</v>
      </c>
      <c r="O117" s="12">
        <f t="shared" si="9"/>
        <v>0</v>
      </c>
      <c r="P117" s="12"/>
      <c r="Q117" s="12"/>
      <c r="R117" s="12">
        <f t="shared" si="10"/>
        <v>0</v>
      </c>
      <c r="S117" s="12"/>
      <c r="T117" s="12"/>
      <c r="U117" s="12">
        <f t="shared" si="11"/>
        <v>0</v>
      </c>
      <c r="V117" s="12"/>
      <c r="W117" s="12"/>
      <c r="X117" s="12">
        <f t="shared" si="12"/>
        <v>0</v>
      </c>
      <c r="Y117" s="12"/>
      <c r="Z117" s="12"/>
      <c r="AA117" s="13">
        <f t="shared" si="13"/>
        <v>0</v>
      </c>
      <c r="AB117" s="14">
        <v>46053</v>
      </c>
    </row>
    <row r="118" spans="1:28" ht="15.75" hidden="1" x14ac:dyDescent="0.25">
      <c r="A118" s="28">
        <v>45993</v>
      </c>
      <c r="B118" s="10" t="s">
        <v>163</v>
      </c>
      <c r="C118" s="10"/>
      <c r="D118" s="10" t="s">
        <v>28</v>
      </c>
      <c r="E118" s="10" t="s">
        <v>51</v>
      </c>
      <c r="F118" s="10">
        <v>3</v>
      </c>
      <c r="G118" s="10" t="s">
        <v>22</v>
      </c>
      <c r="H118" s="10">
        <v>426000</v>
      </c>
      <c r="I118" s="10">
        <f t="shared" si="7"/>
        <v>1278000</v>
      </c>
      <c r="J118" s="29" t="s">
        <v>40</v>
      </c>
      <c r="K118" s="71" t="s">
        <v>140</v>
      </c>
      <c r="L118" s="12">
        <f t="shared" si="8"/>
        <v>0</v>
      </c>
      <c r="M118" s="12"/>
      <c r="N118" s="12"/>
      <c r="O118" s="12">
        <f t="shared" si="9"/>
        <v>3861000</v>
      </c>
      <c r="P118" s="12">
        <v>920000</v>
      </c>
      <c r="Q118" s="12">
        <v>2941000</v>
      </c>
      <c r="R118" s="12">
        <f t="shared" si="10"/>
        <v>0</v>
      </c>
      <c r="S118" s="12"/>
      <c r="T118" s="12"/>
      <c r="U118" s="12">
        <f t="shared" si="11"/>
        <v>0</v>
      </c>
      <c r="V118" s="12"/>
      <c r="W118" s="12"/>
      <c r="X118" s="12">
        <f t="shared" si="12"/>
        <v>0</v>
      </c>
      <c r="Y118" s="12"/>
      <c r="Z118" s="12"/>
      <c r="AA118" s="13">
        <f t="shared" si="13"/>
        <v>-2583000</v>
      </c>
      <c r="AB118" s="14">
        <v>46016</v>
      </c>
    </row>
    <row r="119" spans="1:28" ht="15.75" hidden="1" x14ac:dyDescent="0.25">
      <c r="A119" s="28">
        <v>45994</v>
      </c>
      <c r="B119" s="10" t="s">
        <v>144</v>
      </c>
      <c r="C119" s="10"/>
      <c r="D119" s="10" t="s">
        <v>32</v>
      </c>
      <c r="E119" s="10" t="s">
        <v>139</v>
      </c>
      <c r="F119" s="10">
        <v>39.299999999999997</v>
      </c>
      <c r="G119" s="10" t="s">
        <v>36</v>
      </c>
      <c r="H119" s="10">
        <v>43000</v>
      </c>
      <c r="I119" s="10">
        <f t="shared" si="7"/>
        <v>1689899.9999999998</v>
      </c>
      <c r="J119" s="29" t="s">
        <v>110</v>
      </c>
      <c r="K119" s="71" t="s">
        <v>140</v>
      </c>
      <c r="L119" s="12">
        <f t="shared" si="8"/>
        <v>0</v>
      </c>
      <c r="M119" s="12"/>
      <c r="N119" s="12"/>
      <c r="O119" s="12">
        <f t="shared" si="9"/>
        <v>1689900</v>
      </c>
      <c r="P119" s="12">
        <v>1689900</v>
      </c>
      <c r="Q119" s="12"/>
      <c r="R119" s="12">
        <f t="shared" si="10"/>
        <v>0</v>
      </c>
      <c r="S119" s="12"/>
      <c r="T119" s="12"/>
      <c r="U119" s="12">
        <f t="shared" si="11"/>
        <v>0</v>
      </c>
      <c r="V119" s="12"/>
      <c r="W119" s="12"/>
      <c r="X119" s="12">
        <f t="shared" si="12"/>
        <v>0</v>
      </c>
      <c r="Y119" s="12"/>
      <c r="Z119" s="12"/>
      <c r="AA119" s="13">
        <f t="shared" si="13"/>
        <v>-2.3283064365386963E-10</v>
      </c>
      <c r="AB119" s="14">
        <v>46038</v>
      </c>
    </row>
    <row r="120" spans="1:28" ht="15.75" hidden="1" x14ac:dyDescent="0.25">
      <c r="A120" s="28">
        <v>46000</v>
      </c>
      <c r="B120" s="10" t="s">
        <v>55</v>
      </c>
      <c r="C120" s="10"/>
      <c r="D120" s="10" t="s">
        <v>32</v>
      </c>
      <c r="E120" s="10" t="s">
        <v>65</v>
      </c>
      <c r="F120" s="10">
        <v>4000</v>
      </c>
      <c r="G120" s="10" t="s">
        <v>26</v>
      </c>
      <c r="H120" s="10">
        <v>3800</v>
      </c>
      <c r="I120" s="10">
        <f t="shared" si="7"/>
        <v>15200000</v>
      </c>
      <c r="J120" s="29" t="s">
        <v>110</v>
      </c>
      <c r="K120" s="71" t="s">
        <v>157</v>
      </c>
      <c r="L120" s="12">
        <f t="shared" si="8"/>
        <v>0</v>
      </c>
      <c r="M120" s="12"/>
      <c r="N120" s="12"/>
      <c r="O120" s="12">
        <f t="shared" si="9"/>
        <v>15200000</v>
      </c>
      <c r="P120" s="12">
        <v>15200000</v>
      </c>
      <c r="Q120" s="12"/>
      <c r="R120" s="12">
        <f t="shared" si="10"/>
        <v>0</v>
      </c>
      <c r="S120" s="12"/>
      <c r="T120" s="12"/>
      <c r="U120" s="12">
        <f t="shared" si="11"/>
        <v>0</v>
      </c>
      <c r="V120" s="12"/>
      <c r="W120" s="12"/>
      <c r="X120" s="12">
        <f t="shared" si="12"/>
        <v>0</v>
      </c>
      <c r="Y120" s="12"/>
      <c r="Z120" s="12"/>
      <c r="AA120" s="13">
        <f t="shared" si="13"/>
        <v>0</v>
      </c>
      <c r="AB120" s="14">
        <v>46036</v>
      </c>
    </row>
    <row r="121" spans="1:28" ht="15.75" hidden="1" x14ac:dyDescent="0.25">
      <c r="A121" s="28">
        <v>46000</v>
      </c>
      <c r="B121" s="10" t="s">
        <v>144</v>
      </c>
      <c r="C121" s="10"/>
      <c r="D121" s="10" t="s">
        <v>32</v>
      </c>
      <c r="E121" s="10" t="s">
        <v>164</v>
      </c>
      <c r="F121" s="10">
        <v>79.8</v>
      </c>
      <c r="G121" s="10" t="s">
        <v>36</v>
      </c>
      <c r="H121" s="10">
        <v>43000</v>
      </c>
      <c r="I121" s="10">
        <f t="shared" si="7"/>
        <v>3431400</v>
      </c>
      <c r="J121" s="52" t="s">
        <v>90</v>
      </c>
      <c r="K121" s="62" t="s">
        <v>157</v>
      </c>
      <c r="L121" s="12">
        <f t="shared" si="8"/>
        <v>0</v>
      </c>
      <c r="M121" s="12"/>
      <c r="N121" s="12"/>
      <c r="O121" s="12">
        <f t="shared" si="9"/>
        <v>308800</v>
      </c>
      <c r="P121" s="12">
        <v>308800</v>
      </c>
      <c r="Q121" s="12"/>
      <c r="R121" s="12">
        <f t="shared" si="10"/>
        <v>0</v>
      </c>
      <c r="S121" s="12"/>
      <c r="T121" s="12"/>
      <c r="U121" s="12">
        <f t="shared" si="11"/>
        <v>0</v>
      </c>
      <c r="V121" s="12"/>
      <c r="W121" s="12"/>
      <c r="X121" s="12">
        <f t="shared" si="12"/>
        <v>0</v>
      </c>
      <c r="Y121" s="12"/>
      <c r="Z121" s="12"/>
      <c r="AA121" s="13">
        <f t="shared" si="13"/>
        <v>3122600</v>
      </c>
      <c r="AB121" s="14">
        <v>46038</v>
      </c>
    </row>
    <row r="122" spans="1:28" ht="15.75" hidden="1" x14ac:dyDescent="0.25">
      <c r="A122" s="28">
        <v>46000</v>
      </c>
      <c r="B122" s="10" t="s">
        <v>109</v>
      </c>
      <c r="C122" s="10"/>
      <c r="D122" s="10" t="s">
        <v>28</v>
      </c>
      <c r="E122" s="10" t="s">
        <v>165</v>
      </c>
      <c r="F122" s="10">
        <v>2.5</v>
      </c>
      <c r="G122" s="10" t="s">
        <v>36</v>
      </c>
      <c r="H122" s="10">
        <v>82000</v>
      </c>
      <c r="I122" s="10">
        <f t="shared" si="7"/>
        <v>205000</v>
      </c>
      <c r="J122" s="29" t="s">
        <v>113</v>
      </c>
      <c r="K122" s="71" t="s">
        <v>143</v>
      </c>
      <c r="L122" s="12">
        <f t="shared" si="8"/>
        <v>205000</v>
      </c>
      <c r="M122" s="12"/>
      <c r="N122" s="12">
        <v>205000</v>
      </c>
      <c r="O122" s="12">
        <f t="shared" si="9"/>
        <v>0</v>
      </c>
      <c r="P122" s="12"/>
      <c r="Q122" s="12"/>
      <c r="R122" s="12">
        <f t="shared" si="10"/>
        <v>0</v>
      </c>
      <c r="S122" s="12"/>
      <c r="T122" s="12"/>
      <c r="U122" s="12">
        <f t="shared" si="11"/>
        <v>0</v>
      </c>
      <c r="V122" s="12"/>
      <c r="W122" s="12"/>
      <c r="X122" s="12">
        <f t="shared" si="12"/>
        <v>0</v>
      </c>
      <c r="Y122" s="12"/>
      <c r="Z122" s="12"/>
      <c r="AA122" s="13">
        <f t="shared" si="13"/>
        <v>0</v>
      </c>
      <c r="AB122" s="14">
        <v>46052</v>
      </c>
    </row>
    <row r="123" spans="1:28" ht="15.75" hidden="1" x14ac:dyDescent="0.25">
      <c r="A123" s="28">
        <v>46000</v>
      </c>
      <c r="B123" s="10" t="s">
        <v>109</v>
      </c>
      <c r="C123" s="10"/>
      <c r="D123" s="10" t="s">
        <v>28</v>
      </c>
      <c r="E123" s="10" t="s">
        <v>166</v>
      </c>
      <c r="F123" s="10">
        <v>2.5</v>
      </c>
      <c r="G123" s="10" t="s">
        <v>36</v>
      </c>
      <c r="H123" s="10">
        <v>82000</v>
      </c>
      <c r="I123" s="10">
        <f t="shared" si="7"/>
        <v>205000</v>
      </c>
      <c r="J123" s="29" t="s">
        <v>113</v>
      </c>
      <c r="K123" s="71" t="s">
        <v>143</v>
      </c>
      <c r="L123" s="12">
        <f t="shared" si="8"/>
        <v>205000</v>
      </c>
      <c r="M123" s="12"/>
      <c r="N123" s="12">
        <v>205000</v>
      </c>
      <c r="O123" s="12">
        <f t="shared" si="9"/>
        <v>0</v>
      </c>
      <c r="P123" s="12"/>
      <c r="Q123" s="12"/>
      <c r="R123" s="12">
        <f t="shared" si="10"/>
        <v>0</v>
      </c>
      <c r="S123" s="12"/>
      <c r="T123" s="12"/>
      <c r="U123" s="12">
        <f t="shared" si="11"/>
        <v>0</v>
      </c>
      <c r="V123" s="12"/>
      <c r="W123" s="12"/>
      <c r="X123" s="12">
        <f t="shared" si="12"/>
        <v>0</v>
      </c>
      <c r="Y123" s="12"/>
      <c r="Z123" s="12"/>
      <c r="AA123" s="13">
        <f t="shared" si="13"/>
        <v>0</v>
      </c>
      <c r="AB123" s="14">
        <v>46052</v>
      </c>
    </row>
    <row r="124" spans="1:28" ht="15.75" hidden="1" x14ac:dyDescent="0.25">
      <c r="A124" s="28">
        <v>46000</v>
      </c>
      <c r="B124" s="10" t="s">
        <v>109</v>
      </c>
      <c r="C124" s="10"/>
      <c r="D124" s="10" t="s">
        <v>28</v>
      </c>
      <c r="E124" s="10" t="s">
        <v>167</v>
      </c>
      <c r="F124" s="10">
        <v>2.5</v>
      </c>
      <c r="G124" s="10" t="s">
        <v>36</v>
      </c>
      <c r="H124" s="10">
        <v>90000</v>
      </c>
      <c r="I124" s="10">
        <f t="shared" si="7"/>
        <v>225000</v>
      </c>
      <c r="J124" s="29" t="s">
        <v>113</v>
      </c>
      <c r="K124" s="71" t="s">
        <v>143</v>
      </c>
      <c r="L124" s="12">
        <f t="shared" si="8"/>
        <v>225000</v>
      </c>
      <c r="M124" s="12"/>
      <c r="N124" s="12">
        <v>225000</v>
      </c>
      <c r="O124" s="12">
        <f t="shared" si="9"/>
        <v>0</v>
      </c>
      <c r="P124" s="12"/>
      <c r="Q124" s="12"/>
      <c r="R124" s="12">
        <f t="shared" si="10"/>
        <v>0</v>
      </c>
      <c r="S124" s="12"/>
      <c r="T124" s="12"/>
      <c r="U124" s="12">
        <f t="shared" si="11"/>
        <v>0</v>
      </c>
      <c r="V124" s="12"/>
      <c r="W124" s="12"/>
      <c r="X124" s="12">
        <f t="shared" si="12"/>
        <v>0</v>
      </c>
      <c r="Y124" s="12"/>
      <c r="Z124" s="12"/>
      <c r="AA124" s="13">
        <f t="shared" si="13"/>
        <v>0</v>
      </c>
      <c r="AB124" s="14">
        <v>46052</v>
      </c>
    </row>
    <row r="125" spans="1:28" ht="15.75" hidden="1" x14ac:dyDescent="0.25">
      <c r="A125" s="28">
        <v>46000</v>
      </c>
      <c r="B125" s="10" t="s">
        <v>109</v>
      </c>
      <c r="C125" s="10"/>
      <c r="D125" s="10" t="s">
        <v>28</v>
      </c>
      <c r="E125" s="10" t="s">
        <v>116</v>
      </c>
      <c r="F125" s="10">
        <v>2</v>
      </c>
      <c r="G125" s="10" t="s">
        <v>67</v>
      </c>
      <c r="H125" s="10">
        <v>65000</v>
      </c>
      <c r="I125" s="10">
        <f t="shared" si="7"/>
        <v>130000</v>
      </c>
      <c r="J125" s="29" t="s">
        <v>113</v>
      </c>
      <c r="K125" s="71" t="s">
        <v>143</v>
      </c>
      <c r="L125" s="12">
        <f t="shared" si="8"/>
        <v>130000</v>
      </c>
      <c r="M125" s="12"/>
      <c r="N125" s="12">
        <v>130000</v>
      </c>
      <c r="O125" s="12">
        <f t="shared" si="9"/>
        <v>0</v>
      </c>
      <c r="P125" s="12"/>
      <c r="Q125" s="12"/>
      <c r="R125" s="12">
        <f t="shared" si="10"/>
        <v>0</v>
      </c>
      <c r="S125" s="12"/>
      <c r="T125" s="12"/>
      <c r="U125" s="12">
        <f t="shared" si="11"/>
        <v>0</v>
      </c>
      <c r="V125" s="12"/>
      <c r="W125" s="12"/>
      <c r="X125" s="12">
        <f t="shared" si="12"/>
        <v>0</v>
      </c>
      <c r="Y125" s="12"/>
      <c r="Z125" s="12"/>
      <c r="AA125" s="13">
        <f t="shared" si="13"/>
        <v>0</v>
      </c>
      <c r="AB125" s="14">
        <v>46052</v>
      </c>
    </row>
    <row r="126" spans="1:28" ht="15.75" hidden="1" x14ac:dyDescent="0.25">
      <c r="A126" s="28">
        <v>46000</v>
      </c>
      <c r="B126" s="10" t="s">
        <v>109</v>
      </c>
      <c r="C126" s="10"/>
      <c r="D126" s="10" t="s">
        <v>28</v>
      </c>
      <c r="E126" s="10" t="s">
        <v>117</v>
      </c>
      <c r="F126" s="10">
        <v>1</v>
      </c>
      <c r="G126" s="10" t="s">
        <v>36</v>
      </c>
      <c r="H126" s="10">
        <v>70000</v>
      </c>
      <c r="I126" s="10">
        <f t="shared" si="7"/>
        <v>70000</v>
      </c>
      <c r="J126" s="29" t="s">
        <v>113</v>
      </c>
      <c r="K126" s="71" t="s">
        <v>143</v>
      </c>
      <c r="L126" s="12">
        <f t="shared" si="8"/>
        <v>70000</v>
      </c>
      <c r="M126" s="12"/>
      <c r="N126" s="12">
        <v>70000</v>
      </c>
      <c r="O126" s="12">
        <f t="shared" si="9"/>
        <v>0</v>
      </c>
      <c r="P126" s="12"/>
      <c r="Q126" s="12"/>
      <c r="R126" s="12">
        <f t="shared" si="10"/>
        <v>0</v>
      </c>
      <c r="S126" s="12"/>
      <c r="T126" s="12"/>
      <c r="U126" s="12">
        <f t="shared" si="11"/>
        <v>0</v>
      </c>
      <c r="V126" s="12"/>
      <c r="W126" s="12"/>
      <c r="X126" s="12">
        <f t="shared" si="12"/>
        <v>0</v>
      </c>
      <c r="Y126" s="12"/>
      <c r="Z126" s="12"/>
      <c r="AA126" s="13">
        <f t="shared" si="13"/>
        <v>0</v>
      </c>
      <c r="AB126" s="14">
        <v>46052</v>
      </c>
    </row>
    <row r="127" spans="1:28" ht="15.75" hidden="1" x14ac:dyDescent="0.25">
      <c r="A127" s="28">
        <v>46000</v>
      </c>
      <c r="B127" s="10" t="s">
        <v>122</v>
      </c>
      <c r="C127" s="10"/>
      <c r="D127" s="10" t="s">
        <v>32</v>
      </c>
      <c r="E127" s="10" t="s">
        <v>137</v>
      </c>
      <c r="F127" s="10">
        <v>80</v>
      </c>
      <c r="G127" s="81" t="s">
        <v>36</v>
      </c>
      <c r="H127" s="10">
        <v>200000</v>
      </c>
      <c r="I127" s="10">
        <f t="shared" si="7"/>
        <v>16000000</v>
      </c>
      <c r="J127" s="29" t="s">
        <v>113</v>
      </c>
      <c r="K127" s="71" t="s">
        <v>150</v>
      </c>
      <c r="L127" s="12">
        <f t="shared" si="8"/>
        <v>16000000</v>
      </c>
      <c r="M127" s="12"/>
      <c r="N127" s="12">
        <v>16000000</v>
      </c>
      <c r="O127" s="12">
        <f t="shared" si="9"/>
        <v>0</v>
      </c>
      <c r="P127" s="12"/>
      <c r="Q127" s="12"/>
      <c r="R127" s="12">
        <f t="shared" si="10"/>
        <v>0</v>
      </c>
      <c r="S127" s="12"/>
      <c r="T127" s="12"/>
      <c r="U127" s="12">
        <f t="shared" si="11"/>
        <v>0</v>
      </c>
      <c r="V127" s="12"/>
      <c r="W127" s="12"/>
      <c r="X127" s="12">
        <f t="shared" si="12"/>
        <v>0</v>
      </c>
      <c r="Y127" s="12"/>
      <c r="Z127" s="12"/>
      <c r="AA127" s="13">
        <f t="shared" si="13"/>
        <v>0</v>
      </c>
      <c r="AB127" s="14">
        <v>46053</v>
      </c>
    </row>
    <row r="128" spans="1:28" ht="15.75" hidden="1" x14ac:dyDescent="0.25">
      <c r="A128" s="28">
        <v>46000</v>
      </c>
      <c r="B128" s="10" t="s">
        <v>53</v>
      </c>
      <c r="C128" s="10"/>
      <c r="D128" s="10" t="s">
        <v>32</v>
      </c>
      <c r="E128" s="10" t="s">
        <v>168</v>
      </c>
      <c r="F128" s="10">
        <v>313.89999999999998</v>
      </c>
      <c r="G128" s="81" t="s">
        <v>36</v>
      </c>
      <c r="H128" s="10">
        <v>43000</v>
      </c>
      <c r="I128" s="10">
        <f t="shared" si="7"/>
        <v>13497699.999999998</v>
      </c>
      <c r="J128" s="29" t="s">
        <v>110</v>
      </c>
      <c r="K128" s="71" t="s">
        <v>143</v>
      </c>
      <c r="L128" s="12">
        <f t="shared" si="8"/>
        <v>0</v>
      </c>
      <c r="M128" s="12"/>
      <c r="N128" s="12"/>
      <c r="O128" s="12">
        <f t="shared" si="9"/>
        <v>13497700</v>
      </c>
      <c r="P128" s="12">
        <v>13497700</v>
      </c>
      <c r="Q128" s="12"/>
      <c r="R128" s="12">
        <f t="shared" si="10"/>
        <v>0</v>
      </c>
      <c r="S128" s="12"/>
      <c r="T128" s="12"/>
      <c r="U128" s="12">
        <f t="shared" si="11"/>
        <v>0</v>
      </c>
      <c r="V128" s="12"/>
      <c r="W128" s="12"/>
      <c r="X128" s="12">
        <f t="shared" si="12"/>
        <v>0</v>
      </c>
      <c r="Y128" s="12"/>
      <c r="Z128" s="12"/>
      <c r="AA128" s="13">
        <f t="shared" si="13"/>
        <v>-1.862645149230957E-9</v>
      </c>
      <c r="AB128" s="14">
        <v>46030</v>
      </c>
    </row>
    <row r="129" spans="1:28" ht="15.75" hidden="1" x14ac:dyDescent="0.25">
      <c r="A129" s="28">
        <v>46000</v>
      </c>
      <c r="B129" s="10" t="s">
        <v>53</v>
      </c>
      <c r="C129" s="10"/>
      <c r="D129" s="10" t="s">
        <v>32</v>
      </c>
      <c r="E129" s="10" t="s">
        <v>42</v>
      </c>
      <c r="F129" s="10">
        <v>50</v>
      </c>
      <c r="G129" s="81" t="s">
        <v>39</v>
      </c>
      <c r="H129" s="78"/>
      <c r="I129" s="10">
        <f t="shared" si="7"/>
        <v>0</v>
      </c>
      <c r="J129" s="52" t="s">
        <v>90</v>
      </c>
      <c r="K129" s="10"/>
      <c r="L129" s="12">
        <f t="shared" si="8"/>
        <v>0</v>
      </c>
      <c r="M129" s="12"/>
      <c r="N129" s="12"/>
      <c r="O129" s="12">
        <f t="shared" si="9"/>
        <v>0</v>
      </c>
      <c r="P129" s="12"/>
      <c r="Q129" s="12"/>
      <c r="R129" s="12">
        <f t="shared" si="10"/>
        <v>0</v>
      </c>
      <c r="S129" s="12"/>
      <c r="T129" s="12"/>
      <c r="U129" s="12">
        <f t="shared" si="11"/>
        <v>0</v>
      </c>
      <c r="V129" s="12"/>
      <c r="W129" s="12"/>
      <c r="X129" s="12">
        <f t="shared" si="12"/>
        <v>0</v>
      </c>
      <c r="Y129" s="12"/>
      <c r="Z129" s="12"/>
      <c r="AA129" s="13">
        <f t="shared" si="13"/>
        <v>0</v>
      </c>
      <c r="AB129" s="14"/>
    </row>
    <row r="130" spans="1:28" ht="15.75" hidden="1" x14ac:dyDescent="0.25">
      <c r="A130" s="28">
        <v>46001</v>
      </c>
      <c r="B130" s="10" t="s">
        <v>169</v>
      </c>
      <c r="C130" s="10"/>
      <c r="D130" s="10" t="s">
        <v>32</v>
      </c>
      <c r="E130" s="10" t="s">
        <v>170</v>
      </c>
      <c r="F130" s="10">
        <v>3000</v>
      </c>
      <c r="G130" s="10" t="s">
        <v>26</v>
      </c>
      <c r="H130" s="10">
        <v>2680</v>
      </c>
      <c r="I130" s="10">
        <f t="shared" si="7"/>
        <v>8040000</v>
      </c>
      <c r="J130" s="29" t="s">
        <v>110</v>
      </c>
      <c r="K130" s="71" t="s">
        <v>157</v>
      </c>
      <c r="L130" s="12">
        <f t="shared" si="8"/>
        <v>0</v>
      </c>
      <c r="M130" s="12"/>
      <c r="N130" s="12"/>
      <c r="O130" s="12">
        <f t="shared" si="9"/>
        <v>8040000</v>
      </c>
      <c r="P130" s="12">
        <v>8040000</v>
      </c>
      <c r="Q130" s="12"/>
      <c r="R130" s="12">
        <f t="shared" si="10"/>
        <v>0</v>
      </c>
      <c r="S130" s="12"/>
      <c r="T130" s="12"/>
      <c r="U130" s="12">
        <f t="shared" si="11"/>
        <v>0</v>
      </c>
      <c r="V130" s="12"/>
      <c r="W130" s="12"/>
      <c r="X130" s="12">
        <f t="shared" si="12"/>
        <v>0</v>
      </c>
      <c r="Y130" s="12"/>
      <c r="Z130" s="12"/>
      <c r="AA130" s="13">
        <f t="shared" si="13"/>
        <v>0</v>
      </c>
      <c r="AB130" s="14">
        <v>46021</v>
      </c>
    </row>
    <row r="131" spans="1:28" ht="15.75" hidden="1" x14ac:dyDescent="0.25">
      <c r="A131" s="28">
        <v>46001</v>
      </c>
      <c r="B131" s="10" t="s">
        <v>127</v>
      </c>
      <c r="C131" s="10"/>
      <c r="D131" s="10" t="s">
        <v>32</v>
      </c>
      <c r="E131" s="10" t="s">
        <v>129</v>
      </c>
      <c r="F131" s="10">
        <v>5200</v>
      </c>
      <c r="G131" s="10" t="s">
        <v>26</v>
      </c>
      <c r="H131" s="10">
        <v>3900</v>
      </c>
      <c r="I131" s="10">
        <f t="shared" si="7"/>
        <v>20280000</v>
      </c>
      <c r="J131" s="52" t="s">
        <v>90</v>
      </c>
      <c r="K131" s="88" t="s">
        <v>171</v>
      </c>
      <c r="L131" s="12">
        <f t="shared" si="8"/>
        <v>0</v>
      </c>
      <c r="M131" s="12"/>
      <c r="N131" s="12"/>
      <c r="O131" s="12">
        <f t="shared" si="9"/>
        <v>0</v>
      </c>
      <c r="P131" s="12"/>
      <c r="Q131" s="12"/>
      <c r="R131" s="12">
        <f t="shared" si="10"/>
        <v>0</v>
      </c>
      <c r="S131" s="12"/>
      <c r="T131" s="12"/>
      <c r="U131" s="12">
        <f t="shared" si="11"/>
        <v>0</v>
      </c>
      <c r="V131" s="12"/>
      <c r="W131" s="12"/>
      <c r="X131" s="12">
        <f t="shared" si="12"/>
        <v>0</v>
      </c>
      <c r="Y131" s="12"/>
      <c r="Z131" s="12"/>
      <c r="AA131" s="13">
        <f t="shared" si="13"/>
        <v>20280000</v>
      </c>
      <c r="AB131" s="14"/>
    </row>
    <row r="132" spans="1:28" ht="15.75" hidden="1" x14ac:dyDescent="0.25">
      <c r="A132" s="28">
        <v>46001</v>
      </c>
      <c r="B132" s="10" t="s">
        <v>127</v>
      </c>
      <c r="C132" s="10"/>
      <c r="D132" s="10" t="s">
        <v>32</v>
      </c>
      <c r="E132" s="10" t="s">
        <v>65</v>
      </c>
      <c r="F132" s="10">
        <v>10400</v>
      </c>
      <c r="G132" s="10" t="s">
        <v>26</v>
      </c>
      <c r="H132" s="10">
        <v>3900</v>
      </c>
      <c r="I132" s="10">
        <f t="shared" si="7"/>
        <v>40560000</v>
      </c>
      <c r="J132" s="52" t="s">
        <v>90</v>
      </c>
      <c r="K132" s="88" t="s">
        <v>171</v>
      </c>
      <c r="L132" s="12">
        <f t="shared" si="8"/>
        <v>0</v>
      </c>
      <c r="M132" s="12"/>
      <c r="N132" s="12"/>
      <c r="O132" s="12">
        <f t="shared" si="9"/>
        <v>8290000</v>
      </c>
      <c r="P132" s="12">
        <v>8290000</v>
      </c>
      <c r="Q132" s="12"/>
      <c r="R132" s="12">
        <f t="shared" si="10"/>
        <v>0</v>
      </c>
      <c r="S132" s="12"/>
      <c r="T132" s="12"/>
      <c r="U132" s="12">
        <f t="shared" si="11"/>
        <v>0</v>
      </c>
      <c r="V132" s="12"/>
      <c r="W132" s="12"/>
      <c r="X132" s="12">
        <f t="shared" si="12"/>
        <v>0</v>
      </c>
      <c r="Y132" s="12"/>
      <c r="Z132" s="12"/>
      <c r="AA132" s="13">
        <f t="shared" si="13"/>
        <v>32270000</v>
      </c>
      <c r="AB132" s="14">
        <v>46020</v>
      </c>
    </row>
    <row r="133" spans="1:28" ht="15.75" hidden="1" x14ac:dyDescent="0.25">
      <c r="A133" s="28">
        <v>46001</v>
      </c>
      <c r="B133" s="10" t="s">
        <v>172</v>
      </c>
      <c r="C133" s="10"/>
      <c r="D133" s="10" t="s">
        <v>32</v>
      </c>
      <c r="E133" s="10" t="s">
        <v>173</v>
      </c>
      <c r="F133" s="10">
        <v>500</v>
      </c>
      <c r="G133" s="10" t="s">
        <v>36</v>
      </c>
      <c r="H133" s="10">
        <v>115000</v>
      </c>
      <c r="I133" s="10">
        <f t="shared" si="7"/>
        <v>57500000</v>
      </c>
      <c r="J133" s="29" t="s">
        <v>110</v>
      </c>
      <c r="K133" s="95" t="s">
        <v>171</v>
      </c>
      <c r="L133" s="12">
        <f t="shared" si="8"/>
        <v>0</v>
      </c>
      <c r="M133" s="12"/>
      <c r="N133" s="12"/>
      <c r="O133" s="12">
        <f t="shared" si="9"/>
        <v>57500000</v>
      </c>
      <c r="P133" s="12">
        <v>3383000</v>
      </c>
      <c r="Q133" s="12">
        <f>5000000+29680000+19437000</f>
        <v>54117000</v>
      </c>
      <c r="R133" s="12">
        <f t="shared" si="10"/>
        <v>0</v>
      </c>
      <c r="S133" s="12"/>
      <c r="T133" s="12"/>
      <c r="U133" s="12">
        <f t="shared" si="11"/>
        <v>0</v>
      </c>
      <c r="V133" s="12"/>
      <c r="W133" s="12"/>
      <c r="X133" s="12">
        <f t="shared" si="12"/>
        <v>0</v>
      </c>
      <c r="Y133" s="12"/>
      <c r="Z133" s="12"/>
      <c r="AA133" s="13">
        <f t="shared" si="13"/>
        <v>0</v>
      </c>
      <c r="AB133" s="14">
        <v>46017</v>
      </c>
    </row>
    <row r="134" spans="1:28" ht="15.75" hidden="1" x14ac:dyDescent="0.25">
      <c r="A134" s="28">
        <v>46002</v>
      </c>
      <c r="B134" s="10" t="s">
        <v>174</v>
      </c>
      <c r="C134" s="10"/>
      <c r="D134" s="10" t="s">
        <v>28</v>
      </c>
      <c r="E134" s="10" t="s">
        <v>104</v>
      </c>
      <c r="F134" s="10">
        <v>2000</v>
      </c>
      <c r="G134" s="10" t="s">
        <v>26</v>
      </c>
      <c r="H134" s="10">
        <v>2000</v>
      </c>
      <c r="I134" s="10">
        <f t="shared" si="7"/>
        <v>4000000</v>
      </c>
      <c r="J134" s="29" t="s">
        <v>110</v>
      </c>
      <c r="K134" s="71" t="s">
        <v>157</v>
      </c>
      <c r="L134" s="12">
        <f t="shared" si="8"/>
        <v>0</v>
      </c>
      <c r="M134" s="12"/>
      <c r="N134" s="12"/>
      <c r="O134" s="12">
        <f t="shared" si="9"/>
        <v>4000000</v>
      </c>
      <c r="P134" s="12">
        <v>4000000</v>
      </c>
      <c r="Q134" s="12"/>
      <c r="R134" s="12">
        <f t="shared" si="10"/>
        <v>0</v>
      </c>
      <c r="S134" s="12"/>
      <c r="T134" s="12"/>
      <c r="U134" s="12">
        <f t="shared" si="11"/>
        <v>0</v>
      </c>
      <c r="V134" s="12"/>
      <c r="W134" s="12"/>
      <c r="X134" s="12">
        <f t="shared" si="12"/>
        <v>0</v>
      </c>
      <c r="Y134" s="12"/>
      <c r="Z134" s="12"/>
      <c r="AA134" s="13">
        <f t="shared" si="13"/>
        <v>0</v>
      </c>
      <c r="AB134" s="14">
        <v>46021</v>
      </c>
    </row>
    <row r="135" spans="1:28" ht="15.75" hidden="1" x14ac:dyDescent="0.25">
      <c r="A135" s="28">
        <v>46002</v>
      </c>
      <c r="B135" s="10" t="s">
        <v>174</v>
      </c>
      <c r="C135" s="10"/>
      <c r="D135" s="10" t="s">
        <v>28</v>
      </c>
      <c r="E135" s="10" t="s">
        <v>175</v>
      </c>
      <c r="F135" s="10">
        <v>200</v>
      </c>
      <c r="G135" s="10" t="s">
        <v>26</v>
      </c>
      <c r="H135" s="10">
        <v>1000</v>
      </c>
      <c r="I135" s="10">
        <f t="shared" ref="I135:I198" si="14">F135*H135</f>
        <v>200000</v>
      </c>
      <c r="J135" s="29" t="s">
        <v>110</v>
      </c>
      <c r="K135" s="71" t="s">
        <v>157</v>
      </c>
      <c r="L135" s="12">
        <f t="shared" ref="L135:L198" si="15">M135+N135</f>
        <v>0</v>
      </c>
      <c r="M135" s="12"/>
      <c r="N135" s="12"/>
      <c r="O135" s="12">
        <f t="shared" ref="O135:O198" si="16">P135+Q135</f>
        <v>200000</v>
      </c>
      <c r="P135" s="12">
        <v>200000</v>
      </c>
      <c r="Q135" s="12"/>
      <c r="R135" s="12">
        <f t="shared" ref="R135:R198" si="17">S135+T135</f>
        <v>0</v>
      </c>
      <c r="S135" s="12"/>
      <c r="T135" s="12"/>
      <c r="U135" s="12">
        <f t="shared" ref="U135:U198" si="18">V135+W135</f>
        <v>0</v>
      </c>
      <c r="V135" s="12"/>
      <c r="W135" s="12"/>
      <c r="X135" s="12">
        <f t="shared" ref="X135:X198" si="19">Y135+Z135</f>
        <v>0</v>
      </c>
      <c r="Y135" s="12"/>
      <c r="Z135" s="12"/>
      <c r="AA135" s="13">
        <f t="shared" ref="AA135:AA198" si="20">C135+I135-L135-O135-U135-X135-R135</f>
        <v>0</v>
      </c>
      <c r="AB135" s="14">
        <v>46021</v>
      </c>
    </row>
    <row r="136" spans="1:28" ht="15.75" hidden="1" x14ac:dyDescent="0.25">
      <c r="A136" s="28">
        <v>46002</v>
      </c>
      <c r="B136" s="10" t="s">
        <v>176</v>
      </c>
      <c r="C136" s="10"/>
      <c r="D136" s="10" t="s">
        <v>32</v>
      </c>
      <c r="E136" s="10" t="s">
        <v>175</v>
      </c>
      <c r="F136" s="10">
        <v>6000</v>
      </c>
      <c r="G136" s="10" t="s">
        <v>26</v>
      </c>
      <c r="H136" s="10">
        <v>875</v>
      </c>
      <c r="I136" s="10">
        <f t="shared" si="14"/>
        <v>5250000</v>
      </c>
      <c r="J136" s="70" t="s">
        <v>30</v>
      </c>
      <c r="K136" s="62" t="s">
        <v>157</v>
      </c>
      <c r="L136" s="12">
        <f t="shared" si="15"/>
        <v>0</v>
      </c>
      <c r="M136" s="12"/>
      <c r="N136" s="12"/>
      <c r="O136" s="12">
        <f t="shared" si="16"/>
        <v>0</v>
      </c>
      <c r="P136" s="12"/>
      <c r="Q136" s="12"/>
      <c r="R136" s="12">
        <f t="shared" si="17"/>
        <v>0</v>
      </c>
      <c r="S136" s="12"/>
      <c r="T136" s="12"/>
      <c r="U136" s="12">
        <f t="shared" si="18"/>
        <v>4463200</v>
      </c>
      <c r="V136" s="12">
        <v>463200</v>
      </c>
      <c r="W136" s="12">
        <v>4000000</v>
      </c>
      <c r="X136" s="12">
        <f t="shared" si="19"/>
        <v>0</v>
      </c>
      <c r="Y136" s="12"/>
      <c r="Z136" s="12"/>
      <c r="AA136" s="13">
        <f t="shared" si="20"/>
        <v>786800</v>
      </c>
      <c r="AB136" s="14">
        <v>46018</v>
      </c>
    </row>
    <row r="137" spans="1:28" ht="15.75" hidden="1" x14ac:dyDescent="0.25">
      <c r="A137" s="28">
        <v>46002</v>
      </c>
      <c r="B137" s="10" t="s">
        <v>176</v>
      </c>
      <c r="C137" s="10"/>
      <c r="D137" s="10" t="s">
        <v>32</v>
      </c>
      <c r="E137" s="10" t="s">
        <v>84</v>
      </c>
      <c r="F137" s="10">
        <v>34.299999999999997</v>
      </c>
      <c r="G137" s="10" t="s">
        <v>36</v>
      </c>
      <c r="H137" s="10">
        <v>43000</v>
      </c>
      <c r="I137" s="10">
        <f t="shared" si="14"/>
        <v>1474899.9999999998</v>
      </c>
      <c r="J137" s="70" t="s">
        <v>30</v>
      </c>
      <c r="K137" s="62" t="s">
        <v>157</v>
      </c>
      <c r="L137" s="12">
        <f t="shared" si="15"/>
        <v>0</v>
      </c>
      <c r="M137" s="12"/>
      <c r="N137" s="12"/>
      <c r="O137" s="12">
        <f t="shared" si="16"/>
        <v>0</v>
      </c>
      <c r="P137" s="12"/>
      <c r="Q137" s="12"/>
      <c r="R137" s="12">
        <f t="shared" si="17"/>
        <v>0</v>
      </c>
      <c r="S137" s="12"/>
      <c r="T137" s="12"/>
      <c r="U137" s="12">
        <f t="shared" si="18"/>
        <v>0</v>
      </c>
      <c r="V137" s="12"/>
      <c r="W137" s="12"/>
      <c r="X137" s="12">
        <f t="shared" si="19"/>
        <v>0</v>
      </c>
      <c r="Y137" s="12"/>
      <c r="Z137" s="12"/>
      <c r="AA137" s="13">
        <f t="shared" si="20"/>
        <v>1474899.9999999998</v>
      </c>
      <c r="AB137" s="14"/>
    </row>
    <row r="138" spans="1:28" ht="15.75" hidden="1" x14ac:dyDescent="0.25">
      <c r="A138" s="28">
        <v>46003</v>
      </c>
      <c r="B138" s="10" t="s">
        <v>124</v>
      </c>
      <c r="C138" s="10"/>
      <c r="D138" s="10" t="s">
        <v>32</v>
      </c>
      <c r="E138" s="10" t="s">
        <v>177</v>
      </c>
      <c r="F138" s="10">
        <v>3</v>
      </c>
      <c r="G138" s="10" t="s">
        <v>61</v>
      </c>
      <c r="H138" s="10">
        <v>450000</v>
      </c>
      <c r="I138" s="10">
        <f t="shared" si="14"/>
        <v>1350000</v>
      </c>
      <c r="J138" s="70" t="s">
        <v>90</v>
      </c>
      <c r="K138" s="62" t="s">
        <v>157</v>
      </c>
      <c r="L138" s="12">
        <f t="shared" si="15"/>
        <v>0</v>
      </c>
      <c r="M138" s="12"/>
      <c r="N138" s="12"/>
      <c r="O138" s="12">
        <f t="shared" si="16"/>
        <v>0</v>
      </c>
      <c r="P138" s="12"/>
      <c r="Q138" s="12"/>
      <c r="R138" s="12">
        <f t="shared" si="17"/>
        <v>0</v>
      </c>
      <c r="S138" s="12"/>
      <c r="T138" s="12"/>
      <c r="U138" s="12">
        <f t="shared" si="18"/>
        <v>0</v>
      </c>
      <c r="V138" s="12"/>
      <c r="W138" s="12"/>
      <c r="X138" s="12">
        <f t="shared" si="19"/>
        <v>0</v>
      </c>
      <c r="Y138" s="12"/>
      <c r="Z138" s="12"/>
      <c r="AA138" s="13">
        <f t="shared" si="20"/>
        <v>1350000</v>
      </c>
      <c r="AB138" s="14"/>
    </row>
    <row r="139" spans="1:28" ht="15.75" hidden="1" x14ac:dyDescent="0.25">
      <c r="A139" s="28">
        <v>46003</v>
      </c>
      <c r="B139" s="10" t="s">
        <v>178</v>
      </c>
      <c r="C139" s="10"/>
      <c r="D139" s="10" t="s">
        <v>32</v>
      </c>
      <c r="E139" s="10" t="s">
        <v>80</v>
      </c>
      <c r="F139" s="10">
        <v>23.1</v>
      </c>
      <c r="G139" s="10" t="s">
        <v>36</v>
      </c>
      <c r="H139" s="10">
        <v>43000</v>
      </c>
      <c r="I139" s="10">
        <f t="shared" si="14"/>
        <v>993300.00000000012</v>
      </c>
      <c r="J139" s="29" t="s">
        <v>40</v>
      </c>
      <c r="K139" s="10"/>
      <c r="L139" s="12">
        <f t="shared" si="15"/>
        <v>0</v>
      </c>
      <c r="M139" s="12"/>
      <c r="N139" s="12"/>
      <c r="O139" s="12">
        <f t="shared" si="16"/>
        <v>1032500</v>
      </c>
      <c r="P139" s="12">
        <v>1032500</v>
      </c>
      <c r="Q139" s="12"/>
      <c r="R139" s="12">
        <f t="shared" si="17"/>
        <v>0</v>
      </c>
      <c r="S139" s="12"/>
      <c r="T139" s="12"/>
      <c r="U139" s="12">
        <f t="shared" si="18"/>
        <v>0</v>
      </c>
      <c r="V139" s="12"/>
      <c r="W139" s="12"/>
      <c r="X139" s="12">
        <f t="shared" si="19"/>
        <v>0</v>
      </c>
      <c r="Y139" s="12"/>
      <c r="Z139" s="12"/>
      <c r="AA139" s="13">
        <f t="shared" si="20"/>
        <v>-39199.999999999884</v>
      </c>
      <c r="AB139" s="14">
        <v>46003</v>
      </c>
    </row>
    <row r="140" spans="1:28" ht="15.75" hidden="1" x14ac:dyDescent="0.25">
      <c r="A140" s="28">
        <v>46004</v>
      </c>
      <c r="B140" s="10" t="s">
        <v>109</v>
      </c>
      <c r="C140" s="10"/>
      <c r="D140" s="10" t="s">
        <v>28</v>
      </c>
      <c r="E140" s="10" t="s">
        <v>165</v>
      </c>
      <c r="F140" s="10">
        <v>2.5</v>
      </c>
      <c r="G140" s="10" t="s">
        <v>36</v>
      </c>
      <c r="H140" s="10">
        <v>82000</v>
      </c>
      <c r="I140" s="10">
        <f t="shared" si="14"/>
        <v>205000</v>
      </c>
      <c r="J140" s="29" t="s">
        <v>113</v>
      </c>
      <c r="K140" s="71" t="s">
        <v>150</v>
      </c>
      <c r="L140" s="12">
        <f t="shared" si="15"/>
        <v>205000</v>
      </c>
      <c r="M140" s="12"/>
      <c r="N140" s="12">
        <v>205000</v>
      </c>
      <c r="O140" s="12">
        <f t="shared" si="16"/>
        <v>0</v>
      </c>
      <c r="P140" s="12"/>
      <c r="Q140" s="12"/>
      <c r="R140" s="12">
        <f t="shared" si="17"/>
        <v>0</v>
      </c>
      <c r="S140" s="12"/>
      <c r="T140" s="12"/>
      <c r="U140" s="12">
        <f t="shared" si="18"/>
        <v>0</v>
      </c>
      <c r="V140" s="12"/>
      <c r="W140" s="12"/>
      <c r="X140" s="12">
        <f t="shared" si="19"/>
        <v>0</v>
      </c>
      <c r="Y140" s="12"/>
      <c r="Z140" s="12"/>
      <c r="AA140" s="13">
        <f t="shared" si="20"/>
        <v>0</v>
      </c>
      <c r="AB140" s="14">
        <v>46052</v>
      </c>
    </row>
    <row r="141" spans="1:28" ht="15.75" hidden="1" x14ac:dyDescent="0.25">
      <c r="A141" s="28">
        <v>46004</v>
      </c>
      <c r="B141" s="10" t="s">
        <v>109</v>
      </c>
      <c r="C141" s="10"/>
      <c r="D141" s="10" t="s">
        <v>28</v>
      </c>
      <c r="E141" s="10" t="s">
        <v>167</v>
      </c>
      <c r="F141" s="10">
        <v>2.5</v>
      </c>
      <c r="G141" s="10" t="s">
        <v>36</v>
      </c>
      <c r="H141" s="10">
        <v>90000</v>
      </c>
      <c r="I141" s="10">
        <f t="shared" si="14"/>
        <v>225000</v>
      </c>
      <c r="J141" s="29" t="s">
        <v>113</v>
      </c>
      <c r="K141" s="71" t="s">
        <v>150</v>
      </c>
      <c r="L141" s="12">
        <f t="shared" si="15"/>
        <v>225000</v>
      </c>
      <c r="M141" s="12"/>
      <c r="N141" s="12">
        <v>225000</v>
      </c>
      <c r="O141" s="12">
        <f t="shared" si="16"/>
        <v>0</v>
      </c>
      <c r="P141" s="12"/>
      <c r="Q141" s="12"/>
      <c r="R141" s="12">
        <f t="shared" si="17"/>
        <v>0</v>
      </c>
      <c r="S141" s="12"/>
      <c r="T141" s="12"/>
      <c r="U141" s="12">
        <f t="shared" si="18"/>
        <v>0</v>
      </c>
      <c r="V141" s="12"/>
      <c r="W141" s="12"/>
      <c r="X141" s="12">
        <f t="shared" si="19"/>
        <v>0</v>
      </c>
      <c r="Y141" s="12"/>
      <c r="Z141" s="12"/>
      <c r="AA141" s="13">
        <f t="shared" si="20"/>
        <v>0</v>
      </c>
      <c r="AB141" s="14">
        <v>46052</v>
      </c>
    </row>
    <row r="142" spans="1:28" ht="15.75" hidden="1" x14ac:dyDescent="0.25">
      <c r="A142" s="28">
        <v>46004</v>
      </c>
      <c r="B142" s="10" t="s">
        <v>109</v>
      </c>
      <c r="C142" s="10"/>
      <c r="D142" s="10" t="s">
        <v>28</v>
      </c>
      <c r="E142" s="10" t="s">
        <v>179</v>
      </c>
      <c r="F142" s="10">
        <v>2.5</v>
      </c>
      <c r="G142" s="10" t="s">
        <v>36</v>
      </c>
      <c r="H142" s="10">
        <v>90000</v>
      </c>
      <c r="I142" s="10">
        <f t="shared" si="14"/>
        <v>225000</v>
      </c>
      <c r="J142" s="29" t="s">
        <v>113</v>
      </c>
      <c r="K142" s="71" t="s">
        <v>150</v>
      </c>
      <c r="L142" s="12">
        <f t="shared" si="15"/>
        <v>225000</v>
      </c>
      <c r="M142" s="12"/>
      <c r="N142" s="12">
        <v>225000</v>
      </c>
      <c r="O142" s="12">
        <f t="shared" si="16"/>
        <v>0</v>
      </c>
      <c r="P142" s="12"/>
      <c r="Q142" s="12"/>
      <c r="R142" s="12">
        <f t="shared" si="17"/>
        <v>0</v>
      </c>
      <c r="S142" s="12"/>
      <c r="T142" s="12"/>
      <c r="U142" s="12">
        <f t="shared" si="18"/>
        <v>0</v>
      </c>
      <c r="V142" s="12"/>
      <c r="W142" s="12"/>
      <c r="X142" s="12">
        <f t="shared" si="19"/>
        <v>0</v>
      </c>
      <c r="Y142" s="12"/>
      <c r="Z142" s="12"/>
      <c r="AA142" s="13">
        <f t="shared" si="20"/>
        <v>0</v>
      </c>
      <c r="AB142" s="14">
        <v>46052</v>
      </c>
    </row>
    <row r="143" spans="1:28" ht="15.75" hidden="1" x14ac:dyDescent="0.25">
      <c r="A143" s="28">
        <v>46004</v>
      </c>
      <c r="B143" s="10" t="s">
        <v>109</v>
      </c>
      <c r="C143" s="10"/>
      <c r="D143" s="10" t="s">
        <v>28</v>
      </c>
      <c r="E143" s="10" t="s">
        <v>180</v>
      </c>
      <c r="F143" s="10">
        <v>2.5</v>
      </c>
      <c r="G143" s="10" t="s">
        <v>36</v>
      </c>
      <c r="H143" s="10">
        <v>86000</v>
      </c>
      <c r="I143" s="10">
        <f t="shared" si="14"/>
        <v>215000</v>
      </c>
      <c r="J143" s="29" t="s">
        <v>113</v>
      </c>
      <c r="K143" s="71" t="s">
        <v>150</v>
      </c>
      <c r="L143" s="12">
        <f t="shared" si="15"/>
        <v>215000</v>
      </c>
      <c r="M143" s="12"/>
      <c r="N143" s="12">
        <v>215000</v>
      </c>
      <c r="O143" s="12">
        <f t="shared" si="16"/>
        <v>0</v>
      </c>
      <c r="P143" s="12"/>
      <c r="Q143" s="12"/>
      <c r="R143" s="12">
        <f t="shared" si="17"/>
        <v>0</v>
      </c>
      <c r="S143" s="12"/>
      <c r="T143" s="12"/>
      <c r="U143" s="12">
        <f t="shared" si="18"/>
        <v>0</v>
      </c>
      <c r="V143" s="12"/>
      <c r="W143" s="12"/>
      <c r="X143" s="12">
        <f t="shared" si="19"/>
        <v>0</v>
      </c>
      <c r="Y143" s="12"/>
      <c r="Z143" s="12"/>
      <c r="AA143" s="13">
        <f t="shared" si="20"/>
        <v>0</v>
      </c>
      <c r="AB143" s="14">
        <v>46052</v>
      </c>
    </row>
    <row r="144" spans="1:28" ht="15.75" hidden="1" x14ac:dyDescent="0.25">
      <c r="A144" s="28">
        <v>46004</v>
      </c>
      <c r="B144" s="10" t="s">
        <v>109</v>
      </c>
      <c r="C144" s="10"/>
      <c r="D144" s="10" t="s">
        <v>28</v>
      </c>
      <c r="E144" s="10" t="s">
        <v>116</v>
      </c>
      <c r="F144" s="10">
        <v>2</v>
      </c>
      <c r="G144" s="10" t="s">
        <v>67</v>
      </c>
      <c r="H144" s="10">
        <v>65000</v>
      </c>
      <c r="I144" s="10">
        <f t="shared" si="14"/>
        <v>130000</v>
      </c>
      <c r="J144" s="29" t="s">
        <v>113</v>
      </c>
      <c r="K144" s="71" t="s">
        <v>150</v>
      </c>
      <c r="L144" s="12">
        <f t="shared" si="15"/>
        <v>130000</v>
      </c>
      <c r="M144" s="12"/>
      <c r="N144" s="12">
        <v>130000</v>
      </c>
      <c r="O144" s="12">
        <f t="shared" si="16"/>
        <v>0</v>
      </c>
      <c r="P144" s="12"/>
      <c r="Q144" s="12"/>
      <c r="R144" s="12">
        <f t="shared" si="17"/>
        <v>0</v>
      </c>
      <c r="S144" s="12"/>
      <c r="T144" s="12"/>
      <c r="U144" s="12">
        <f t="shared" si="18"/>
        <v>0</v>
      </c>
      <c r="V144" s="12"/>
      <c r="W144" s="12"/>
      <c r="X144" s="12">
        <f t="shared" si="19"/>
        <v>0</v>
      </c>
      <c r="Y144" s="12"/>
      <c r="Z144" s="12"/>
      <c r="AA144" s="13">
        <f t="shared" si="20"/>
        <v>0</v>
      </c>
      <c r="AB144" s="14">
        <v>46052</v>
      </c>
    </row>
    <row r="145" spans="1:28" ht="15.75" hidden="1" x14ac:dyDescent="0.25">
      <c r="A145" s="28">
        <v>46004</v>
      </c>
      <c r="B145" s="10" t="s">
        <v>109</v>
      </c>
      <c r="C145" s="10"/>
      <c r="D145" s="10" t="s">
        <v>28</v>
      </c>
      <c r="E145" s="10" t="s">
        <v>181</v>
      </c>
      <c r="F145" s="10">
        <v>500</v>
      </c>
      <c r="G145" s="10" t="s">
        <v>26</v>
      </c>
      <c r="H145" s="10">
        <v>3200</v>
      </c>
      <c r="I145" s="10">
        <f t="shared" si="14"/>
        <v>1600000</v>
      </c>
      <c r="J145" s="70" t="s">
        <v>90</v>
      </c>
      <c r="K145" s="62" t="s">
        <v>150</v>
      </c>
      <c r="L145" s="12">
        <f t="shared" si="15"/>
        <v>0</v>
      </c>
      <c r="M145" s="12"/>
      <c r="N145" s="12"/>
      <c r="O145" s="12">
        <f t="shared" si="16"/>
        <v>0</v>
      </c>
      <c r="P145" s="12"/>
      <c r="Q145" s="12"/>
      <c r="R145" s="12">
        <f t="shared" si="17"/>
        <v>0</v>
      </c>
      <c r="S145" s="12"/>
      <c r="T145" s="12"/>
      <c r="U145" s="12">
        <f t="shared" si="18"/>
        <v>0</v>
      </c>
      <c r="V145" s="12"/>
      <c r="W145" s="12"/>
      <c r="X145" s="12">
        <f t="shared" si="19"/>
        <v>0</v>
      </c>
      <c r="Y145" s="12"/>
      <c r="Z145" s="12"/>
      <c r="AA145" s="13">
        <f t="shared" si="20"/>
        <v>1600000</v>
      </c>
      <c r="AB145" s="14"/>
    </row>
    <row r="146" spans="1:28" ht="15.75" hidden="1" x14ac:dyDescent="0.25">
      <c r="A146" s="28">
        <v>46004</v>
      </c>
      <c r="B146" s="10" t="s">
        <v>109</v>
      </c>
      <c r="C146" s="10"/>
      <c r="D146" s="10" t="s">
        <v>28</v>
      </c>
      <c r="E146" s="10" t="s">
        <v>129</v>
      </c>
      <c r="F146" s="10">
        <v>1000</v>
      </c>
      <c r="G146" s="10" t="s">
        <v>26</v>
      </c>
      <c r="H146" s="10">
        <v>4000</v>
      </c>
      <c r="I146" s="10">
        <f t="shared" si="14"/>
        <v>4000000</v>
      </c>
      <c r="J146" s="70" t="s">
        <v>90</v>
      </c>
      <c r="K146" s="62" t="s">
        <v>150</v>
      </c>
      <c r="L146" s="12">
        <f t="shared" si="15"/>
        <v>0</v>
      </c>
      <c r="M146" s="12"/>
      <c r="N146" s="12"/>
      <c r="O146" s="12">
        <f t="shared" si="16"/>
        <v>0</v>
      </c>
      <c r="P146" s="12"/>
      <c r="Q146" s="12"/>
      <c r="R146" s="12">
        <f t="shared" si="17"/>
        <v>0</v>
      </c>
      <c r="S146" s="12"/>
      <c r="T146" s="12"/>
      <c r="U146" s="12">
        <f t="shared" si="18"/>
        <v>0</v>
      </c>
      <c r="V146" s="12"/>
      <c r="W146" s="12"/>
      <c r="X146" s="12">
        <f t="shared" si="19"/>
        <v>0</v>
      </c>
      <c r="Y146" s="12"/>
      <c r="Z146" s="12"/>
      <c r="AA146" s="13">
        <f t="shared" si="20"/>
        <v>4000000</v>
      </c>
      <c r="AB146" s="14"/>
    </row>
    <row r="147" spans="1:28" ht="15.75" hidden="1" x14ac:dyDescent="0.25">
      <c r="A147" s="28">
        <v>46004</v>
      </c>
      <c r="B147" s="10" t="s">
        <v>182</v>
      </c>
      <c r="C147" s="10"/>
      <c r="D147" s="10" t="s">
        <v>28</v>
      </c>
      <c r="E147" s="10" t="s">
        <v>183</v>
      </c>
      <c r="F147" s="10">
        <v>100</v>
      </c>
      <c r="G147" s="10" t="s">
        <v>36</v>
      </c>
      <c r="H147" s="10">
        <v>72000</v>
      </c>
      <c r="I147" s="10">
        <f t="shared" si="14"/>
        <v>7200000</v>
      </c>
      <c r="J147" s="29" t="s">
        <v>113</v>
      </c>
      <c r="K147" s="95" t="s">
        <v>171</v>
      </c>
      <c r="L147" s="12">
        <f t="shared" si="15"/>
        <v>7200000</v>
      </c>
      <c r="M147" s="12">
        <v>7200000</v>
      </c>
      <c r="N147" s="12"/>
      <c r="O147" s="12">
        <f t="shared" si="16"/>
        <v>0</v>
      </c>
      <c r="P147" s="12"/>
      <c r="Q147" s="12"/>
      <c r="R147" s="12">
        <f t="shared" si="17"/>
        <v>0</v>
      </c>
      <c r="S147" s="12"/>
      <c r="T147" s="12"/>
      <c r="U147" s="12">
        <f t="shared" si="18"/>
        <v>0</v>
      </c>
      <c r="V147" s="12"/>
      <c r="W147" s="12"/>
      <c r="X147" s="12">
        <f t="shared" si="19"/>
        <v>0</v>
      </c>
      <c r="Y147" s="12"/>
      <c r="Z147" s="12"/>
      <c r="AA147" s="13">
        <f t="shared" si="20"/>
        <v>0</v>
      </c>
      <c r="AB147" s="14">
        <v>46013</v>
      </c>
    </row>
    <row r="148" spans="1:28" ht="15.75" hidden="1" x14ac:dyDescent="0.25">
      <c r="A148" s="28">
        <v>46004</v>
      </c>
      <c r="B148" s="10" t="s">
        <v>149</v>
      </c>
      <c r="C148" s="10"/>
      <c r="D148" s="10" t="s">
        <v>32</v>
      </c>
      <c r="E148" s="10" t="s">
        <v>107</v>
      </c>
      <c r="F148" s="10">
        <v>50</v>
      </c>
      <c r="G148" s="10" t="s">
        <v>36</v>
      </c>
      <c r="H148" s="10">
        <v>60000</v>
      </c>
      <c r="I148" s="10">
        <f t="shared" si="14"/>
        <v>3000000</v>
      </c>
      <c r="J148" s="29" t="s">
        <v>110</v>
      </c>
      <c r="K148" s="82" t="s">
        <v>171</v>
      </c>
      <c r="L148" s="12">
        <f t="shared" si="15"/>
        <v>0</v>
      </c>
      <c r="M148" s="12"/>
      <c r="N148" s="12"/>
      <c r="O148" s="12">
        <f t="shared" si="16"/>
        <v>3000000</v>
      </c>
      <c r="P148" s="12">
        <v>3000000</v>
      </c>
      <c r="Q148" s="12"/>
      <c r="R148" s="12">
        <f t="shared" si="17"/>
        <v>0</v>
      </c>
      <c r="S148" s="12"/>
      <c r="T148" s="12"/>
      <c r="U148" s="12">
        <f t="shared" si="18"/>
        <v>0</v>
      </c>
      <c r="V148" s="12"/>
      <c r="W148" s="12"/>
      <c r="X148" s="12">
        <f t="shared" si="19"/>
        <v>0</v>
      </c>
      <c r="Y148" s="12"/>
      <c r="Z148" s="12"/>
      <c r="AA148" s="13">
        <f t="shared" si="20"/>
        <v>0</v>
      </c>
      <c r="AB148" s="14">
        <v>46021</v>
      </c>
    </row>
    <row r="149" spans="1:28" ht="15.75" hidden="1" x14ac:dyDescent="0.25">
      <c r="A149" s="28">
        <v>46004</v>
      </c>
      <c r="B149" s="10" t="s">
        <v>135</v>
      </c>
      <c r="C149" s="10"/>
      <c r="D149" s="10" t="s">
        <v>32</v>
      </c>
      <c r="E149" s="10" t="s">
        <v>80</v>
      </c>
      <c r="F149" s="10">
        <v>44.9</v>
      </c>
      <c r="G149" s="10" t="s">
        <v>36</v>
      </c>
      <c r="H149" s="10">
        <v>43000</v>
      </c>
      <c r="I149" s="10">
        <f t="shared" si="14"/>
        <v>1930700</v>
      </c>
      <c r="J149" s="29" t="s">
        <v>113</v>
      </c>
      <c r="K149" s="106" t="s">
        <v>157</v>
      </c>
      <c r="L149" s="12">
        <f t="shared" si="15"/>
        <v>1930700</v>
      </c>
      <c r="M149" s="12">
        <v>1930700</v>
      </c>
      <c r="N149" s="12"/>
      <c r="O149" s="12">
        <f t="shared" si="16"/>
        <v>0</v>
      </c>
      <c r="P149" s="12"/>
      <c r="Q149" s="12"/>
      <c r="R149" s="12">
        <f t="shared" si="17"/>
        <v>0</v>
      </c>
      <c r="S149" s="12"/>
      <c r="T149" s="12"/>
      <c r="U149" s="12">
        <f t="shared" si="18"/>
        <v>0</v>
      </c>
      <c r="V149" s="12"/>
      <c r="W149" s="12"/>
      <c r="X149" s="12">
        <f t="shared" si="19"/>
        <v>0</v>
      </c>
      <c r="Y149" s="12"/>
      <c r="Z149" s="12"/>
      <c r="AA149" s="13">
        <f t="shared" si="20"/>
        <v>0</v>
      </c>
      <c r="AB149" s="14">
        <v>46053</v>
      </c>
    </row>
    <row r="150" spans="1:28" ht="15.75" hidden="1" x14ac:dyDescent="0.25">
      <c r="A150" s="28">
        <v>46006</v>
      </c>
      <c r="B150" s="10" t="s">
        <v>55</v>
      </c>
      <c r="C150" s="10"/>
      <c r="D150" s="10" t="s">
        <v>32</v>
      </c>
      <c r="E150" s="10" t="s">
        <v>98</v>
      </c>
      <c r="F150" s="10">
        <v>2000</v>
      </c>
      <c r="G150" s="10" t="s">
        <v>26</v>
      </c>
      <c r="H150" s="10">
        <v>1900</v>
      </c>
      <c r="I150" s="10">
        <f t="shared" si="14"/>
        <v>3800000</v>
      </c>
      <c r="J150" s="29" t="s">
        <v>110</v>
      </c>
      <c r="K150" s="71" t="s">
        <v>150</v>
      </c>
      <c r="L150" s="12">
        <f t="shared" si="15"/>
        <v>0</v>
      </c>
      <c r="M150" s="12"/>
      <c r="N150" s="12"/>
      <c r="O150" s="12">
        <f t="shared" si="16"/>
        <v>3800000</v>
      </c>
      <c r="P150" s="12">
        <v>3800000</v>
      </c>
      <c r="Q150" s="12"/>
      <c r="R150" s="12">
        <f t="shared" si="17"/>
        <v>0</v>
      </c>
      <c r="S150" s="12"/>
      <c r="T150" s="12"/>
      <c r="U150" s="12">
        <f t="shared" si="18"/>
        <v>0</v>
      </c>
      <c r="V150" s="12"/>
      <c r="W150" s="12"/>
      <c r="X150" s="12">
        <f t="shared" si="19"/>
        <v>0</v>
      </c>
      <c r="Y150" s="12"/>
      <c r="Z150" s="12"/>
      <c r="AA150" s="13">
        <f t="shared" si="20"/>
        <v>0</v>
      </c>
      <c r="AB150" s="14">
        <v>46027</v>
      </c>
    </row>
    <row r="151" spans="1:28" ht="15.75" hidden="1" x14ac:dyDescent="0.25">
      <c r="A151" s="28">
        <v>46006</v>
      </c>
      <c r="B151" s="10" t="s">
        <v>56</v>
      </c>
      <c r="C151" s="10"/>
      <c r="D151" s="10" t="s">
        <v>28</v>
      </c>
      <c r="E151" s="10" t="s">
        <v>184</v>
      </c>
      <c r="F151" s="10">
        <v>59.3</v>
      </c>
      <c r="G151" s="10" t="s">
        <v>36</v>
      </c>
      <c r="H151" s="10">
        <v>43000</v>
      </c>
      <c r="I151" s="10">
        <f t="shared" si="14"/>
        <v>2549900</v>
      </c>
      <c r="J151" s="29" t="s">
        <v>110</v>
      </c>
      <c r="K151" s="71" t="s">
        <v>157</v>
      </c>
      <c r="L151" s="12">
        <f t="shared" si="15"/>
        <v>0</v>
      </c>
      <c r="M151" s="12"/>
      <c r="N151" s="12"/>
      <c r="O151" s="12">
        <f t="shared" si="16"/>
        <v>2549900</v>
      </c>
      <c r="P151" s="12">
        <v>2549900</v>
      </c>
      <c r="Q151" s="12"/>
      <c r="R151" s="12">
        <f t="shared" si="17"/>
        <v>0</v>
      </c>
      <c r="S151" s="12"/>
      <c r="T151" s="12"/>
      <c r="U151" s="12">
        <f t="shared" si="18"/>
        <v>0</v>
      </c>
      <c r="V151" s="12"/>
      <c r="W151" s="12"/>
      <c r="X151" s="12">
        <f t="shared" si="19"/>
        <v>0</v>
      </c>
      <c r="Y151" s="12"/>
      <c r="Z151" s="12"/>
      <c r="AA151" s="13">
        <f t="shared" si="20"/>
        <v>0</v>
      </c>
      <c r="AB151" s="14">
        <v>46050</v>
      </c>
    </row>
    <row r="152" spans="1:28" ht="15.75" hidden="1" x14ac:dyDescent="0.25">
      <c r="A152" s="28">
        <v>46006</v>
      </c>
      <c r="B152" s="10" t="s">
        <v>56</v>
      </c>
      <c r="C152" s="10"/>
      <c r="D152" s="10" t="s">
        <v>28</v>
      </c>
      <c r="E152" s="10" t="s">
        <v>84</v>
      </c>
      <c r="F152" s="10">
        <v>17</v>
      </c>
      <c r="G152" s="10" t="s">
        <v>36</v>
      </c>
      <c r="H152" s="10">
        <v>43000</v>
      </c>
      <c r="I152" s="10">
        <f t="shared" si="14"/>
        <v>731000</v>
      </c>
      <c r="J152" s="29" t="s">
        <v>110</v>
      </c>
      <c r="K152" s="71" t="s">
        <v>157</v>
      </c>
      <c r="L152" s="12">
        <f t="shared" si="15"/>
        <v>0</v>
      </c>
      <c r="M152" s="12"/>
      <c r="N152" s="12"/>
      <c r="O152" s="12">
        <f t="shared" si="16"/>
        <v>731000</v>
      </c>
      <c r="P152" s="12">
        <v>731000</v>
      </c>
      <c r="Q152" s="12"/>
      <c r="R152" s="12">
        <f t="shared" si="17"/>
        <v>0</v>
      </c>
      <c r="S152" s="12"/>
      <c r="T152" s="12"/>
      <c r="U152" s="12">
        <f t="shared" si="18"/>
        <v>0</v>
      </c>
      <c r="V152" s="12"/>
      <c r="W152" s="12"/>
      <c r="X152" s="12">
        <f t="shared" si="19"/>
        <v>0</v>
      </c>
      <c r="Y152" s="12"/>
      <c r="Z152" s="12"/>
      <c r="AA152" s="13">
        <f t="shared" si="20"/>
        <v>0</v>
      </c>
      <c r="AB152" s="14">
        <v>46050</v>
      </c>
    </row>
    <row r="153" spans="1:28" ht="15.75" hidden="1" x14ac:dyDescent="0.25">
      <c r="A153" s="28">
        <v>46007</v>
      </c>
      <c r="B153" s="10" t="s">
        <v>124</v>
      </c>
      <c r="C153" s="10"/>
      <c r="D153" s="10" t="s">
        <v>32</v>
      </c>
      <c r="E153" s="10" t="s">
        <v>177</v>
      </c>
      <c r="F153" s="10">
        <v>1</v>
      </c>
      <c r="G153" s="10" t="s">
        <v>61</v>
      </c>
      <c r="H153" s="10">
        <v>450000</v>
      </c>
      <c r="I153" s="10">
        <f t="shared" si="14"/>
        <v>450000</v>
      </c>
      <c r="J153" s="74" t="s">
        <v>90</v>
      </c>
      <c r="K153" s="62" t="s">
        <v>157</v>
      </c>
      <c r="L153" s="12">
        <f t="shared" si="15"/>
        <v>0</v>
      </c>
      <c r="M153" s="12"/>
      <c r="N153" s="12"/>
      <c r="O153" s="12">
        <f t="shared" si="16"/>
        <v>0</v>
      </c>
      <c r="P153" s="12"/>
      <c r="Q153" s="12"/>
      <c r="R153" s="12">
        <f t="shared" si="17"/>
        <v>0</v>
      </c>
      <c r="S153" s="12"/>
      <c r="T153" s="12"/>
      <c r="U153" s="12">
        <f t="shared" si="18"/>
        <v>0</v>
      </c>
      <c r="V153" s="12"/>
      <c r="W153" s="12"/>
      <c r="X153" s="12">
        <f t="shared" si="19"/>
        <v>0</v>
      </c>
      <c r="Y153" s="12"/>
      <c r="Z153" s="12"/>
      <c r="AA153" s="13">
        <f t="shared" si="20"/>
        <v>450000</v>
      </c>
      <c r="AB153" s="14"/>
    </row>
    <row r="154" spans="1:28" ht="15.75" hidden="1" x14ac:dyDescent="0.25">
      <c r="A154" s="28">
        <v>46007</v>
      </c>
      <c r="B154" s="10" t="s">
        <v>53</v>
      </c>
      <c r="C154" s="10"/>
      <c r="D154" s="10" t="s">
        <v>32</v>
      </c>
      <c r="E154" s="10" t="s">
        <v>184</v>
      </c>
      <c r="F154" s="10">
        <v>195.8</v>
      </c>
      <c r="G154" s="10" t="s">
        <v>36</v>
      </c>
      <c r="H154" s="10">
        <v>43000</v>
      </c>
      <c r="I154" s="10">
        <f t="shared" si="14"/>
        <v>8419400</v>
      </c>
      <c r="J154" s="29" t="s">
        <v>110</v>
      </c>
      <c r="K154" s="71" t="s">
        <v>157</v>
      </c>
      <c r="L154" s="12">
        <f t="shared" si="15"/>
        <v>0</v>
      </c>
      <c r="M154" s="12"/>
      <c r="N154" s="12"/>
      <c r="O154" s="12">
        <f t="shared" si="16"/>
        <v>8419400</v>
      </c>
      <c r="P154" s="12">
        <v>8419400</v>
      </c>
      <c r="Q154" s="12"/>
      <c r="R154" s="12">
        <f t="shared" si="17"/>
        <v>0</v>
      </c>
      <c r="S154" s="12"/>
      <c r="T154" s="12"/>
      <c r="U154" s="12">
        <f t="shared" si="18"/>
        <v>0</v>
      </c>
      <c r="V154" s="12"/>
      <c r="W154" s="12"/>
      <c r="X154" s="12">
        <f t="shared" si="19"/>
        <v>0</v>
      </c>
      <c r="Y154" s="12"/>
      <c r="Z154" s="12"/>
      <c r="AA154" s="13">
        <f t="shared" si="20"/>
        <v>0</v>
      </c>
      <c r="AB154" s="14">
        <v>46052</v>
      </c>
    </row>
    <row r="155" spans="1:28" ht="15.75" hidden="1" x14ac:dyDescent="0.25">
      <c r="A155" s="28">
        <v>46007</v>
      </c>
      <c r="B155" s="10" t="s">
        <v>53</v>
      </c>
      <c r="C155" s="10"/>
      <c r="D155" s="10" t="s">
        <v>32</v>
      </c>
      <c r="E155" s="10" t="s">
        <v>136</v>
      </c>
      <c r="F155" s="10">
        <v>352.5</v>
      </c>
      <c r="G155" s="10" t="s">
        <v>36</v>
      </c>
      <c r="H155" s="10">
        <v>43000</v>
      </c>
      <c r="I155" s="10">
        <f t="shared" si="14"/>
        <v>15157500</v>
      </c>
      <c r="J155" s="52" t="s">
        <v>90</v>
      </c>
      <c r="K155" s="62" t="s">
        <v>157</v>
      </c>
      <c r="L155" s="12">
        <f t="shared" si="15"/>
        <v>0</v>
      </c>
      <c r="M155" s="12"/>
      <c r="N155" s="12"/>
      <c r="O155" s="12">
        <f t="shared" si="16"/>
        <v>11580600</v>
      </c>
      <c r="P155" s="12">
        <v>11580600</v>
      </c>
      <c r="Q155" s="12"/>
      <c r="R155" s="12">
        <f t="shared" si="17"/>
        <v>0</v>
      </c>
      <c r="S155" s="12"/>
      <c r="T155" s="12"/>
      <c r="U155" s="12">
        <f t="shared" si="18"/>
        <v>0</v>
      </c>
      <c r="V155" s="12"/>
      <c r="W155" s="12"/>
      <c r="X155" s="12">
        <f t="shared" si="19"/>
        <v>0</v>
      </c>
      <c r="Y155" s="12"/>
      <c r="Z155" s="12"/>
      <c r="AA155" s="13">
        <f t="shared" si="20"/>
        <v>3576900</v>
      </c>
      <c r="AB155" s="14">
        <v>46052</v>
      </c>
    </row>
    <row r="156" spans="1:28" ht="15.75" hidden="1" x14ac:dyDescent="0.25">
      <c r="A156" s="28">
        <v>46008</v>
      </c>
      <c r="B156" s="10" t="s">
        <v>185</v>
      </c>
      <c r="C156" s="10"/>
      <c r="D156" s="10" t="s">
        <v>32</v>
      </c>
      <c r="E156" s="10" t="s">
        <v>42</v>
      </c>
      <c r="F156" s="10">
        <v>50</v>
      </c>
      <c r="G156" s="10" t="s">
        <v>39</v>
      </c>
      <c r="H156" s="78"/>
      <c r="I156" s="10">
        <f t="shared" si="14"/>
        <v>0</v>
      </c>
      <c r="J156" s="52" t="s">
        <v>90</v>
      </c>
      <c r="K156" s="10"/>
      <c r="L156" s="12">
        <f t="shared" si="15"/>
        <v>0</v>
      </c>
      <c r="M156" s="12"/>
      <c r="N156" s="12"/>
      <c r="O156" s="12">
        <f t="shared" si="16"/>
        <v>0</v>
      </c>
      <c r="P156" s="12"/>
      <c r="Q156" s="12"/>
      <c r="R156" s="12">
        <f t="shared" si="17"/>
        <v>0</v>
      </c>
      <c r="S156" s="12"/>
      <c r="T156" s="12"/>
      <c r="U156" s="12">
        <f t="shared" si="18"/>
        <v>0</v>
      </c>
      <c r="V156" s="12"/>
      <c r="W156" s="12"/>
      <c r="X156" s="12">
        <f t="shared" si="19"/>
        <v>0</v>
      </c>
      <c r="Y156" s="12"/>
      <c r="Z156" s="12"/>
      <c r="AA156" s="13">
        <f t="shared" si="20"/>
        <v>0</v>
      </c>
      <c r="AB156" s="14"/>
    </row>
    <row r="157" spans="1:28" ht="15.75" hidden="1" x14ac:dyDescent="0.25">
      <c r="A157" s="28">
        <v>46008</v>
      </c>
      <c r="B157" s="10" t="s">
        <v>74</v>
      </c>
      <c r="C157" s="10"/>
      <c r="D157" s="10" t="s">
        <v>28</v>
      </c>
      <c r="E157" s="10" t="s">
        <v>88</v>
      </c>
      <c r="F157" s="10">
        <v>25</v>
      </c>
      <c r="G157" s="10" t="s">
        <v>36</v>
      </c>
      <c r="H157" s="10">
        <v>95400</v>
      </c>
      <c r="I157" s="10">
        <f t="shared" si="14"/>
        <v>2385000</v>
      </c>
      <c r="J157" s="29" t="s">
        <v>113</v>
      </c>
      <c r="K157" s="71" t="s">
        <v>150</v>
      </c>
      <c r="L157" s="12">
        <f t="shared" si="15"/>
        <v>2005000</v>
      </c>
      <c r="M157" s="12">
        <v>2005000</v>
      </c>
      <c r="N157" s="12"/>
      <c r="O157" s="12">
        <f t="shared" si="16"/>
        <v>380000</v>
      </c>
      <c r="P157" s="12">
        <v>380000</v>
      </c>
      <c r="Q157" s="12"/>
      <c r="R157" s="12">
        <f t="shared" si="17"/>
        <v>0</v>
      </c>
      <c r="S157" s="12"/>
      <c r="T157" s="12"/>
      <c r="U157" s="12">
        <f t="shared" si="18"/>
        <v>0</v>
      </c>
      <c r="V157" s="12"/>
      <c r="W157" s="12"/>
      <c r="X157" s="12">
        <f t="shared" si="19"/>
        <v>0</v>
      </c>
      <c r="Y157" s="12"/>
      <c r="Z157" s="12"/>
      <c r="AA157" s="13">
        <f t="shared" si="20"/>
        <v>0</v>
      </c>
      <c r="AB157" s="14">
        <v>45866</v>
      </c>
    </row>
    <row r="158" spans="1:28" ht="15.75" hidden="1" x14ac:dyDescent="0.25">
      <c r="A158" s="28">
        <v>46009</v>
      </c>
      <c r="B158" s="10" t="s">
        <v>172</v>
      </c>
      <c r="C158" s="10"/>
      <c r="D158" s="10" t="s">
        <v>32</v>
      </c>
      <c r="E158" s="10" t="s">
        <v>186</v>
      </c>
      <c r="F158" s="10">
        <v>14</v>
      </c>
      <c r="G158" s="10" t="s">
        <v>22</v>
      </c>
      <c r="H158" s="10">
        <v>1200000</v>
      </c>
      <c r="I158" s="10">
        <f t="shared" si="14"/>
        <v>16800000</v>
      </c>
      <c r="J158" s="52" t="s">
        <v>90</v>
      </c>
      <c r="K158" s="88" t="s">
        <v>171</v>
      </c>
      <c r="L158" s="12">
        <f t="shared" si="15"/>
        <v>0</v>
      </c>
      <c r="M158" s="12"/>
      <c r="N158" s="12"/>
      <c r="O158" s="12">
        <f t="shared" si="16"/>
        <v>6001000</v>
      </c>
      <c r="P158" s="12">
        <v>6001000</v>
      </c>
      <c r="Q158" s="12"/>
      <c r="R158" s="12">
        <f t="shared" si="17"/>
        <v>0</v>
      </c>
      <c r="S158" s="12"/>
      <c r="T158" s="12"/>
      <c r="U158" s="12">
        <f t="shared" si="18"/>
        <v>0</v>
      </c>
      <c r="V158" s="12"/>
      <c r="W158" s="12"/>
      <c r="X158" s="12">
        <f t="shared" si="19"/>
        <v>0</v>
      </c>
      <c r="Y158" s="12"/>
      <c r="Z158" s="12"/>
      <c r="AA158" s="13">
        <f t="shared" si="20"/>
        <v>10799000</v>
      </c>
      <c r="AB158" s="14">
        <v>46037</v>
      </c>
    </row>
    <row r="159" spans="1:28" ht="15.75" hidden="1" x14ac:dyDescent="0.25">
      <c r="A159" s="28">
        <v>46009</v>
      </c>
      <c r="B159" s="10" t="s">
        <v>158</v>
      </c>
      <c r="C159" s="10"/>
      <c r="D159" s="10" t="s">
        <v>32</v>
      </c>
      <c r="E159" s="10" t="s">
        <v>104</v>
      </c>
      <c r="F159" s="10">
        <v>10400</v>
      </c>
      <c r="G159" s="10" t="s">
        <v>26</v>
      </c>
      <c r="H159" s="10">
        <v>1825</v>
      </c>
      <c r="I159" s="10">
        <f t="shared" si="14"/>
        <v>18980000</v>
      </c>
      <c r="J159" s="29" t="s">
        <v>110</v>
      </c>
      <c r="K159" s="95" t="s">
        <v>187</v>
      </c>
      <c r="L159" s="12">
        <f t="shared" si="15"/>
        <v>0</v>
      </c>
      <c r="M159" s="12"/>
      <c r="N159" s="12"/>
      <c r="O159" s="12">
        <f t="shared" si="16"/>
        <v>0</v>
      </c>
      <c r="P159" s="12"/>
      <c r="Q159" s="12"/>
      <c r="R159" s="12">
        <f t="shared" si="17"/>
        <v>18980000</v>
      </c>
      <c r="S159" s="12">
        <f>3000000+10000000+1380000</f>
        <v>14380000</v>
      </c>
      <c r="T159" s="12">
        <f>4600000</f>
        <v>4600000</v>
      </c>
      <c r="U159" s="12">
        <f t="shared" si="18"/>
        <v>0</v>
      </c>
      <c r="V159" s="12"/>
      <c r="W159" s="12"/>
      <c r="X159" s="12">
        <f t="shared" si="19"/>
        <v>0</v>
      </c>
      <c r="Y159" s="12"/>
      <c r="Z159" s="12"/>
      <c r="AA159" s="13">
        <f t="shared" si="20"/>
        <v>0</v>
      </c>
      <c r="AB159" s="14">
        <v>46035</v>
      </c>
    </row>
    <row r="160" spans="1:28" ht="15.75" hidden="1" x14ac:dyDescent="0.25">
      <c r="A160" s="28">
        <v>46009</v>
      </c>
      <c r="B160" s="10" t="s">
        <v>122</v>
      </c>
      <c r="C160" s="10"/>
      <c r="D160" s="10" t="s">
        <v>32</v>
      </c>
      <c r="E160" s="10" t="s">
        <v>80</v>
      </c>
      <c r="F160" s="10">
        <v>225.7</v>
      </c>
      <c r="G160" s="10" t="s">
        <v>36</v>
      </c>
      <c r="H160" s="10">
        <v>43000</v>
      </c>
      <c r="I160" s="10">
        <f t="shared" si="14"/>
        <v>9705100</v>
      </c>
      <c r="J160" s="29" t="s">
        <v>113</v>
      </c>
      <c r="K160" s="95" t="s">
        <v>188</v>
      </c>
      <c r="L160" s="12">
        <f t="shared" si="15"/>
        <v>9705100</v>
      </c>
      <c r="M160" s="12"/>
      <c r="N160" s="12">
        <v>9705100</v>
      </c>
      <c r="O160" s="12">
        <f t="shared" si="16"/>
        <v>0</v>
      </c>
      <c r="P160" s="12"/>
      <c r="Q160" s="12"/>
      <c r="R160" s="12">
        <f t="shared" si="17"/>
        <v>0</v>
      </c>
      <c r="S160" s="12"/>
      <c r="T160" s="12"/>
      <c r="U160" s="12">
        <f t="shared" si="18"/>
        <v>0</v>
      </c>
      <c r="V160" s="12"/>
      <c r="W160" s="12"/>
      <c r="X160" s="12">
        <f t="shared" si="19"/>
        <v>0</v>
      </c>
      <c r="Y160" s="12"/>
      <c r="Z160" s="12"/>
      <c r="AA160" s="13">
        <f t="shared" si="20"/>
        <v>0</v>
      </c>
      <c r="AB160" s="14">
        <v>46053</v>
      </c>
    </row>
    <row r="161" spans="1:28" ht="15.75" hidden="1" x14ac:dyDescent="0.25">
      <c r="A161" s="28">
        <v>46009</v>
      </c>
      <c r="B161" s="10" t="s">
        <v>122</v>
      </c>
      <c r="C161" s="10"/>
      <c r="D161" s="10" t="s">
        <v>32</v>
      </c>
      <c r="E161" s="10" t="s">
        <v>138</v>
      </c>
      <c r="F161" s="10">
        <v>16</v>
      </c>
      <c r="G161" s="10" t="s">
        <v>61</v>
      </c>
      <c r="H161" s="10">
        <v>300000</v>
      </c>
      <c r="I161" s="10">
        <f t="shared" si="14"/>
        <v>4800000</v>
      </c>
      <c r="J161" s="29" t="s">
        <v>113</v>
      </c>
      <c r="K161" s="95" t="s">
        <v>188</v>
      </c>
      <c r="L161" s="12">
        <f t="shared" si="15"/>
        <v>4800000</v>
      </c>
      <c r="M161" s="12"/>
      <c r="N161" s="12">
        <v>4800000</v>
      </c>
      <c r="O161" s="12">
        <f t="shared" si="16"/>
        <v>0</v>
      </c>
      <c r="P161" s="12"/>
      <c r="Q161" s="12"/>
      <c r="R161" s="12">
        <f t="shared" si="17"/>
        <v>0</v>
      </c>
      <c r="S161" s="12"/>
      <c r="T161" s="12"/>
      <c r="U161" s="12">
        <f t="shared" si="18"/>
        <v>0</v>
      </c>
      <c r="V161" s="12"/>
      <c r="W161" s="12"/>
      <c r="X161" s="12">
        <f t="shared" si="19"/>
        <v>0</v>
      </c>
      <c r="Y161" s="12"/>
      <c r="Z161" s="12"/>
      <c r="AA161" s="13">
        <f t="shared" si="20"/>
        <v>0</v>
      </c>
      <c r="AB161" s="14">
        <v>46053</v>
      </c>
    </row>
    <row r="162" spans="1:28" ht="15.75" hidden="1" x14ac:dyDescent="0.25">
      <c r="A162" s="28">
        <v>46009</v>
      </c>
      <c r="B162" s="10" t="s">
        <v>122</v>
      </c>
      <c r="C162" s="10"/>
      <c r="D162" s="10" t="s">
        <v>32</v>
      </c>
      <c r="E162" s="10" t="s">
        <v>189</v>
      </c>
      <c r="F162" s="10">
        <v>16</v>
      </c>
      <c r="G162" s="10" t="s">
        <v>61</v>
      </c>
      <c r="H162" s="10">
        <v>300000</v>
      </c>
      <c r="I162" s="10">
        <f t="shared" si="14"/>
        <v>4800000</v>
      </c>
      <c r="J162" s="52" t="s">
        <v>30</v>
      </c>
      <c r="K162" s="88" t="s">
        <v>188</v>
      </c>
      <c r="L162" s="12">
        <f t="shared" si="15"/>
        <v>2307700</v>
      </c>
      <c r="M162" s="12"/>
      <c r="N162" s="12">
        <v>2307700</v>
      </c>
      <c r="O162" s="12">
        <f t="shared" si="16"/>
        <v>0</v>
      </c>
      <c r="P162" s="12"/>
      <c r="Q162" s="12"/>
      <c r="R162" s="12">
        <f t="shared" si="17"/>
        <v>0</v>
      </c>
      <c r="S162" s="12"/>
      <c r="T162" s="12"/>
      <c r="U162" s="12">
        <f t="shared" si="18"/>
        <v>0</v>
      </c>
      <c r="V162" s="12"/>
      <c r="W162" s="12"/>
      <c r="X162" s="12">
        <f t="shared" si="19"/>
        <v>0</v>
      </c>
      <c r="Y162" s="12"/>
      <c r="Z162" s="12"/>
      <c r="AA162" s="13">
        <f t="shared" si="20"/>
        <v>2492300</v>
      </c>
      <c r="AB162" s="14">
        <v>46053</v>
      </c>
    </row>
    <row r="163" spans="1:28" ht="15.75" hidden="1" x14ac:dyDescent="0.25">
      <c r="A163" s="28">
        <v>46009</v>
      </c>
      <c r="B163" s="10" t="s">
        <v>122</v>
      </c>
      <c r="C163" s="10"/>
      <c r="D163" s="10" t="s">
        <v>32</v>
      </c>
      <c r="E163" s="10" t="s">
        <v>118</v>
      </c>
      <c r="F163" s="10">
        <v>10</v>
      </c>
      <c r="G163" s="10" t="s">
        <v>22</v>
      </c>
      <c r="H163" s="10">
        <v>400000</v>
      </c>
      <c r="I163" s="10">
        <f t="shared" si="14"/>
        <v>4000000</v>
      </c>
      <c r="J163" s="52" t="s">
        <v>30</v>
      </c>
      <c r="K163" s="88" t="s">
        <v>188</v>
      </c>
      <c r="L163" s="12">
        <f t="shared" si="15"/>
        <v>0</v>
      </c>
      <c r="M163" s="12"/>
      <c r="N163" s="12"/>
      <c r="O163" s="12">
        <f t="shared" si="16"/>
        <v>0</v>
      </c>
      <c r="P163" s="12"/>
      <c r="Q163" s="12"/>
      <c r="R163" s="12">
        <f t="shared" si="17"/>
        <v>0</v>
      </c>
      <c r="S163" s="12"/>
      <c r="T163" s="12"/>
      <c r="U163" s="12">
        <f t="shared" si="18"/>
        <v>0</v>
      </c>
      <c r="V163" s="12"/>
      <c r="W163" s="12"/>
      <c r="X163" s="12">
        <f t="shared" si="19"/>
        <v>0</v>
      </c>
      <c r="Y163" s="12"/>
      <c r="Z163" s="12"/>
      <c r="AA163" s="13">
        <f t="shared" si="20"/>
        <v>4000000</v>
      </c>
      <c r="AB163" s="14"/>
    </row>
    <row r="164" spans="1:28" ht="15.75" hidden="1" x14ac:dyDescent="0.25">
      <c r="A164" s="28">
        <v>46009</v>
      </c>
      <c r="B164" s="10" t="s">
        <v>176</v>
      </c>
      <c r="C164" s="10"/>
      <c r="D164" s="10" t="s">
        <v>32</v>
      </c>
      <c r="E164" s="10" t="s">
        <v>175</v>
      </c>
      <c r="F164" s="10">
        <v>6000</v>
      </c>
      <c r="G164" s="10" t="s">
        <v>26</v>
      </c>
      <c r="H164" s="10">
        <v>875</v>
      </c>
      <c r="I164" s="10">
        <f t="shared" si="14"/>
        <v>5250000</v>
      </c>
      <c r="J164" s="52" t="s">
        <v>90</v>
      </c>
      <c r="K164" s="62" t="s">
        <v>190</v>
      </c>
      <c r="L164" s="12">
        <f t="shared" si="15"/>
        <v>0</v>
      </c>
      <c r="M164" s="12"/>
      <c r="N164" s="12"/>
      <c r="O164" s="12">
        <f t="shared" si="16"/>
        <v>3390000</v>
      </c>
      <c r="P164" s="12">
        <v>3390000</v>
      </c>
      <c r="Q164" s="12"/>
      <c r="R164" s="12">
        <f t="shared" si="17"/>
        <v>0</v>
      </c>
      <c r="S164" s="12"/>
      <c r="T164" s="12"/>
      <c r="U164" s="12">
        <f t="shared" si="18"/>
        <v>0</v>
      </c>
      <c r="V164" s="12"/>
      <c r="W164" s="12"/>
      <c r="X164" s="12">
        <f t="shared" si="19"/>
        <v>0</v>
      </c>
      <c r="Y164" s="12"/>
      <c r="Z164" s="12"/>
      <c r="AA164" s="13">
        <f t="shared" si="20"/>
        <v>1860000</v>
      </c>
      <c r="AB164" s="14">
        <v>46015</v>
      </c>
    </row>
    <row r="165" spans="1:28" ht="15.75" hidden="1" x14ac:dyDescent="0.25">
      <c r="A165" s="28">
        <v>46010</v>
      </c>
      <c r="B165" s="10" t="s">
        <v>55</v>
      </c>
      <c r="C165" s="10"/>
      <c r="D165" s="10" t="s">
        <v>32</v>
      </c>
      <c r="E165" s="10" t="s">
        <v>65</v>
      </c>
      <c r="F165" s="10">
        <v>4000</v>
      </c>
      <c r="G165" s="10" t="s">
        <v>26</v>
      </c>
      <c r="H165" s="10">
        <v>3800</v>
      </c>
      <c r="I165" s="10">
        <f t="shared" si="14"/>
        <v>15200000</v>
      </c>
      <c r="J165" s="29" t="s">
        <v>110</v>
      </c>
      <c r="K165" s="95" t="s">
        <v>171</v>
      </c>
      <c r="L165" s="12">
        <f t="shared" si="15"/>
        <v>0</v>
      </c>
      <c r="M165" s="12"/>
      <c r="N165" s="12"/>
      <c r="O165" s="12">
        <f t="shared" si="16"/>
        <v>15200000</v>
      </c>
      <c r="P165" s="12">
        <v>15200000</v>
      </c>
      <c r="Q165" s="12"/>
      <c r="R165" s="12">
        <f t="shared" si="17"/>
        <v>0</v>
      </c>
      <c r="S165" s="12"/>
      <c r="T165" s="12"/>
      <c r="U165" s="12">
        <f t="shared" si="18"/>
        <v>0</v>
      </c>
      <c r="V165" s="12"/>
      <c r="W165" s="12"/>
      <c r="X165" s="12">
        <f t="shared" si="19"/>
        <v>0</v>
      </c>
      <c r="Y165" s="12"/>
      <c r="Z165" s="12"/>
      <c r="AA165" s="13">
        <f t="shared" si="20"/>
        <v>0</v>
      </c>
      <c r="AB165" s="14">
        <v>45940</v>
      </c>
    </row>
    <row r="166" spans="1:28" ht="15.75" hidden="1" x14ac:dyDescent="0.25">
      <c r="A166" s="28">
        <v>46010</v>
      </c>
      <c r="B166" s="10" t="s">
        <v>144</v>
      </c>
      <c r="C166" s="10"/>
      <c r="D166" s="10" t="s">
        <v>32</v>
      </c>
      <c r="E166" s="10" t="s">
        <v>164</v>
      </c>
      <c r="F166" s="10">
        <v>68.400000000000006</v>
      </c>
      <c r="G166" s="10" t="s">
        <v>36</v>
      </c>
      <c r="H166" s="10">
        <v>43000</v>
      </c>
      <c r="I166" s="10">
        <f t="shared" si="14"/>
        <v>2941200.0000000005</v>
      </c>
      <c r="J166" s="52" t="s">
        <v>90</v>
      </c>
      <c r="K166" s="62" t="s">
        <v>150</v>
      </c>
      <c r="L166" s="12">
        <f t="shared" si="15"/>
        <v>0</v>
      </c>
      <c r="M166" s="12"/>
      <c r="N166" s="12"/>
      <c r="O166" s="12">
        <f t="shared" si="16"/>
        <v>0</v>
      </c>
      <c r="P166" s="12"/>
      <c r="Q166" s="12"/>
      <c r="R166" s="12">
        <f t="shared" si="17"/>
        <v>0</v>
      </c>
      <c r="S166" s="12"/>
      <c r="T166" s="12"/>
      <c r="U166" s="12">
        <f t="shared" si="18"/>
        <v>0</v>
      </c>
      <c r="V166" s="12"/>
      <c r="W166" s="12"/>
      <c r="X166" s="12">
        <f t="shared" si="19"/>
        <v>0</v>
      </c>
      <c r="Y166" s="12"/>
      <c r="Z166" s="12"/>
      <c r="AA166" s="13">
        <f t="shared" si="20"/>
        <v>2941200.0000000005</v>
      </c>
      <c r="AB166" s="14"/>
    </row>
    <row r="167" spans="1:28" ht="15.75" hidden="1" x14ac:dyDescent="0.25">
      <c r="A167" s="28">
        <v>46010</v>
      </c>
      <c r="B167" s="10" t="s">
        <v>56</v>
      </c>
      <c r="C167" s="10"/>
      <c r="D167" s="10" t="s">
        <v>28</v>
      </c>
      <c r="E167" s="10" t="s">
        <v>191</v>
      </c>
      <c r="F167" s="10">
        <v>1</v>
      </c>
      <c r="G167" s="10" t="s">
        <v>192</v>
      </c>
      <c r="H167" s="10">
        <v>900000</v>
      </c>
      <c r="I167" s="10">
        <f t="shared" si="14"/>
        <v>900000</v>
      </c>
      <c r="J167" s="29" t="s">
        <v>110</v>
      </c>
      <c r="K167" s="71" t="s">
        <v>193</v>
      </c>
      <c r="L167" s="12">
        <f t="shared" si="15"/>
        <v>0</v>
      </c>
      <c r="M167" s="12"/>
      <c r="N167" s="12"/>
      <c r="O167" s="12">
        <f t="shared" si="16"/>
        <v>900000</v>
      </c>
      <c r="P167" s="12">
        <v>900000</v>
      </c>
      <c r="Q167" s="12"/>
      <c r="R167" s="12">
        <f t="shared" si="17"/>
        <v>0</v>
      </c>
      <c r="S167" s="12"/>
      <c r="T167" s="12"/>
      <c r="U167" s="12">
        <f t="shared" si="18"/>
        <v>0</v>
      </c>
      <c r="V167" s="12"/>
      <c r="W167" s="12"/>
      <c r="X167" s="12">
        <f t="shared" si="19"/>
        <v>0</v>
      </c>
      <c r="Y167" s="12"/>
      <c r="Z167" s="12"/>
      <c r="AA167" s="13">
        <f t="shared" si="20"/>
        <v>0</v>
      </c>
      <c r="AB167" s="14">
        <v>46050</v>
      </c>
    </row>
    <row r="168" spans="1:28" ht="15.75" hidden="1" x14ac:dyDescent="0.25">
      <c r="A168" s="28">
        <v>46010</v>
      </c>
      <c r="B168" s="10" t="s">
        <v>194</v>
      </c>
      <c r="C168" s="10"/>
      <c r="D168" s="10" t="s">
        <v>195</v>
      </c>
      <c r="E168" s="10" t="s">
        <v>104</v>
      </c>
      <c r="F168" s="10">
        <v>200</v>
      </c>
      <c r="G168" s="10" t="s">
        <v>26</v>
      </c>
      <c r="H168" s="10">
        <v>2000</v>
      </c>
      <c r="I168" s="146">
        <f t="shared" si="14"/>
        <v>400000</v>
      </c>
      <c r="J168" s="29" t="s">
        <v>40</v>
      </c>
      <c r="K168" s="10"/>
      <c r="L168" s="12">
        <f t="shared" si="15"/>
        <v>0</v>
      </c>
      <c r="M168" s="12"/>
      <c r="N168" s="12"/>
      <c r="O168" s="12">
        <f t="shared" si="16"/>
        <v>0</v>
      </c>
      <c r="P168" s="12"/>
      <c r="Q168" s="12"/>
      <c r="R168" s="12">
        <f t="shared" si="17"/>
        <v>0</v>
      </c>
      <c r="S168" s="12"/>
      <c r="T168" s="12"/>
      <c r="U168" s="12">
        <f t="shared" si="18"/>
        <v>1920000</v>
      </c>
      <c r="V168" s="12">
        <v>1920000</v>
      </c>
      <c r="W168" s="12"/>
      <c r="X168" s="12">
        <f t="shared" si="19"/>
        <v>0</v>
      </c>
      <c r="Y168" s="12"/>
      <c r="Z168" s="12"/>
      <c r="AA168" s="13">
        <f t="shared" si="20"/>
        <v>-1520000</v>
      </c>
      <c r="AB168" s="14">
        <v>46009</v>
      </c>
    </row>
    <row r="169" spans="1:28" ht="15.75" hidden="1" x14ac:dyDescent="0.25">
      <c r="A169" s="28">
        <v>46011</v>
      </c>
      <c r="B169" s="10" t="s">
        <v>196</v>
      </c>
      <c r="C169" s="10"/>
      <c r="D169" s="10" t="s">
        <v>28</v>
      </c>
      <c r="E169" s="10" t="s">
        <v>189</v>
      </c>
      <c r="F169" s="10">
        <v>5</v>
      </c>
      <c r="G169" s="10" t="s">
        <v>61</v>
      </c>
      <c r="H169" s="10">
        <v>300000</v>
      </c>
      <c r="I169" s="10">
        <f t="shared" si="14"/>
        <v>1500000</v>
      </c>
      <c r="J169" s="29" t="s">
        <v>110</v>
      </c>
      <c r="K169" s="10" t="s">
        <v>150</v>
      </c>
      <c r="L169" s="12">
        <f t="shared" si="15"/>
        <v>0</v>
      </c>
      <c r="M169" s="12"/>
      <c r="N169" s="12"/>
      <c r="O169" s="12">
        <f t="shared" si="16"/>
        <v>1500000</v>
      </c>
      <c r="P169" s="12">
        <v>1500000</v>
      </c>
      <c r="Q169" s="12"/>
      <c r="R169" s="12">
        <f t="shared" si="17"/>
        <v>0</v>
      </c>
      <c r="S169" s="12"/>
      <c r="T169" s="12"/>
      <c r="U169" s="12">
        <f t="shared" si="18"/>
        <v>0</v>
      </c>
      <c r="V169" s="12"/>
      <c r="W169" s="12"/>
      <c r="X169" s="12">
        <f t="shared" si="19"/>
        <v>0</v>
      </c>
      <c r="Y169" s="12"/>
      <c r="Z169" s="12"/>
      <c r="AA169" s="13">
        <f t="shared" si="20"/>
        <v>0</v>
      </c>
      <c r="AB169" s="14">
        <v>46013</v>
      </c>
    </row>
    <row r="170" spans="1:28" ht="15.75" hidden="1" x14ac:dyDescent="0.25">
      <c r="A170" s="28">
        <v>46011</v>
      </c>
      <c r="B170" s="10" t="s">
        <v>197</v>
      </c>
      <c r="C170" s="10"/>
      <c r="D170" s="10" t="s">
        <v>28</v>
      </c>
      <c r="E170" s="10" t="s">
        <v>116</v>
      </c>
      <c r="F170" s="10">
        <v>24</v>
      </c>
      <c r="G170" s="10" t="s">
        <v>67</v>
      </c>
      <c r="H170" s="10">
        <v>65000</v>
      </c>
      <c r="I170" s="10">
        <f t="shared" si="14"/>
        <v>1560000</v>
      </c>
      <c r="J170" s="29" t="s">
        <v>110</v>
      </c>
      <c r="K170" s="71" t="s">
        <v>150</v>
      </c>
      <c r="L170" s="12">
        <f t="shared" si="15"/>
        <v>0</v>
      </c>
      <c r="M170" s="12"/>
      <c r="N170" s="12"/>
      <c r="O170" s="12">
        <f t="shared" si="16"/>
        <v>1560000</v>
      </c>
      <c r="P170" s="12">
        <v>1165000</v>
      </c>
      <c r="Q170" s="12">
        <v>395000</v>
      </c>
      <c r="R170" s="12">
        <f t="shared" si="17"/>
        <v>0</v>
      </c>
      <c r="S170" s="12"/>
      <c r="T170" s="12"/>
      <c r="U170" s="12">
        <f t="shared" si="18"/>
        <v>0</v>
      </c>
      <c r="V170" s="12"/>
      <c r="W170" s="12"/>
      <c r="X170" s="12">
        <f t="shared" si="19"/>
        <v>0</v>
      </c>
      <c r="Y170" s="12"/>
      <c r="Z170" s="12"/>
      <c r="AA170" s="13">
        <f t="shared" si="20"/>
        <v>0</v>
      </c>
      <c r="AB170" s="14">
        <v>46015</v>
      </c>
    </row>
    <row r="171" spans="1:28" ht="15.75" hidden="1" x14ac:dyDescent="0.25">
      <c r="A171" s="28">
        <v>46011</v>
      </c>
      <c r="B171" s="10" t="s">
        <v>197</v>
      </c>
      <c r="C171" s="10"/>
      <c r="D171" s="10" t="s">
        <v>28</v>
      </c>
      <c r="E171" s="10" t="s">
        <v>114</v>
      </c>
      <c r="F171" s="10">
        <v>30</v>
      </c>
      <c r="G171" s="10" t="s">
        <v>67</v>
      </c>
      <c r="H171" s="10">
        <v>50000</v>
      </c>
      <c r="I171" s="10">
        <f t="shared" si="14"/>
        <v>1500000</v>
      </c>
      <c r="J171" s="29" t="s">
        <v>110</v>
      </c>
      <c r="K171" s="71" t="s">
        <v>150</v>
      </c>
      <c r="L171" s="12">
        <f t="shared" si="15"/>
        <v>0</v>
      </c>
      <c r="M171" s="12"/>
      <c r="N171" s="12"/>
      <c r="O171" s="12">
        <f t="shared" si="16"/>
        <v>1500000</v>
      </c>
      <c r="P171" s="12"/>
      <c r="Q171" s="12">
        <v>1500000</v>
      </c>
      <c r="R171" s="12">
        <f t="shared" si="17"/>
        <v>0</v>
      </c>
      <c r="S171" s="12"/>
      <c r="T171" s="12"/>
      <c r="U171" s="12">
        <f t="shared" si="18"/>
        <v>0</v>
      </c>
      <c r="V171" s="12"/>
      <c r="W171" s="12"/>
      <c r="X171" s="12">
        <f t="shared" si="19"/>
        <v>0</v>
      </c>
      <c r="Y171" s="12"/>
      <c r="Z171" s="12"/>
      <c r="AA171" s="13">
        <f t="shared" si="20"/>
        <v>0</v>
      </c>
      <c r="AB171" s="14">
        <v>46051</v>
      </c>
    </row>
    <row r="172" spans="1:28" ht="15.75" hidden="1" x14ac:dyDescent="0.25">
      <c r="A172" s="28">
        <v>46011</v>
      </c>
      <c r="B172" s="10" t="s">
        <v>197</v>
      </c>
      <c r="C172" s="10"/>
      <c r="D172" s="10" t="s">
        <v>28</v>
      </c>
      <c r="E172" s="10" t="s">
        <v>117</v>
      </c>
      <c r="F172" s="10">
        <v>10</v>
      </c>
      <c r="G172" s="10" t="s">
        <v>36</v>
      </c>
      <c r="H172" s="10">
        <v>70000</v>
      </c>
      <c r="I172" s="10">
        <f t="shared" si="14"/>
        <v>700000</v>
      </c>
      <c r="J172" s="29" t="s">
        <v>110</v>
      </c>
      <c r="K172" s="71" t="s">
        <v>150</v>
      </c>
      <c r="L172" s="12">
        <f t="shared" si="15"/>
        <v>0</v>
      </c>
      <c r="M172" s="12"/>
      <c r="N172" s="12"/>
      <c r="O172" s="12">
        <f t="shared" si="16"/>
        <v>700000</v>
      </c>
      <c r="P172" s="12"/>
      <c r="Q172" s="12">
        <v>700000</v>
      </c>
      <c r="R172" s="12">
        <f t="shared" si="17"/>
        <v>0</v>
      </c>
      <c r="S172" s="12"/>
      <c r="T172" s="12"/>
      <c r="U172" s="12">
        <f t="shared" si="18"/>
        <v>0</v>
      </c>
      <c r="V172" s="12"/>
      <c r="W172" s="12"/>
      <c r="X172" s="12">
        <f t="shared" si="19"/>
        <v>0</v>
      </c>
      <c r="Y172" s="12"/>
      <c r="Z172" s="12"/>
      <c r="AA172" s="13">
        <f t="shared" si="20"/>
        <v>0</v>
      </c>
      <c r="AB172" s="14">
        <v>46051</v>
      </c>
    </row>
    <row r="173" spans="1:28" ht="15.75" hidden="1" x14ac:dyDescent="0.25">
      <c r="A173" s="28">
        <v>46011</v>
      </c>
      <c r="B173" s="10" t="s">
        <v>197</v>
      </c>
      <c r="C173" s="10"/>
      <c r="D173" s="10" t="s">
        <v>28</v>
      </c>
      <c r="E173" s="10" t="s">
        <v>160</v>
      </c>
      <c r="F173" s="10">
        <v>2</v>
      </c>
      <c r="G173" s="10" t="s">
        <v>22</v>
      </c>
      <c r="H173" s="10">
        <v>400000</v>
      </c>
      <c r="I173" s="10">
        <f t="shared" si="14"/>
        <v>800000</v>
      </c>
      <c r="J173" s="29" t="s">
        <v>110</v>
      </c>
      <c r="K173" s="71" t="s">
        <v>150</v>
      </c>
      <c r="L173" s="12">
        <f t="shared" si="15"/>
        <v>0</v>
      </c>
      <c r="M173" s="12"/>
      <c r="N173" s="12"/>
      <c r="O173" s="12">
        <f t="shared" si="16"/>
        <v>800000</v>
      </c>
      <c r="P173" s="12"/>
      <c r="Q173" s="12">
        <v>800000</v>
      </c>
      <c r="R173" s="12">
        <f t="shared" si="17"/>
        <v>0</v>
      </c>
      <c r="S173" s="12"/>
      <c r="T173" s="12"/>
      <c r="U173" s="12">
        <f t="shared" si="18"/>
        <v>0</v>
      </c>
      <c r="V173" s="12"/>
      <c r="W173" s="12"/>
      <c r="X173" s="12">
        <f t="shared" si="19"/>
        <v>0</v>
      </c>
      <c r="Y173" s="12"/>
      <c r="Z173" s="12"/>
      <c r="AA173" s="13">
        <f t="shared" si="20"/>
        <v>0</v>
      </c>
      <c r="AB173" s="14">
        <v>46051</v>
      </c>
    </row>
    <row r="174" spans="1:28" ht="15.75" hidden="1" x14ac:dyDescent="0.25">
      <c r="A174" s="28">
        <v>46011</v>
      </c>
      <c r="B174" s="10" t="s">
        <v>56</v>
      </c>
      <c r="C174" s="10"/>
      <c r="D174" s="10" t="s">
        <v>32</v>
      </c>
      <c r="E174" s="10" t="s">
        <v>184</v>
      </c>
      <c r="F174" s="10">
        <v>20.3</v>
      </c>
      <c r="G174" s="10" t="s">
        <v>36</v>
      </c>
      <c r="H174" s="10">
        <v>43000</v>
      </c>
      <c r="I174" s="10">
        <f t="shared" si="14"/>
        <v>872900</v>
      </c>
      <c r="J174" s="29" t="s">
        <v>110</v>
      </c>
      <c r="K174" s="71" t="s">
        <v>150</v>
      </c>
      <c r="L174" s="12">
        <f t="shared" si="15"/>
        <v>0</v>
      </c>
      <c r="M174" s="12"/>
      <c r="N174" s="12"/>
      <c r="O174" s="12">
        <f t="shared" si="16"/>
        <v>872900</v>
      </c>
      <c r="P174" s="12">
        <v>872900</v>
      </c>
      <c r="Q174" s="12"/>
      <c r="R174" s="12">
        <f t="shared" si="17"/>
        <v>0</v>
      </c>
      <c r="S174" s="12"/>
      <c r="T174" s="12"/>
      <c r="U174" s="12">
        <f t="shared" si="18"/>
        <v>0</v>
      </c>
      <c r="V174" s="12"/>
      <c r="W174" s="12"/>
      <c r="X174" s="12">
        <f t="shared" si="19"/>
        <v>0</v>
      </c>
      <c r="Y174" s="12"/>
      <c r="Z174" s="12"/>
      <c r="AA174" s="13">
        <f t="shared" si="20"/>
        <v>0</v>
      </c>
      <c r="AB174" s="14">
        <v>46050</v>
      </c>
    </row>
    <row r="175" spans="1:28" ht="15.75" hidden="1" x14ac:dyDescent="0.25">
      <c r="A175" s="28">
        <v>46013</v>
      </c>
      <c r="B175" s="10" t="s">
        <v>151</v>
      </c>
      <c r="C175" s="10"/>
      <c r="D175" s="10" t="s">
        <v>32</v>
      </c>
      <c r="E175" s="10" t="s">
        <v>65</v>
      </c>
      <c r="F175" s="10">
        <v>5200</v>
      </c>
      <c r="G175" s="10" t="s">
        <v>26</v>
      </c>
      <c r="H175" s="10">
        <v>4000</v>
      </c>
      <c r="I175" s="10">
        <f t="shared" si="14"/>
        <v>20800000</v>
      </c>
      <c r="J175" s="29" t="s">
        <v>110</v>
      </c>
      <c r="K175" s="10"/>
      <c r="L175" s="12">
        <f t="shared" si="15"/>
        <v>0</v>
      </c>
      <c r="M175" s="12"/>
      <c r="N175" s="12"/>
      <c r="O175" s="12">
        <f t="shared" si="16"/>
        <v>20800000</v>
      </c>
      <c r="P175" s="12">
        <v>20800000</v>
      </c>
      <c r="Q175" s="12"/>
      <c r="R175" s="12">
        <f t="shared" si="17"/>
        <v>0</v>
      </c>
      <c r="S175" s="12"/>
      <c r="T175" s="12"/>
      <c r="U175" s="12">
        <f t="shared" si="18"/>
        <v>0</v>
      </c>
      <c r="V175" s="12"/>
      <c r="W175" s="12"/>
      <c r="X175" s="12">
        <f t="shared" si="19"/>
        <v>0</v>
      </c>
      <c r="Y175" s="12"/>
      <c r="Z175" s="12"/>
      <c r="AA175" s="13">
        <f t="shared" si="20"/>
        <v>0</v>
      </c>
      <c r="AB175" s="14">
        <v>45978</v>
      </c>
    </row>
    <row r="176" spans="1:28" ht="15.75" hidden="1" x14ac:dyDescent="0.25">
      <c r="A176" s="28">
        <v>46014</v>
      </c>
      <c r="B176" s="10" t="s">
        <v>55</v>
      </c>
      <c r="C176" s="10"/>
      <c r="D176" s="10" t="s">
        <v>32</v>
      </c>
      <c r="E176" s="10" t="s">
        <v>98</v>
      </c>
      <c r="F176" s="10">
        <v>2000</v>
      </c>
      <c r="G176" s="10" t="s">
        <v>26</v>
      </c>
      <c r="H176" s="10">
        <v>1900</v>
      </c>
      <c r="I176" s="10">
        <f t="shared" si="14"/>
        <v>3800000</v>
      </c>
      <c r="J176" s="29" t="s">
        <v>110</v>
      </c>
      <c r="K176" s="95" t="s">
        <v>159</v>
      </c>
      <c r="L176" s="12">
        <f t="shared" si="15"/>
        <v>0</v>
      </c>
      <c r="M176" s="12"/>
      <c r="N176" s="12"/>
      <c r="O176" s="12">
        <f t="shared" si="16"/>
        <v>3800000</v>
      </c>
      <c r="P176" s="12">
        <v>3800000</v>
      </c>
      <c r="Q176" s="12"/>
      <c r="R176" s="12">
        <f t="shared" si="17"/>
        <v>0</v>
      </c>
      <c r="S176" s="12"/>
      <c r="T176" s="12"/>
      <c r="U176" s="12">
        <f t="shared" si="18"/>
        <v>0</v>
      </c>
      <c r="V176" s="12"/>
      <c r="W176" s="12"/>
      <c r="X176" s="12">
        <f t="shared" si="19"/>
        <v>0</v>
      </c>
      <c r="Y176" s="12"/>
      <c r="Z176" s="12"/>
      <c r="AA176" s="13">
        <f t="shared" si="20"/>
        <v>0</v>
      </c>
      <c r="AB176" s="14">
        <v>45940</v>
      </c>
    </row>
    <row r="177" spans="1:28" ht="15.75" hidden="1" x14ac:dyDescent="0.25">
      <c r="A177" s="28">
        <v>46014</v>
      </c>
      <c r="B177" s="10" t="s">
        <v>101</v>
      </c>
      <c r="C177" s="10"/>
      <c r="D177" s="10" t="s">
        <v>32</v>
      </c>
      <c r="E177" s="10" t="s">
        <v>88</v>
      </c>
      <c r="F177" s="10">
        <v>50</v>
      </c>
      <c r="G177" s="10" t="s">
        <v>36</v>
      </c>
      <c r="H177" s="10">
        <v>125000</v>
      </c>
      <c r="I177" s="10">
        <f t="shared" si="14"/>
        <v>6250000</v>
      </c>
      <c r="J177" s="52" t="s">
        <v>90</v>
      </c>
      <c r="K177" s="87" t="s">
        <v>159</v>
      </c>
      <c r="L177" s="12">
        <f t="shared" si="15"/>
        <v>0</v>
      </c>
      <c r="M177" s="12"/>
      <c r="N177" s="12"/>
      <c r="O177" s="12">
        <f t="shared" si="16"/>
        <v>0</v>
      </c>
      <c r="P177" s="12"/>
      <c r="Q177" s="12"/>
      <c r="R177" s="12">
        <f t="shared" si="17"/>
        <v>0</v>
      </c>
      <c r="S177" s="12"/>
      <c r="T177" s="12"/>
      <c r="U177" s="12">
        <f t="shared" si="18"/>
        <v>0</v>
      </c>
      <c r="V177" s="12"/>
      <c r="W177" s="12"/>
      <c r="X177" s="12">
        <f t="shared" si="19"/>
        <v>0</v>
      </c>
      <c r="Y177" s="12"/>
      <c r="Z177" s="12"/>
      <c r="AA177" s="13">
        <f t="shared" si="20"/>
        <v>6250000</v>
      </c>
      <c r="AB177" s="14"/>
    </row>
    <row r="178" spans="1:28" ht="15.75" hidden="1" x14ac:dyDescent="0.25">
      <c r="A178" s="28">
        <v>46014</v>
      </c>
      <c r="B178" s="10" t="s">
        <v>101</v>
      </c>
      <c r="C178" s="10"/>
      <c r="D178" s="10" t="s">
        <v>32</v>
      </c>
      <c r="E178" s="10" t="s">
        <v>198</v>
      </c>
      <c r="F178" s="10">
        <v>35.200000000000003</v>
      </c>
      <c r="G178" s="10" t="s">
        <v>36</v>
      </c>
      <c r="H178" s="10">
        <v>43000</v>
      </c>
      <c r="I178" s="10">
        <f t="shared" si="14"/>
        <v>1513600.0000000002</v>
      </c>
      <c r="J178" s="52" t="s">
        <v>90</v>
      </c>
      <c r="K178" s="87" t="s">
        <v>159</v>
      </c>
      <c r="L178" s="12">
        <f t="shared" si="15"/>
        <v>0</v>
      </c>
      <c r="M178" s="12"/>
      <c r="N178" s="12"/>
      <c r="O178" s="12">
        <f t="shared" si="16"/>
        <v>0</v>
      </c>
      <c r="P178" s="12"/>
      <c r="Q178" s="12"/>
      <c r="R178" s="12">
        <f t="shared" si="17"/>
        <v>0</v>
      </c>
      <c r="S178" s="12"/>
      <c r="T178" s="12"/>
      <c r="U178" s="12">
        <f t="shared" si="18"/>
        <v>0</v>
      </c>
      <c r="V178" s="12"/>
      <c r="W178" s="12"/>
      <c r="X178" s="12">
        <f t="shared" si="19"/>
        <v>0</v>
      </c>
      <c r="Y178" s="12"/>
      <c r="Z178" s="12"/>
      <c r="AA178" s="13">
        <f t="shared" si="20"/>
        <v>1513600.0000000002</v>
      </c>
      <c r="AB178" s="14"/>
    </row>
    <row r="179" spans="1:28" ht="15.75" hidden="1" x14ac:dyDescent="0.25">
      <c r="A179" s="28">
        <v>46014</v>
      </c>
      <c r="B179" s="10" t="s">
        <v>196</v>
      </c>
      <c r="C179" s="10"/>
      <c r="D179" s="10" t="s">
        <v>28</v>
      </c>
      <c r="E179" s="10" t="s">
        <v>60</v>
      </c>
      <c r="F179" s="10">
        <v>1</v>
      </c>
      <c r="G179" s="10" t="s">
        <v>61</v>
      </c>
      <c r="H179" s="10">
        <v>150000</v>
      </c>
      <c r="I179" s="10">
        <f t="shared" si="14"/>
        <v>150000</v>
      </c>
      <c r="J179" s="29" t="s">
        <v>110</v>
      </c>
      <c r="K179" s="71" t="s">
        <v>199</v>
      </c>
      <c r="L179" s="12">
        <f t="shared" si="15"/>
        <v>0</v>
      </c>
      <c r="M179" s="12"/>
      <c r="N179" s="12"/>
      <c r="O179" s="12">
        <f t="shared" si="16"/>
        <v>150000</v>
      </c>
      <c r="P179" s="12">
        <v>150000</v>
      </c>
      <c r="Q179" s="12"/>
      <c r="R179" s="12">
        <f t="shared" si="17"/>
        <v>0</v>
      </c>
      <c r="S179" s="12"/>
      <c r="T179" s="12"/>
      <c r="U179" s="12">
        <f t="shared" si="18"/>
        <v>0</v>
      </c>
      <c r="V179" s="12"/>
      <c r="W179" s="12"/>
      <c r="X179" s="12">
        <f t="shared" si="19"/>
        <v>0</v>
      </c>
      <c r="Y179" s="12"/>
      <c r="Z179" s="12"/>
      <c r="AA179" s="13">
        <f t="shared" si="20"/>
        <v>0</v>
      </c>
      <c r="AB179" s="14">
        <v>46031</v>
      </c>
    </row>
    <row r="180" spans="1:28" ht="15.75" hidden="1" x14ac:dyDescent="0.25">
      <c r="A180" s="28">
        <v>46015</v>
      </c>
      <c r="B180" s="10" t="s">
        <v>200</v>
      </c>
      <c r="C180" s="10"/>
      <c r="D180" s="10" t="s">
        <v>195</v>
      </c>
      <c r="E180" s="10" t="s">
        <v>201</v>
      </c>
      <c r="F180" s="10">
        <v>500</v>
      </c>
      <c r="G180" s="10" t="s">
        <v>39</v>
      </c>
      <c r="H180" s="10">
        <v>42500</v>
      </c>
      <c r="I180" s="10">
        <f t="shared" si="14"/>
        <v>21250000</v>
      </c>
      <c r="J180" s="52" t="s">
        <v>30</v>
      </c>
      <c r="K180" s="88" t="s">
        <v>202</v>
      </c>
      <c r="L180" s="12">
        <f t="shared" si="15"/>
        <v>350000</v>
      </c>
      <c r="M180" s="12">
        <v>350000</v>
      </c>
      <c r="N180" s="12"/>
      <c r="O180" s="12">
        <f t="shared" si="16"/>
        <v>0</v>
      </c>
      <c r="P180" s="12"/>
      <c r="Q180" s="12"/>
      <c r="R180" s="12">
        <f t="shared" si="17"/>
        <v>0</v>
      </c>
      <c r="S180" s="12"/>
      <c r="T180" s="12"/>
      <c r="U180" s="12">
        <f t="shared" si="18"/>
        <v>0</v>
      </c>
      <c r="V180" s="12"/>
      <c r="W180" s="12"/>
      <c r="X180" s="12">
        <f t="shared" si="19"/>
        <v>0</v>
      </c>
      <c r="Y180" s="12"/>
      <c r="Z180" s="12"/>
      <c r="AA180" s="13">
        <f t="shared" si="20"/>
        <v>20900000</v>
      </c>
      <c r="AB180" s="14">
        <v>46020</v>
      </c>
    </row>
    <row r="181" spans="1:28" ht="15.75" hidden="1" x14ac:dyDescent="0.25">
      <c r="A181" s="28">
        <v>46015</v>
      </c>
      <c r="B181" s="10" t="s">
        <v>203</v>
      </c>
      <c r="C181" s="10"/>
      <c r="D181" s="10" t="s">
        <v>32</v>
      </c>
      <c r="E181" s="10" t="s">
        <v>65</v>
      </c>
      <c r="F181" s="10">
        <v>5200</v>
      </c>
      <c r="G181" s="10" t="s">
        <v>26</v>
      </c>
      <c r="H181" s="10">
        <v>3700</v>
      </c>
      <c r="I181" s="10">
        <f t="shared" si="14"/>
        <v>19240000</v>
      </c>
      <c r="J181" s="29" t="s">
        <v>110</v>
      </c>
      <c r="K181" s="10" t="s">
        <v>159</v>
      </c>
      <c r="L181" s="12">
        <f t="shared" si="15"/>
        <v>0</v>
      </c>
      <c r="M181" s="12"/>
      <c r="N181" s="12"/>
      <c r="O181" s="12">
        <f t="shared" si="16"/>
        <v>12241200</v>
      </c>
      <c r="P181" s="12">
        <v>12241200</v>
      </c>
      <c r="Q181" s="12"/>
      <c r="R181" s="12">
        <f t="shared" si="17"/>
        <v>0</v>
      </c>
      <c r="S181" s="12"/>
      <c r="T181" s="12"/>
      <c r="U181" s="12">
        <f t="shared" si="18"/>
        <v>6998800</v>
      </c>
      <c r="V181" s="12">
        <v>6998800</v>
      </c>
      <c r="W181" s="12"/>
      <c r="X181" s="12">
        <f t="shared" si="19"/>
        <v>0</v>
      </c>
      <c r="Y181" s="12"/>
      <c r="Z181" s="12"/>
      <c r="AA181" s="13">
        <f t="shared" si="20"/>
        <v>0</v>
      </c>
      <c r="AB181" s="14">
        <v>46020</v>
      </c>
    </row>
    <row r="182" spans="1:28" ht="15.75" hidden="1" x14ac:dyDescent="0.25">
      <c r="A182" s="28">
        <v>46015</v>
      </c>
      <c r="B182" s="10" t="s">
        <v>149</v>
      </c>
      <c r="C182" s="10"/>
      <c r="D182" s="10" t="s">
        <v>32</v>
      </c>
      <c r="E182" s="10" t="s">
        <v>107</v>
      </c>
      <c r="F182" s="10">
        <v>300</v>
      </c>
      <c r="G182" s="10" t="s">
        <v>36</v>
      </c>
      <c r="H182" s="10">
        <v>60000</v>
      </c>
      <c r="I182" s="10">
        <f t="shared" si="14"/>
        <v>18000000</v>
      </c>
      <c r="J182" s="52" t="s">
        <v>90</v>
      </c>
      <c r="K182" s="88" t="s">
        <v>188</v>
      </c>
      <c r="L182" s="12">
        <f t="shared" si="15"/>
        <v>0</v>
      </c>
      <c r="M182" s="12"/>
      <c r="N182" s="12"/>
      <c r="O182" s="12">
        <f t="shared" si="16"/>
        <v>0</v>
      </c>
      <c r="P182" s="12"/>
      <c r="Q182" s="12"/>
      <c r="R182" s="12">
        <f t="shared" si="17"/>
        <v>0</v>
      </c>
      <c r="S182" s="12"/>
      <c r="T182" s="12"/>
      <c r="U182" s="12">
        <f t="shared" si="18"/>
        <v>0</v>
      </c>
      <c r="V182" s="12"/>
      <c r="W182" s="12"/>
      <c r="X182" s="12">
        <f t="shared" si="19"/>
        <v>0</v>
      </c>
      <c r="Y182" s="12"/>
      <c r="Z182" s="12"/>
      <c r="AA182" s="13">
        <f t="shared" si="20"/>
        <v>18000000</v>
      </c>
      <c r="AB182" s="14"/>
    </row>
    <row r="183" spans="1:28" ht="15.75" hidden="1" x14ac:dyDescent="0.25">
      <c r="A183" s="28">
        <v>46015</v>
      </c>
      <c r="B183" s="10" t="s">
        <v>204</v>
      </c>
      <c r="C183" s="10"/>
      <c r="D183" s="10" t="s">
        <v>32</v>
      </c>
      <c r="E183" s="10" t="s">
        <v>104</v>
      </c>
      <c r="F183" s="10">
        <v>1600</v>
      </c>
      <c r="G183" s="10" t="s">
        <v>26</v>
      </c>
      <c r="H183" s="10">
        <v>1900</v>
      </c>
      <c r="I183" s="10">
        <f t="shared" si="14"/>
        <v>3040000</v>
      </c>
      <c r="J183" s="29" t="s">
        <v>40</v>
      </c>
      <c r="K183" s="10" t="s">
        <v>162</v>
      </c>
      <c r="L183" s="12">
        <f t="shared" si="15"/>
        <v>0</v>
      </c>
      <c r="M183" s="12"/>
      <c r="N183" s="12"/>
      <c r="O183" s="12">
        <f t="shared" si="16"/>
        <v>0</v>
      </c>
      <c r="P183" s="12"/>
      <c r="Q183" s="12"/>
      <c r="R183" s="12">
        <f t="shared" si="17"/>
        <v>3040000</v>
      </c>
      <c r="S183" s="12">
        <v>3040000</v>
      </c>
      <c r="T183" s="12"/>
      <c r="U183" s="12">
        <f t="shared" si="18"/>
        <v>0</v>
      </c>
      <c r="V183" s="12"/>
      <c r="W183" s="12"/>
      <c r="X183" s="12">
        <f t="shared" si="19"/>
        <v>0</v>
      </c>
      <c r="Y183" s="12"/>
      <c r="Z183" s="12"/>
      <c r="AA183" s="13">
        <f t="shared" si="20"/>
        <v>0</v>
      </c>
      <c r="AB183" s="14">
        <v>46020</v>
      </c>
    </row>
    <row r="184" spans="1:28" ht="15.75" hidden="1" x14ac:dyDescent="0.25">
      <c r="A184" s="28">
        <v>46016</v>
      </c>
      <c r="B184" s="10" t="s">
        <v>158</v>
      </c>
      <c r="C184" s="10"/>
      <c r="D184" s="10" t="s">
        <v>32</v>
      </c>
      <c r="E184" s="10" t="s">
        <v>104</v>
      </c>
      <c r="F184" s="10">
        <v>10400</v>
      </c>
      <c r="G184" s="10" t="s">
        <v>26</v>
      </c>
      <c r="H184" s="10">
        <v>1825</v>
      </c>
      <c r="I184" s="10">
        <f t="shared" si="14"/>
        <v>18980000</v>
      </c>
      <c r="J184" s="52" t="s">
        <v>90</v>
      </c>
      <c r="K184" s="88" t="s">
        <v>202</v>
      </c>
      <c r="L184" s="12">
        <f t="shared" si="15"/>
        <v>0</v>
      </c>
      <c r="M184" s="12"/>
      <c r="N184" s="12"/>
      <c r="O184" s="12">
        <f t="shared" si="16"/>
        <v>0</v>
      </c>
      <c r="P184" s="12"/>
      <c r="Q184" s="12"/>
      <c r="R184" s="12">
        <f t="shared" si="17"/>
        <v>8000000</v>
      </c>
      <c r="S184" s="12">
        <f>3000000</f>
        <v>3000000</v>
      </c>
      <c r="T184" s="12">
        <v>5000000</v>
      </c>
      <c r="U184" s="12">
        <f t="shared" si="18"/>
        <v>0</v>
      </c>
      <c r="V184" s="12"/>
      <c r="W184" s="12"/>
      <c r="X184" s="12">
        <f t="shared" si="19"/>
        <v>0</v>
      </c>
      <c r="Y184" s="12"/>
      <c r="Z184" s="12"/>
      <c r="AA184" s="13">
        <f t="shared" si="20"/>
        <v>10980000</v>
      </c>
      <c r="AB184" s="14">
        <v>46050</v>
      </c>
    </row>
    <row r="185" spans="1:28" ht="15.75" hidden="1" x14ac:dyDescent="0.25">
      <c r="A185" s="28">
        <v>46016</v>
      </c>
      <c r="B185" s="10" t="s">
        <v>109</v>
      </c>
      <c r="C185" s="10"/>
      <c r="D185" s="10" t="s">
        <v>28</v>
      </c>
      <c r="E185" s="10" t="s">
        <v>205</v>
      </c>
      <c r="F185" s="10">
        <v>25</v>
      </c>
      <c r="G185" s="10" t="s">
        <v>36</v>
      </c>
      <c r="H185" s="10">
        <v>55000</v>
      </c>
      <c r="I185" s="10">
        <f t="shared" si="14"/>
        <v>1375000</v>
      </c>
      <c r="J185" s="52" t="s">
        <v>90</v>
      </c>
      <c r="K185" s="87" t="s">
        <v>159</v>
      </c>
      <c r="L185" s="12">
        <f t="shared" si="15"/>
        <v>0</v>
      </c>
      <c r="M185" s="12"/>
      <c r="N185" s="12"/>
      <c r="O185" s="12">
        <f t="shared" si="16"/>
        <v>0</v>
      </c>
      <c r="P185" s="12"/>
      <c r="Q185" s="12"/>
      <c r="R185" s="12">
        <f t="shared" si="17"/>
        <v>0</v>
      </c>
      <c r="S185" s="12"/>
      <c r="T185" s="12"/>
      <c r="U185" s="12">
        <f t="shared" si="18"/>
        <v>0</v>
      </c>
      <c r="V185" s="12"/>
      <c r="W185" s="12"/>
      <c r="X185" s="12">
        <f t="shared" si="19"/>
        <v>0</v>
      </c>
      <c r="Y185" s="12"/>
      <c r="Z185" s="12"/>
      <c r="AA185" s="13">
        <f t="shared" si="20"/>
        <v>1375000</v>
      </c>
      <c r="AB185" s="14"/>
    </row>
    <row r="186" spans="1:28" ht="15.75" hidden="1" x14ac:dyDescent="0.25">
      <c r="A186" s="28">
        <v>46016</v>
      </c>
      <c r="B186" s="10" t="s">
        <v>109</v>
      </c>
      <c r="C186" s="10"/>
      <c r="D186" s="10" t="s">
        <v>28</v>
      </c>
      <c r="E186" s="10" t="s">
        <v>114</v>
      </c>
      <c r="F186" s="10">
        <v>10</v>
      </c>
      <c r="G186" s="10" t="s">
        <v>67</v>
      </c>
      <c r="H186" s="10">
        <v>50000</v>
      </c>
      <c r="I186" s="10">
        <f t="shared" si="14"/>
        <v>500000</v>
      </c>
      <c r="J186" s="29" t="s">
        <v>113</v>
      </c>
      <c r="K186" s="95" t="s">
        <v>159</v>
      </c>
      <c r="L186" s="12">
        <f t="shared" si="15"/>
        <v>500000</v>
      </c>
      <c r="M186" s="12"/>
      <c r="N186" s="12">
        <v>500000</v>
      </c>
      <c r="O186" s="12">
        <f t="shared" si="16"/>
        <v>0</v>
      </c>
      <c r="P186" s="12"/>
      <c r="Q186" s="12"/>
      <c r="R186" s="12">
        <f t="shared" si="17"/>
        <v>0</v>
      </c>
      <c r="S186" s="12"/>
      <c r="T186" s="12"/>
      <c r="U186" s="12">
        <f t="shared" si="18"/>
        <v>0</v>
      </c>
      <c r="V186" s="12"/>
      <c r="W186" s="12"/>
      <c r="X186" s="12">
        <f t="shared" si="19"/>
        <v>0</v>
      </c>
      <c r="Y186" s="12"/>
      <c r="Z186" s="12"/>
      <c r="AA186" s="13">
        <f t="shared" si="20"/>
        <v>0</v>
      </c>
      <c r="AB186" s="14">
        <v>46052</v>
      </c>
    </row>
    <row r="187" spans="1:28" ht="15.75" hidden="1" x14ac:dyDescent="0.25">
      <c r="A187" s="28">
        <v>46016</v>
      </c>
      <c r="B187" s="10" t="s">
        <v>109</v>
      </c>
      <c r="C187" s="10"/>
      <c r="D187" s="10" t="s">
        <v>28</v>
      </c>
      <c r="E187" s="10" t="s">
        <v>116</v>
      </c>
      <c r="F187" s="10">
        <v>4</v>
      </c>
      <c r="G187" s="10" t="s">
        <v>67</v>
      </c>
      <c r="H187" s="10">
        <v>65000</v>
      </c>
      <c r="I187" s="10">
        <f t="shared" si="14"/>
        <v>260000</v>
      </c>
      <c r="J187" s="29" t="s">
        <v>113</v>
      </c>
      <c r="K187" s="95" t="s">
        <v>159</v>
      </c>
      <c r="L187" s="12">
        <f t="shared" si="15"/>
        <v>260000</v>
      </c>
      <c r="M187" s="12"/>
      <c r="N187" s="12">
        <v>260000</v>
      </c>
      <c r="O187" s="12">
        <f t="shared" si="16"/>
        <v>0</v>
      </c>
      <c r="P187" s="12"/>
      <c r="Q187" s="12"/>
      <c r="R187" s="12">
        <f t="shared" si="17"/>
        <v>0</v>
      </c>
      <c r="S187" s="12"/>
      <c r="T187" s="12"/>
      <c r="U187" s="12">
        <f t="shared" si="18"/>
        <v>0</v>
      </c>
      <c r="V187" s="12"/>
      <c r="W187" s="12"/>
      <c r="X187" s="12">
        <f t="shared" si="19"/>
        <v>0</v>
      </c>
      <c r="Y187" s="12"/>
      <c r="Z187" s="12"/>
      <c r="AA187" s="13">
        <f t="shared" si="20"/>
        <v>0</v>
      </c>
      <c r="AB187" s="14">
        <v>46052</v>
      </c>
    </row>
    <row r="188" spans="1:28" ht="15.75" hidden="1" x14ac:dyDescent="0.25">
      <c r="A188" s="28">
        <v>46016</v>
      </c>
      <c r="B188" s="10" t="s">
        <v>109</v>
      </c>
      <c r="C188" s="10"/>
      <c r="D188" s="10" t="s">
        <v>28</v>
      </c>
      <c r="E188" s="10" t="s">
        <v>167</v>
      </c>
      <c r="F188" s="10">
        <v>2.5</v>
      </c>
      <c r="G188" s="10" t="s">
        <v>36</v>
      </c>
      <c r="H188" s="10">
        <v>90000</v>
      </c>
      <c r="I188" s="10">
        <f t="shared" si="14"/>
        <v>225000</v>
      </c>
      <c r="J188" s="29" t="s">
        <v>113</v>
      </c>
      <c r="K188" s="95" t="s">
        <v>159</v>
      </c>
      <c r="L188" s="12">
        <f t="shared" si="15"/>
        <v>225000</v>
      </c>
      <c r="M188" s="12">
        <v>170300</v>
      </c>
      <c r="N188" s="12">
        <v>54700</v>
      </c>
      <c r="O188" s="12">
        <f t="shared" si="16"/>
        <v>0</v>
      </c>
      <c r="P188" s="12"/>
      <c r="Q188" s="12"/>
      <c r="R188" s="12">
        <f t="shared" si="17"/>
        <v>0</v>
      </c>
      <c r="S188" s="12"/>
      <c r="T188" s="12"/>
      <c r="U188" s="12">
        <f t="shared" si="18"/>
        <v>0</v>
      </c>
      <c r="V188" s="12"/>
      <c r="W188" s="12"/>
      <c r="X188" s="12">
        <f t="shared" si="19"/>
        <v>0</v>
      </c>
      <c r="Y188" s="12"/>
      <c r="Z188" s="12"/>
      <c r="AA188" s="13">
        <f t="shared" si="20"/>
        <v>0</v>
      </c>
      <c r="AB188" s="14">
        <v>46049</v>
      </c>
    </row>
    <row r="189" spans="1:28" ht="15.75" hidden="1" x14ac:dyDescent="0.25">
      <c r="A189" s="28">
        <v>46016</v>
      </c>
      <c r="B189" s="10" t="s">
        <v>109</v>
      </c>
      <c r="C189" s="10"/>
      <c r="D189" s="10" t="s">
        <v>28</v>
      </c>
      <c r="E189" s="10" t="s">
        <v>179</v>
      </c>
      <c r="F189" s="10">
        <v>2.5</v>
      </c>
      <c r="G189" s="10" t="s">
        <v>36</v>
      </c>
      <c r="H189" s="10">
        <v>90000</v>
      </c>
      <c r="I189" s="10">
        <f t="shared" si="14"/>
        <v>225000</v>
      </c>
      <c r="J189" s="29" t="s">
        <v>113</v>
      </c>
      <c r="K189" s="95" t="s">
        <v>159</v>
      </c>
      <c r="L189" s="12">
        <f t="shared" si="15"/>
        <v>225000</v>
      </c>
      <c r="M189" s="12">
        <v>225000</v>
      </c>
      <c r="N189" s="12"/>
      <c r="O189" s="12">
        <f t="shared" si="16"/>
        <v>0</v>
      </c>
      <c r="P189" s="12"/>
      <c r="Q189" s="12"/>
      <c r="R189" s="12">
        <f t="shared" si="17"/>
        <v>0</v>
      </c>
      <c r="S189" s="12"/>
      <c r="T189" s="12"/>
      <c r="U189" s="12">
        <f t="shared" si="18"/>
        <v>0</v>
      </c>
      <c r="V189" s="12"/>
      <c r="W189" s="12"/>
      <c r="X189" s="12">
        <f t="shared" si="19"/>
        <v>0</v>
      </c>
      <c r="Y189" s="12"/>
      <c r="Z189" s="12"/>
      <c r="AA189" s="13">
        <f t="shared" si="20"/>
        <v>0</v>
      </c>
      <c r="AB189" s="14">
        <v>46049</v>
      </c>
    </row>
    <row r="190" spans="1:28" ht="15.75" hidden="1" x14ac:dyDescent="0.25">
      <c r="A190" s="28">
        <v>46016</v>
      </c>
      <c r="B190" s="10" t="s">
        <v>109</v>
      </c>
      <c r="C190" s="10"/>
      <c r="D190" s="10" t="s">
        <v>28</v>
      </c>
      <c r="E190" s="10" t="s">
        <v>180</v>
      </c>
      <c r="F190" s="10">
        <v>2.5</v>
      </c>
      <c r="G190" s="10" t="s">
        <v>36</v>
      </c>
      <c r="H190" s="10">
        <v>86000</v>
      </c>
      <c r="I190" s="10">
        <f t="shared" si="14"/>
        <v>215000</v>
      </c>
      <c r="J190" s="29" t="s">
        <v>113</v>
      </c>
      <c r="K190" s="95" t="s">
        <v>159</v>
      </c>
      <c r="L190" s="12">
        <f t="shared" si="15"/>
        <v>215000</v>
      </c>
      <c r="M190" s="12">
        <v>215000</v>
      </c>
      <c r="N190" s="12"/>
      <c r="O190" s="12">
        <f t="shared" si="16"/>
        <v>0</v>
      </c>
      <c r="P190" s="12"/>
      <c r="Q190" s="12"/>
      <c r="R190" s="12">
        <f t="shared" si="17"/>
        <v>0</v>
      </c>
      <c r="S190" s="12"/>
      <c r="T190" s="12"/>
      <c r="U190" s="12">
        <f t="shared" si="18"/>
        <v>0</v>
      </c>
      <c r="V190" s="12"/>
      <c r="W190" s="12"/>
      <c r="X190" s="12">
        <f t="shared" si="19"/>
        <v>0</v>
      </c>
      <c r="Y190" s="12"/>
      <c r="Z190" s="12"/>
      <c r="AA190" s="13">
        <f t="shared" si="20"/>
        <v>0</v>
      </c>
      <c r="AB190" s="14">
        <v>46049</v>
      </c>
    </row>
    <row r="191" spans="1:28" ht="15.75" hidden="1" x14ac:dyDescent="0.25">
      <c r="A191" s="28">
        <v>46016</v>
      </c>
      <c r="B191" s="10" t="s">
        <v>109</v>
      </c>
      <c r="C191" s="10"/>
      <c r="D191" s="10" t="s">
        <v>28</v>
      </c>
      <c r="E191" s="10" t="s">
        <v>165</v>
      </c>
      <c r="F191" s="10">
        <v>2.5</v>
      </c>
      <c r="G191" s="10" t="s">
        <v>36</v>
      </c>
      <c r="H191" s="10">
        <v>82000</v>
      </c>
      <c r="I191" s="10">
        <f t="shared" si="14"/>
        <v>205000</v>
      </c>
      <c r="J191" s="29" t="s">
        <v>113</v>
      </c>
      <c r="K191" s="95" t="s">
        <v>159</v>
      </c>
      <c r="L191" s="12">
        <f t="shared" si="15"/>
        <v>205000</v>
      </c>
      <c r="M191" s="12">
        <v>205000</v>
      </c>
      <c r="N191" s="12"/>
      <c r="O191" s="12">
        <f t="shared" si="16"/>
        <v>0</v>
      </c>
      <c r="P191" s="12"/>
      <c r="Q191" s="12"/>
      <c r="R191" s="12">
        <f t="shared" si="17"/>
        <v>0</v>
      </c>
      <c r="S191" s="12"/>
      <c r="T191" s="12"/>
      <c r="U191" s="12">
        <f t="shared" si="18"/>
        <v>0</v>
      </c>
      <c r="V191" s="12"/>
      <c r="W191" s="12"/>
      <c r="X191" s="12">
        <f t="shared" si="19"/>
        <v>0</v>
      </c>
      <c r="Y191" s="12"/>
      <c r="Z191" s="12"/>
      <c r="AA191" s="13">
        <f t="shared" si="20"/>
        <v>0</v>
      </c>
      <c r="AB191" s="14">
        <v>46049</v>
      </c>
    </row>
    <row r="192" spans="1:28" ht="15.75" hidden="1" x14ac:dyDescent="0.25">
      <c r="A192" s="28">
        <v>46016</v>
      </c>
      <c r="B192" s="10" t="s">
        <v>124</v>
      </c>
      <c r="C192" s="10"/>
      <c r="D192" s="10" t="s">
        <v>32</v>
      </c>
      <c r="E192" s="10" t="s">
        <v>177</v>
      </c>
      <c r="F192" s="10">
        <v>2</v>
      </c>
      <c r="G192" s="10" t="s">
        <v>61</v>
      </c>
      <c r="H192" s="10">
        <v>450000</v>
      </c>
      <c r="I192" s="10">
        <f t="shared" si="14"/>
        <v>900000</v>
      </c>
      <c r="J192" s="52" t="s">
        <v>90</v>
      </c>
      <c r="K192" s="87" t="s">
        <v>159</v>
      </c>
      <c r="L192" s="12">
        <f t="shared" si="15"/>
        <v>0</v>
      </c>
      <c r="M192" s="12"/>
      <c r="N192" s="12"/>
      <c r="O192" s="12">
        <f t="shared" si="16"/>
        <v>0</v>
      </c>
      <c r="P192" s="12"/>
      <c r="Q192" s="12"/>
      <c r="R192" s="12">
        <f t="shared" si="17"/>
        <v>0</v>
      </c>
      <c r="S192" s="12"/>
      <c r="T192" s="12"/>
      <c r="U192" s="12">
        <f t="shared" si="18"/>
        <v>0</v>
      </c>
      <c r="V192" s="12"/>
      <c r="W192" s="12"/>
      <c r="X192" s="12">
        <f t="shared" si="19"/>
        <v>0</v>
      </c>
      <c r="Y192" s="12"/>
      <c r="Z192" s="12"/>
      <c r="AA192" s="13">
        <f t="shared" si="20"/>
        <v>900000</v>
      </c>
      <c r="AB192" s="14"/>
    </row>
    <row r="193" spans="1:28" ht="15.75" hidden="1" x14ac:dyDescent="0.25">
      <c r="A193" s="28">
        <v>46016</v>
      </c>
      <c r="B193" s="10" t="s">
        <v>197</v>
      </c>
      <c r="C193" s="10"/>
      <c r="D193" s="10" t="s">
        <v>206</v>
      </c>
      <c r="E193" s="10" t="s">
        <v>207</v>
      </c>
      <c r="F193" s="10">
        <v>300</v>
      </c>
      <c r="G193" s="10" t="s">
        <v>39</v>
      </c>
      <c r="H193" s="10">
        <v>3100</v>
      </c>
      <c r="I193" s="10">
        <f t="shared" si="14"/>
        <v>930000</v>
      </c>
      <c r="J193" s="29" t="s">
        <v>110</v>
      </c>
      <c r="K193" s="95" t="s">
        <v>159</v>
      </c>
      <c r="L193" s="12">
        <f t="shared" si="15"/>
        <v>0</v>
      </c>
      <c r="M193" s="12"/>
      <c r="N193" s="12"/>
      <c r="O193" s="12">
        <f t="shared" si="16"/>
        <v>930000</v>
      </c>
      <c r="P193" s="12"/>
      <c r="Q193" s="12">
        <v>930000</v>
      </c>
      <c r="R193" s="12">
        <f t="shared" si="17"/>
        <v>0</v>
      </c>
      <c r="S193" s="12"/>
      <c r="T193" s="12"/>
      <c r="U193" s="12">
        <f t="shared" si="18"/>
        <v>0</v>
      </c>
      <c r="V193" s="12"/>
      <c r="W193" s="12"/>
      <c r="X193" s="12">
        <f t="shared" si="19"/>
        <v>0</v>
      </c>
      <c r="Y193" s="12"/>
      <c r="Z193" s="12"/>
      <c r="AA193" s="13">
        <f t="shared" si="20"/>
        <v>0</v>
      </c>
      <c r="AB193" s="14">
        <v>46051</v>
      </c>
    </row>
    <row r="194" spans="1:28" ht="15.75" hidden="1" x14ac:dyDescent="0.25">
      <c r="A194" s="28">
        <v>46016</v>
      </c>
      <c r="B194" s="10" t="s">
        <v>208</v>
      </c>
      <c r="C194" s="10"/>
      <c r="D194" s="10" t="s">
        <v>32</v>
      </c>
      <c r="E194" s="10" t="s">
        <v>92</v>
      </c>
      <c r="F194" s="10">
        <v>34.4</v>
      </c>
      <c r="G194" s="10" t="s">
        <v>36</v>
      </c>
      <c r="H194" s="10">
        <v>43600</v>
      </c>
      <c r="I194" s="10">
        <f t="shared" si="14"/>
        <v>1499840</v>
      </c>
      <c r="J194" s="29" t="s">
        <v>113</v>
      </c>
      <c r="K194" s="71" t="s">
        <v>162</v>
      </c>
      <c r="L194" s="12">
        <f t="shared" si="15"/>
        <v>0</v>
      </c>
      <c r="M194" s="12"/>
      <c r="N194" s="12"/>
      <c r="O194" s="12">
        <f t="shared" si="16"/>
        <v>0</v>
      </c>
      <c r="P194" s="12"/>
      <c r="Q194" s="12"/>
      <c r="R194" s="12">
        <f t="shared" si="17"/>
        <v>0</v>
      </c>
      <c r="S194" s="12"/>
      <c r="T194" s="12"/>
      <c r="U194" s="12">
        <f t="shared" si="18"/>
        <v>1499840</v>
      </c>
      <c r="V194" s="12">
        <v>1499840</v>
      </c>
      <c r="W194" s="12"/>
      <c r="X194" s="12">
        <f t="shared" si="19"/>
        <v>0</v>
      </c>
      <c r="Y194" s="12"/>
      <c r="Z194" s="12"/>
      <c r="AA194" s="13">
        <f t="shared" si="20"/>
        <v>0</v>
      </c>
      <c r="AB194" s="14">
        <v>46027</v>
      </c>
    </row>
    <row r="195" spans="1:28" ht="15.75" hidden="1" x14ac:dyDescent="0.25">
      <c r="A195" s="28">
        <v>46017</v>
      </c>
      <c r="B195" s="10" t="s">
        <v>176</v>
      </c>
      <c r="C195" s="10"/>
      <c r="D195" s="10" t="s">
        <v>206</v>
      </c>
      <c r="E195" s="10" t="s">
        <v>209</v>
      </c>
      <c r="F195" s="10">
        <v>2</v>
      </c>
      <c r="G195" s="10" t="s">
        <v>61</v>
      </c>
      <c r="H195" s="10">
        <v>230000</v>
      </c>
      <c r="I195" s="10">
        <f t="shared" si="14"/>
        <v>460000</v>
      </c>
      <c r="J195" s="52" t="s">
        <v>30</v>
      </c>
      <c r="K195" s="87" t="s">
        <v>159</v>
      </c>
      <c r="L195" s="12">
        <f t="shared" si="15"/>
        <v>0</v>
      </c>
      <c r="M195" s="12"/>
      <c r="N195" s="12"/>
      <c r="O195" s="12">
        <f t="shared" si="16"/>
        <v>0</v>
      </c>
      <c r="P195" s="12"/>
      <c r="Q195" s="12"/>
      <c r="R195" s="12">
        <f t="shared" si="17"/>
        <v>0</v>
      </c>
      <c r="S195" s="12"/>
      <c r="T195" s="12"/>
      <c r="U195" s="12">
        <f t="shared" si="18"/>
        <v>0</v>
      </c>
      <c r="V195" s="12"/>
      <c r="W195" s="12"/>
      <c r="X195" s="12">
        <f t="shared" si="19"/>
        <v>0</v>
      </c>
      <c r="Y195" s="12"/>
      <c r="Z195" s="12"/>
      <c r="AA195" s="13">
        <f t="shared" si="20"/>
        <v>460000</v>
      </c>
      <c r="AB195" s="14"/>
    </row>
    <row r="196" spans="1:28" ht="15.75" hidden="1" x14ac:dyDescent="0.25">
      <c r="A196" s="28">
        <v>46017</v>
      </c>
      <c r="B196" s="10" t="s">
        <v>124</v>
      </c>
      <c r="C196" s="10"/>
      <c r="D196" s="10" t="s">
        <v>28</v>
      </c>
      <c r="E196" s="10" t="s">
        <v>160</v>
      </c>
      <c r="F196" s="10">
        <v>2</v>
      </c>
      <c r="G196" s="10" t="s">
        <v>22</v>
      </c>
      <c r="H196" s="10">
        <v>400000</v>
      </c>
      <c r="I196" s="10">
        <f t="shared" si="14"/>
        <v>800000</v>
      </c>
      <c r="J196" s="52" t="s">
        <v>90</v>
      </c>
      <c r="K196" s="87" t="s">
        <v>159</v>
      </c>
      <c r="L196" s="12">
        <f t="shared" si="15"/>
        <v>0</v>
      </c>
      <c r="M196" s="12"/>
      <c r="N196" s="12"/>
      <c r="O196" s="12">
        <f t="shared" si="16"/>
        <v>0</v>
      </c>
      <c r="P196" s="12"/>
      <c r="Q196" s="12"/>
      <c r="R196" s="12">
        <f t="shared" si="17"/>
        <v>0</v>
      </c>
      <c r="S196" s="12"/>
      <c r="T196" s="12"/>
      <c r="U196" s="12">
        <f t="shared" si="18"/>
        <v>0</v>
      </c>
      <c r="V196" s="12"/>
      <c r="W196" s="12"/>
      <c r="X196" s="12">
        <f t="shared" si="19"/>
        <v>0</v>
      </c>
      <c r="Y196" s="12"/>
      <c r="Z196" s="12"/>
      <c r="AA196" s="13">
        <f t="shared" si="20"/>
        <v>800000</v>
      </c>
      <c r="AB196" s="14"/>
    </row>
    <row r="197" spans="1:28" ht="15.75" hidden="1" x14ac:dyDescent="0.25">
      <c r="A197" s="28">
        <v>46018</v>
      </c>
      <c r="B197" s="10" t="s">
        <v>109</v>
      </c>
      <c r="C197" s="10"/>
      <c r="D197" s="10" t="s">
        <v>28</v>
      </c>
      <c r="E197" s="10" t="s">
        <v>65</v>
      </c>
      <c r="F197" s="10">
        <v>1000</v>
      </c>
      <c r="G197" s="10" t="s">
        <v>26</v>
      </c>
      <c r="H197" s="10">
        <v>4000</v>
      </c>
      <c r="I197" s="10">
        <f t="shared" si="14"/>
        <v>4000000</v>
      </c>
      <c r="J197" s="29" t="s">
        <v>113</v>
      </c>
      <c r="K197" s="95" t="s">
        <v>159</v>
      </c>
      <c r="L197" s="12">
        <f t="shared" si="15"/>
        <v>4000000</v>
      </c>
      <c r="M197" s="12">
        <v>4000000</v>
      </c>
      <c r="N197" s="12"/>
      <c r="O197" s="12">
        <f t="shared" si="16"/>
        <v>0</v>
      </c>
      <c r="P197" s="12"/>
      <c r="Q197" s="12"/>
      <c r="R197" s="12">
        <f t="shared" si="17"/>
        <v>0</v>
      </c>
      <c r="S197" s="12"/>
      <c r="T197" s="12"/>
      <c r="U197" s="12">
        <f t="shared" si="18"/>
        <v>0</v>
      </c>
      <c r="V197" s="12"/>
      <c r="W197" s="12"/>
      <c r="X197" s="12">
        <f t="shared" si="19"/>
        <v>0</v>
      </c>
      <c r="Y197" s="12"/>
      <c r="Z197" s="12"/>
      <c r="AA197" s="13">
        <f t="shared" si="20"/>
        <v>0</v>
      </c>
      <c r="AB197" s="14">
        <v>46049</v>
      </c>
    </row>
    <row r="198" spans="1:28" ht="15.75" hidden="1" x14ac:dyDescent="0.25">
      <c r="A198" s="28">
        <v>46018</v>
      </c>
      <c r="B198" s="10" t="s">
        <v>56</v>
      </c>
      <c r="C198" s="10"/>
      <c r="D198" s="10" t="s">
        <v>28</v>
      </c>
      <c r="E198" s="10" t="s">
        <v>198</v>
      </c>
      <c r="F198" s="10">
        <v>32.9</v>
      </c>
      <c r="G198" s="10" t="s">
        <v>36</v>
      </c>
      <c r="H198" s="10">
        <v>43000</v>
      </c>
      <c r="I198" s="10">
        <f t="shared" si="14"/>
        <v>1414700</v>
      </c>
      <c r="J198" s="29" t="s">
        <v>110</v>
      </c>
      <c r="K198" s="71" t="s">
        <v>162</v>
      </c>
      <c r="L198" s="12">
        <f t="shared" si="15"/>
        <v>0</v>
      </c>
      <c r="M198" s="12"/>
      <c r="N198" s="12"/>
      <c r="O198" s="12">
        <f t="shared" si="16"/>
        <v>1414700</v>
      </c>
      <c r="P198" s="12">
        <v>1414700</v>
      </c>
      <c r="Q198" s="12"/>
      <c r="R198" s="12">
        <f t="shared" si="17"/>
        <v>0</v>
      </c>
      <c r="S198" s="12"/>
      <c r="T198" s="12"/>
      <c r="U198" s="12">
        <f t="shared" si="18"/>
        <v>0</v>
      </c>
      <c r="V198" s="12"/>
      <c r="W198" s="12"/>
      <c r="X198" s="12">
        <f t="shared" si="19"/>
        <v>0</v>
      </c>
      <c r="Y198" s="12"/>
      <c r="Z198" s="12"/>
      <c r="AA198" s="13">
        <f t="shared" si="20"/>
        <v>0</v>
      </c>
      <c r="AB198" s="14">
        <v>46050</v>
      </c>
    </row>
    <row r="199" spans="1:28" ht="15.75" hidden="1" x14ac:dyDescent="0.25">
      <c r="A199" s="28">
        <v>46018</v>
      </c>
      <c r="B199" s="10" t="s">
        <v>56</v>
      </c>
      <c r="C199" s="10"/>
      <c r="D199" s="10" t="s">
        <v>28</v>
      </c>
      <c r="E199" s="10" t="s">
        <v>80</v>
      </c>
      <c r="F199" s="10">
        <v>21.9</v>
      </c>
      <c r="G199" s="10" t="s">
        <v>36</v>
      </c>
      <c r="H199" s="10">
        <v>43000</v>
      </c>
      <c r="I199" s="10">
        <f t="shared" ref="I199:I262" si="21">F199*H199</f>
        <v>941699.99999999988</v>
      </c>
      <c r="J199" s="52" t="s">
        <v>90</v>
      </c>
      <c r="K199" s="62" t="s">
        <v>162</v>
      </c>
      <c r="L199" s="12">
        <f t="shared" ref="L199:L215" si="22">M199+N199</f>
        <v>0</v>
      </c>
      <c r="M199" s="12"/>
      <c r="N199" s="12"/>
      <c r="O199" s="12">
        <f t="shared" ref="O199:O215" si="23">P199+Q199</f>
        <v>431500</v>
      </c>
      <c r="P199" s="12">
        <v>431500</v>
      </c>
      <c r="Q199" s="12"/>
      <c r="R199" s="12">
        <f t="shared" ref="R199:R215" si="24">S199+T199</f>
        <v>0</v>
      </c>
      <c r="S199" s="12"/>
      <c r="T199" s="12"/>
      <c r="U199" s="12">
        <f t="shared" ref="U199:U215" si="25">V199+W199</f>
        <v>0</v>
      </c>
      <c r="V199" s="12"/>
      <c r="W199" s="12"/>
      <c r="X199" s="12">
        <f t="shared" ref="X199:X215" si="26">Y199+Z199</f>
        <v>0</v>
      </c>
      <c r="Y199" s="12"/>
      <c r="Z199" s="12"/>
      <c r="AA199" s="13">
        <f t="shared" ref="AA199:AA215" si="27">C199+I199-L199-O199-U199-X199-R199</f>
        <v>510199.99999999988</v>
      </c>
      <c r="AB199" s="14">
        <v>46050</v>
      </c>
    </row>
    <row r="200" spans="1:28" ht="15.75" hidden="1" x14ac:dyDescent="0.25">
      <c r="A200" s="28">
        <v>46018</v>
      </c>
      <c r="B200" s="10" t="s">
        <v>56</v>
      </c>
      <c r="C200" s="10"/>
      <c r="D200" s="10" t="s">
        <v>28</v>
      </c>
      <c r="E200" s="10" t="s">
        <v>139</v>
      </c>
      <c r="F200" s="10">
        <v>19</v>
      </c>
      <c r="G200" s="10" t="s">
        <v>36</v>
      </c>
      <c r="H200" s="10">
        <v>43000</v>
      </c>
      <c r="I200" s="10">
        <f t="shared" si="21"/>
        <v>817000</v>
      </c>
      <c r="J200" s="52" t="s">
        <v>90</v>
      </c>
      <c r="K200" s="62" t="s">
        <v>162</v>
      </c>
      <c r="L200" s="12">
        <f t="shared" si="22"/>
        <v>0</v>
      </c>
      <c r="M200" s="12"/>
      <c r="N200" s="12"/>
      <c r="O200" s="12">
        <f t="shared" si="23"/>
        <v>0</v>
      </c>
      <c r="P200" s="12"/>
      <c r="Q200" s="12"/>
      <c r="R200" s="12">
        <f t="shared" si="24"/>
        <v>0</v>
      </c>
      <c r="S200" s="12"/>
      <c r="T200" s="12"/>
      <c r="U200" s="12">
        <f t="shared" si="25"/>
        <v>0</v>
      </c>
      <c r="V200" s="12"/>
      <c r="W200" s="12"/>
      <c r="X200" s="12">
        <f t="shared" si="26"/>
        <v>0</v>
      </c>
      <c r="Y200" s="12"/>
      <c r="Z200" s="12"/>
      <c r="AA200" s="13">
        <f t="shared" si="27"/>
        <v>817000</v>
      </c>
      <c r="AB200" s="14"/>
    </row>
    <row r="201" spans="1:28" ht="15.75" hidden="1" x14ac:dyDescent="0.25">
      <c r="A201" s="28">
        <v>46020</v>
      </c>
      <c r="B201" s="10" t="s">
        <v>210</v>
      </c>
      <c r="C201" s="10"/>
      <c r="D201" s="10" t="s">
        <v>206</v>
      </c>
      <c r="E201" s="10" t="s">
        <v>211</v>
      </c>
      <c r="F201" s="10">
        <v>2.5</v>
      </c>
      <c r="G201" s="10" t="s">
        <v>36</v>
      </c>
      <c r="H201" s="10">
        <v>100000</v>
      </c>
      <c r="I201" s="10">
        <f t="shared" si="21"/>
        <v>250000</v>
      </c>
      <c r="J201" s="29" t="s">
        <v>110</v>
      </c>
      <c r="K201" s="71" t="s">
        <v>212</v>
      </c>
      <c r="L201" s="12">
        <f t="shared" si="22"/>
        <v>0</v>
      </c>
      <c r="M201" s="12"/>
      <c r="N201" s="12"/>
      <c r="O201" s="12">
        <f t="shared" si="23"/>
        <v>250000</v>
      </c>
      <c r="P201" s="12">
        <v>250000</v>
      </c>
      <c r="Q201" s="12"/>
      <c r="R201" s="12">
        <f t="shared" si="24"/>
        <v>0</v>
      </c>
      <c r="S201" s="12"/>
      <c r="T201" s="12"/>
      <c r="U201" s="12">
        <f t="shared" si="25"/>
        <v>0</v>
      </c>
      <c r="V201" s="12"/>
      <c r="W201" s="12"/>
      <c r="X201" s="12">
        <f t="shared" si="26"/>
        <v>0</v>
      </c>
      <c r="Y201" s="12"/>
      <c r="Z201" s="12"/>
      <c r="AA201" s="13">
        <f t="shared" si="27"/>
        <v>0</v>
      </c>
      <c r="AB201" s="14">
        <v>46021</v>
      </c>
    </row>
    <row r="202" spans="1:28" ht="15.75" hidden="1" x14ac:dyDescent="0.25">
      <c r="A202" s="28">
        <v>46020</v>
      </c>
      <c r="B202" s="10" t="s">
        <v>124</v>
      </c>
      <c r="C202" s="10"/>
      <c r="D202" s="10" t="s">
        <v>32</v>
      </c>
      <c r="E202" s="10" t="s">
        <v>138</v>
      </c>
      <c r="F202" s="10">
        <v>1</v>
      </c>
      <c r="G202" s="10" t="s">
        <v>61</v>
      </c>
      <c r="H202" s="10">
        <v>300000</v>
      </c>
      <c r="I202" s="10">
        <f t="shared" si="21"/>
        <v>300000</v>
      </c>
      <c r="J202" s="52" t="s">
        <v>90</v>
      </c>
      <c r="K202" s="88" t="s">
        <v>171</v>
      </c>
      <c r="L202" s="12">
        <f t="shared" si="22"/>
        <v>0</v>
      </c>
      <c r="M202" s="12"/>
      <c r="N202" s="12"/>
      <c r="O202" s="12">
        <f t="shared" si="23"/>
        <v>0</v>
      </c>
      <c r="P202" s="12"/>
      <c r="Q202" s="12"/>
      <c r="R202" s="12">
        <f t="shared" si="24"/>
        <v>0</v>
      </c>
      <c r="S202" s="12"/>
      <c r="T202" s="12"/>
      <c r="U202" s="12">
        <f t="shared" si="25"/>
        <v>0</v>
      </c>
      <c r="V202" s="12"/>
      <c r="W202" s="12"/>
      <c r="X202" s="12">
        <f t="shared" si="26"/>
        <v>0</v>
      </c>
      <c r="Y202" s="12"/>
      <c r="Z202" s="12"/>
      <c r="AA202" s="13">
        <f t="shared" si="27"/>
        <v>300000</v>
      </c>
      <c r="AB202" s="14"/>
    </row>
    <row r="203" spans="1:28" ht="16.5" hidden="1" thickBot="1" x14ac:dyDescent="0.3">
      <c r="A203" s="30">
        <v>46020</v>
      </c>
      <c r="B203" s="31" t="s">
        <v>144</v>
      </c>
      <c r="C203" s="31"/>
      <c r="D203" s="31" t="s">
        <v>206</v>
      </c>
      <c r="E203" s="31" t="s">
        <v>164</v>
      </c>
      <c r="F203" s="31">
        <v>68.400000000000006</v>
      </c>
      <c r="G203" s="31" t="s">
        <v>36</v>
      </c>
      <c r="H203" s="31">
        <v>43000</v>
      </c>
      <c r="I203" s="31">
        <f t="shared" si="21"/>
        <v>2941200.0000000005</v>
      </c>
      <c r="J203" s="64" t="s">
        <v>90</v>
      </c>
      <c r="K203" s="89" t="s">
        <v>171</v>
      </c>
      <c r="L203" s="34">
        <f t="shared" si="22"/>
        <v>0</v>
      </c>
      <c r="M203" s="34"/>
      <c r="N203" s="34"/>
      <c r="O203" s="34">
        <f t="shared" si="23"/>
        <v>0</v>
      </c>
      <c r="P203" s="34"/>
      <c r="Q203" s="34"/>
      <c r="R203" s="34">
        <f t="shared" si="24"/>
        <v>0</v>
      </c>
      <c r="S203" s="34"/>
      <c r="T203" s="34"/>
      <c r="U203" s="34">
        <f t="shared" si="25"/>
        <v>0</v>
      </c>
      <c r="V203" s="34"/>
      <c r="W203" s="34"/>
      <c r="X203" s="34">
        <f t="shared" si="26"/>
        <v>0</v>
      </c>
      <c r="Y203" s="34"/>
      <c r="Z203" s="34"/>
      <c r="AA203" s="35">
        <f t="shared" si="27"/>
        <v>2941200.0000000005</v>
      </c>
      <c r="AB203" s="36"/>
    </row>
    <row r="204" spans="1:28" ht="15.75" hidden="1" x14ac:dyDescent="0.25">
      <c r="A204" s="28">
        <v>46025</v>
      </c>
      <c r="B204" s="10" t="s">
        <v>213</v>
      </c>
      <c r="C204" s="10"/>
      <c r="D204" s="10" t="s">
        <v>195</v>
      </c>
      <c r="E204" s="10" t="s">
        <v>214</v>
      </c>
      <c r="F204" s="10">
        <v>100</v>
      </c>
      <c r="G204" s="10" t="s">
        <v>39</v>
      </c>
      <c r="H204" s="10">
        <v>1700</v>
      </c>
      <c r="I204" s="45">
        <f t="shared" si="21"/>
        <v>170000</v>
      </c>
      <c r="J204" s="29" t="s">
        <v>113</v>
      </c>
      <c r="K204" s="10" t="s">
        <v>171</v>
      </c>
      <c r="L204" s="48">
        <f t="shared" si="22"/>
        <v>0</v>
      </c>
      <c r="M204" s="48"/>
      <c r="N204" s="48"/>
      <c r="O204" s="48">
        <f t="shared" si="23"/>
        <v>0</v>
      </c>
      <c r="P204" s="48"/>
      <c r="Q204" s="48"/>
      <c r="R204" s="48">
        <f t="shared" si="24"/>
        <v>0</v>
      </c>
      <c r="S204" s="48"/>
      <c r="T204" s="48"/>
      <c r="U204" s="48">
        <f t="shared" si="25"/>
        <v>170000</v>
      </c>
      <c r="V204" s="48">
        <v>170000</v>
      </c>
      <c r="W204" s="48"/>
      <c r="X204" s="48">
        <f t="shared" si="26"/>
        <v>0</v>
      </c>
      <c r="Y204" s="48"/>
      <c r="Z204" s="48"/>
      <c r="AA204" s="49">
        <f t="shared" si="27"/>
        <v>0</v>
      </c>
      <c r="AB204" s="50">
        <v>46027</v>
      </c>
    </row>
    <row r="205" spans="1:28" ht="15.75" hidden="1" x14ac:dyDescent="0.25">
      <c r="A205" s="28">
        <v>46025</v>
      </c>
      <c r="B205" s="10" t="s">
        <v>215</v>
      </c>
      <c r="C205" s="10"/>
      <c r="D205" s="10" t="s">
        <v>195</v>
      </c>
      <c r="E205" s="10" t="s">
        <v>214</v>
      </c>
      <c r="F205" s="10">
        <v>200</v>
      </c>
      <c r="G205" s="10" t="s">
        <v>39</v>
      </c>
      <c r="H205" s="10">
        <v>1700</v>
      </c>
      <c r="I205" s="10">
        <f t="shared" si="21"/>
        <v>340000</v>
      </c>
      <c r="J205" s="29" t="s">
        <v>113</v>
      </c>
      <c r="K205" s="10"/>
      <c r="L205" s="12">
        <f t="shared" si="22"/>
        <v>0</v>
      </c>
      <c r="M205" s="12"/>
      <c r="N205" s="12"/>
      <c r="O205" s="12">
        <f t="shared" si="23"/>
        <v>0</v>
      </c>
      <c r="P205" s="12"/>
      <c r="Q205" s="12"/>
      <c r="R205" s="12">
        <f t="shared" si="24"/>
        <v>0</v>
      </c>
      <c r="S205" s="12"/>
      <c r="T205" s="12"/>
      <c r="U205" s="12">
        <f t="shared" si="25"/>
        <v>340000</v>
      </c>
      <c r="V205" s="12">
        <v>340000</v>
      </c>
      <c r="W205" s="12"/>
      <c r="X205" s="12">
        <f t="shared" si="26"/>
        <v>0</v>
      </c>
      <c r="Y205" s="12"/>
      <c r="Z205" s="12"/>
      <c r="AA205" s="13">
        <f t="shared" si="27"/>
        <v>0</v>
      </c>
      <c r="AB205" s="14">
        <v>46021</v>
      </c>
    </row>
    <row r="206" spans="1:28" ht="15.75" hidden="1" x14ac:dyDescent="0.25">
      <c r="A206" s="28">
        <v>46025</v>
      </c>
      <c r="B206" s="10" t="s">
        <v>216</v>
      </c>
      <c r="C206" s="10"/>
      <c r="D206" s="10" t="s">
        <v>32</v>
      </c>
      <c r="E206" s="10" t="s">
        <v>214</v>
      </c>
      <c r="F206" s="10">
        <v>1000</v>
      </c>
      <c r="G206" s="10" t="s">
        <v>39</v>
      </c>
      <c r="H206" s="10">
        <v>1600</v>
      </c>
      <c r="I206" s="10">
        <f t="shared" si="21"/>
        <v>1600000</v>
      </c>
      <c r="J206" s="29" t="s">
        <v>217</v>
      </c>
      <c r="K206" s="10"/>
      <c r="L206" s="12">
        <f t="shared" si="22"/>
        <v>0</v>
      </c>
      <c r="M206" s="12"/>
      <c r="N206" s="12"/>
      <c r="O206" s="12">
        <f t="shared" si="23"/>
        <v>0</v>
      </c>
      <c r="P206" s="12"/>
      <c r="Q206" s="12"/>
      <c r="R206" s="12">
        <f t="shared" si="24"/>
        <v>0</v>
      </c>
      <c r="S206" s="12"/>
      <c r="T206" s="12"/>
      <c r="U206" s="12">
        <f t="shared" si="25"/>
        <v>0</v>
      </c>
      <c r="V206" s="12"/>
      <c r="W206" s="12"/>
      <c r="X206" s="12">
        <f t="shared" si="26"/>
        <v>1600000</v>
      </c>
      <c r="Y206" s="12">
        <v>1600000</v>
      </c>
      <c r="Z206" s="12"/>
      <c r="AA206" s="13">
        <f t="shared" si="27"/>
        <v>0</v>
      </c>
      <c r="AB206" s="14">
        <v>46021</v>
      </c>
    </row>
    <row r="207" spans="1:28" ht="15.75" hidden="1" x14ac:dyDescent="0.25">
      <c r="A207" s="28">
        <v>46025</v>
      </c>
      <c r="B207" s="10" t="s">
        <v>218</v>
      </c>
      <c r="C207" s="10"/>
      <c r="D207" s="10" t="s">
        <v>32</v>
      </c>
      <c r="E207" s="10" t="s">
        <v>177</v>
      </c>
      <c r="F207" s="10">
        <v>1</v>
      </c>
      <c r="G207" s="10" t="s">
        <v>61</v>
      </c>
      <c r="H207" s="10">
        <v>450000</v>
      </c>
      <c r="I207" s="10">
        <f t="shared" si="21"/>
        <v>450000</v>
      </c>
      <c r="J207" s="29" t="s">
        <v>113</v>
      </c>
      <c r="K207" s="10"/>
      <c r="L207" s="12">
        <f t="shared" si="22"/>
        <v>0</v>
      </c>
      <c r="M207" s="12"/>
      <c r="N207" s="12"/>
      <c r="O207" s="12">
        <f t="shared" si="23"/>
        <v>0</v>
      </c>
      <c r="P207" s="12"/>
      <c r="Q207" s="12"/>
      <c r="R207" s="12">
        <f t="shared" si="24"/>
        <v>0</v>
      </c>
      <c r="S207" s="12"/>
      <c r="T207" s="12"/>
      <c r="U207" s="12">
        <f t="shared" si="25"/>
        <v>450000</v>
      </c>
      <c r="V207" s="12">
        <v>450000</v>
      </c>
      <c r="W207" s="12"/>
      <c r="X207" s="12">
        <f t="shared" si="26"/>
        <v>0</v>
      </c>
      <c r="Y207" s="12"/>
      <c r="Z207" s="12"/>
      <c r="AA207" s="13">
        <f t="shared" si="27"/>
        <v>0</v>
      </c>
      <c r="AB207" s="14">
        <v>46021</v>
      </c>
    </row>
    <row r="208" spans="1:28" ht="15.75" hidden="1" x14ac:dyDescent="0.25">
      <c r="A208" s="28">
        <v>46025</v>
      </c>
      <c r="B208" s="10" t="s">
        <v>219</v>
      </c>
      <c r="C208" s="10"/>
      <c r="D208" s="10" t="s">
        <v>206</v>
      </c>
      <c r="E208" s="10" t="s">
        <v>220</v>
      </c>
      <c r="F208" s="10">
        <v>1</v>
      </c>
      <c r="G208" s="10" t="s">
        <v>192</v>
      </c>
      <c r="H208" s="10">
        <v>900000</v>
      </c>
      <c r="I208" s="10">
        <f t="shared" si="21"/>
        <v>900000</v>
      </c>
      <c r="J208" s="29" t="s">
        <v>113</v>
      </c>
      <c r="K208" s="10"/>
      <c r="L208" s="12">
        <f t="shared" si="22"/>
        <v>900000</v>
      </c>
      <c r="M208" s="12">
        <v>900000</v>
      </c>
      <c r="N208" s="12"/>
      <c r="O208" s="12">
        <f t="shared" si="23"/>
        <v>0</v>
      </c>
      <c r="P208" s="12"/>
      <c r="Q208" s="12"/>
      <c r="R208" s="12">
        <f t="shared" si="24"/>
        <v>0</v>
      </c>
      <c r="S208" s="12"/>
      <c r="T208" s="12"/>
      <c r="U208" s="12">
        <f t="shared" si="25"/>
        <v>0</v>
      </c>
      <c r="V208" s="12"/>
      <c r="W208" s="12"/>
      <c r="X208" s="12">
        <f t="shared" si="26"/>
        <v>0</v>
      </c>
      <c r="Y208" s="12"/>
      <c r="Z208" s="12"/>
      <c r="AA208" s="13">
        <f t="shared" si="27"/>
        <v>0</v>
      </c>
      <c r="AB208" s="14">
        <v>46021</v>
      </c>
    </row>
    <row r="209" spans="1:28" ht="15.75" hidden="1" x14ac:dyDescent="0.25">
      <c r="A209" s="28">
        <v>46025</v>
      </c>
      <c r="B209" s="10" t="s">
        <v>158</v>
      </c>
      <c r="C209" s="10"/>
      <c r="D209" s="10" t="s">
        <v>28</v>
      </c>
      <c r="E209" s="10" t="s">
        <v>116</v>
      </c>
      <c r="F209" s="10">
        <v>4</v>
      </c>
      <c r="G209" s="10" t="s">
        <v>67</v>
      </c>
      <c r="H209" s="10">
        <v>65000</v>
      </c>
      <c r="I209" s="10">
        <f t="shared" si="21"/>
        <v>260000</v>
      </c>
      <c r="J209" s="29" t="s">
        <v>110</v>
      </c>
      <c r="K209" s="10" t="s">
        <v>171</v>
      </c>
      <c r="L209" s="12">
        <f t="shared" si="22"/>
        <v>0</v>
      </c>
      <c r="M209" s="12"/>
      <c r="N209" s="12"/>
      <c r="O209" s="12">
        <f t="shared" si="23"/>
        <v>0</v>
      </c>
      <c r="P209" s="12"/>
      <c r="Q209" s="12"/>
      <c r="R209" s="12">
        <f t="shared" si="24"/>
        <v>260000</v>
      </c>
      <c r="S209" s="12">
        <v>260000</v>
      </c>
      <c r="T209" s="12"/>
      <c r="U209" s="12">
        <f t="shared" si="25"/>
        <v>0</v>
      </c>
      <c r="V209" s="12"/>
      <c r="W209" s="12"/>
      <c r="X209" s="12">
        <f t="shared" si="26"/>
        <v>0</v>
      </c>
      <c r="Y209" s="12"/>
      <c r="Z209" s="12"/>
      <c r="AA209" s="13">
        <f t="shared" si="27"/>
        <v>0</v>
      </c>
      <c r="AB209" s="14">
        <v>46027</v>
      </c>
    </row>
    <row r="210" spans="1:28" ht="15.75" hidden="1" x14ac:dyDescent="0.25">
      <c r="A210" s="28">
        <v>46025</v>
      </c>
      <c r="B210" s="10" t="s">
        <v>221</v>
      </c>
      <c r="C210" s="10"/>
      <c r="D210" s="10" t="s">
        <v>32</v>
      </c>
      <c r="E210" s="10" t="s">
        <v>86</v>
      </c>
      <c r="F210" s="10">
        <v>29.4</v>
      </c>
      <c r="G210" s="10" t="s">
        <v>36</v>
      </c>
      <c r="H210" s="10">
        <v>43000</v>
      </c>
      <c r="I210" s="10">
        <f t="shared" si="21"/>
        <v>1264200</v>
      </c>
      <c r="J210" s="29" t="s">
        <v>110</v>
      </c>
      <c r="K210" s="10" t="s">
        <v>171</v>
      </c>
      <c r="L210" s="12">
        <f t="shared" si="22"/>
        <v>0</v>
      </c>
      <c r="M210" s="12"/>
      <c r="N210" s="12"/>
      <c r="O210" s="12">
        <f t="shared" si="23"/>
        <v>1264200</v>
      </c>
      <c r="P210" s="12">
        <v>1264200</v>
      </c>
      <c r="Q210" s="12"/>
      <c r="R210" s="12">
        <f t="shared" si="24"/>
        <v>0</v>
      </c>
      <c r="S210" s="12"/>
      <c r="T210" s="12"/>
      <c r="U210" s="12">
        <f t="shared" si="25"/>
        <v>0</v>
      </c>
      <c r="V210" s="12"/>
      <c r="W210" s="12"/>
      <c r="X210" s="12">
        <f t="shared" si="26"/>
        <v>0</v>
      </c>
      <c r="Y210" s="12"/>
      <c r="Z210" s="12"/>
      <c r="AA210" s="13">
        <f t="shared" si="27"/>
        <v>0</v>
      </c>
      <c r="AB210" s="14">
        <v>46029</v>
      </c>
    </row>
    <row r="211" spans="1:28" ht="15.75" hidden="1" x14ac:dyDescent="0.25">
      <c r="A211" s="28">
        <v>46025</v>
      </c>
      <c r="B211" s="10" t="s">
        <v>222</v>
      </c>
      <c r="C211" s="10"/>
      <c r="D211" s="10" t="s">
        <v>195</v>
      </c>
      <c r="E211" s="10" t="s">
        <v>104</v>
      </c>
      <c r="F211" s="10">
        <v>2600</v>
      </c>
      <c r="G211" s="10" t="s">
        <v>26</v>
      </c>
      <c r="H211" s="10">
        <v>1900</v>
      </c>
      <c r="I211" s="10">
        <f t="shared" si="21"/>
        <v>4940000</v>
      </c>
      <c r="J211" s="29" t="s">
        <v>110</v>
      </c>
      <c r="K211" s="10" t="s">
        <v>171</v>
      </c>
      <c r="L211" s="12">
        <f t="shared" si="22"/>
        <v>0</v>
      </c>
      <c r="M211" s="12"/>
      <c r="N211" s="12"/>
      <c r="O211" s="12">
        <f t="shared" si="23"/>
        <v>4940000</v>
      </c>
      <c r="P211" s="12">
        <v>4940000</v>
      </c>
      <c r="Q211" s="12"/>
      <c r="R211" s="12">
        <f t="shared" si="24"/>
        <v>0</v>
      </c>
      <c r="S211" s="12"/>
      <c r="T211" s="12"/>
      <c r="U211" s="12">
        <f t="shared" si="25"/>
        <v>0</v>
      </c>
      <c r="V211" s="12"/>
      <c r="W211" s="12"/>
      <c r="X211" s="12">
        <f t="shared" si="26"/>
        <v>0</v>
      </c>
      <c r="Y211" s="12"/>
      <c r="Z211" s="12"/>
      <c r="AA211" s="13">
        <f t="shared" si="27"/>
        <v>0</v>
      </c>
      <c r="AB211" s="14">
        <v>46029</v>
      </c>
    </row>
    <row r="212" spans="1:28" ht="15.75" hidden="1" x14ac:dyDescent="0.25">
      <c r="A212" s="28">
        <v>46025</v>
      </c>
      <c r="B212" s="10" t="s">
        <v>223</v>
      </c>
      <c r="C212" s="10"/>
      <c r="D212" s="10" t="s">
        <v>32</v>
      </c>
      <c r="E212" s="10" t="s">
        <v>104</v>
      </c>
      <c r="F212" s="10">
        <v>4000</v>
      </c>
      <c r="G212" s="10" t="s">
        <v>26</v>
      </c>
      <c r="H212" s="10">
        <v>1750</v>
      </c>
      <c r="I212" s="10">
        <f t="shared" si="21"/>
        <v>7000000</v>
      </c>
      <c r="J212" s="29" t="s">
        <v>113</v>
      </c>
      <c r="K212" s="10"/>
      <c r="L212" s="12">
        <f t="shared" si="22"/>
        <v>7000000</v>
      </c>
      <c r="M212" s="12">
        <v>7000000</v>
      </c>
      <c r="N212" s="12"/>
      <c r="O212" s="12">
        <f t="shared" si="23"/>
        <v>0</v>
      </c>
      <c r="P212" s="12"/>
      <c r="Q212" s="12"/>
      <c r="R212" s="12">
        <f t="shared" si="24"/>
        <v>0</v>
      </c>
      <c r="S212" s="12"/>
      <c r="T212" s="12"/>
      <c r="U212" s="12">
        <f t="shared" si="25"/>
        <v>0</v>
      </c>
      <c r="V212" s="12"/>
      <c r="W212" s="12"/>
      <c r="X212" s="12">
        <f t="shared" si="26"/>
        <v>0</v>
      </c>
      <c r="Y212" s="12"/>
      <c r="Z212" s="12"/>
      <c r="AA212" s="13">
        <f t="shared" si="27"/>
        <v>0</v>
      </c>
      <c r="AB212" s="14">
        <v>46027</v>
      </c>
    </row>
    <row r="213" spans="1:28" ht="15.75" hidden="1" x14ac:dyDescent="0.25">
      <c r="A213" s="28">
        <v>46025</v>
      </c>
      <c r="B213" s="10" t="s">
        <v>210</v>
      </c>
      <c r="C213" s="10"/>
      <c r="D213" s="10" t="s">
        <v>32</v>
      </c>
      <c r="E213" s="10" t="s">
        <v>211</v>
      </c>
      <c r="F213" s="10">
        <v>2.5</v>
      </c>
      <c r="G213" s="10" t="s">
        <v>36</v>
      </c>
      <c r="H213" s="10">
        <v>100000</v>
      </c>
      <c r="I213" s="10">
        <f t="shared" si="21"/>
        <v>250000</v>
      </c>
      <c r="J213" s="29" t="s">
        <v>110</v>
      </c>
      <c r="K213" s="10" t="s">
        <v>171</v>
      </c>
      <c r="L213" s="12">
        <f t="shared" si="22"/>
        <v>0</v>
      </c>
      <c r="M213" s="12"/>
      <c r="N213" s="12"/>
      <c r="O213" s="12">
        <f t="shared" si="23"/>
        <v>250000</v>
      </c>
      <c r="P213" s="12">
        <v>250000</v>
      </c>
      <c r="Q213" s="12"/>
      <c r="R213" s="12">
        <f t="shared" si="24"/>
        <v>0</v>
      </c>
      <c r="S213" s="12"/>
      <c r="T213" s="12"/>
      <c r="U213" s="12">
        <f t="shared" si="25"/>
        <v>0</v>
      </c>
      <c r="V213" s="12"/>
      <c r="W213" s="12"/>
      <c r="X213" s="12">
        <f t="shared" si="26"/>
        <v>0</v>
      </c>
      <c r="Y213" s="12"/>
      <c r="Z213" s="12"/>
      <c r="AA213" s="13">
        <f t="shared" si="27"/>
        <v>0</v>
      </c>
      <c r="AB213" s="14">
        <v>46027</v>
      </c>
    </row>
    <row r="214" spans="1:28" ht="16.5" hidden="1" thickBot="1" x14ac:dyDescent="0.3">
      <c r="A214" s="30">
        <v>46025</v>
      </c>
      <c r="B214" s="31" t="s">
        <v>194</v>
      </c>
      <c r="C214" s="31"/>
      <c r="D214" s="31" t="s">
        <v>32</v>
      </c>
      <c r="E214" s="31" t="s">
        <v>224</v>
      </c>
      <c r="F214" s="31">
        <v>100</v>
      </c>
      <c r="G214" s="31" t="s">
        <v>39</v>
      </c>
      <c r="H214" s="31">
        <v>3000</v>
      </c>
      <c r="I214" s="147">
        <f t="shared" si="21"/>
        <v>300000</v>
      </c>
      <c r="J214" s="51" t="s">
        <v>113</v>
      </c>
      <c r="K214" s="31"/>
      <c r="L214" s="34">
        <f t="shared" si="22"/>
        <v>0</v>
      </c>
      <c r="M214" s="34"/>
      <c r="N214" s="34"/>
      <c r="O214" s="34">
        <f t="shared" si="23"/>
        <v>0</v>
      </c>
      <c r="P214" s="34"/>
      <c r="Q214" s="34"/>
      <c r="R214" s="34">
        <f t="shared" si="24"/>
        <v>0</v>
      </c>
      <c r="S214" s="34"/>
      <c r="T214" s="34"/>
      <c r="U214" s="34">
        <f t="shared" si="25"/>
        <v>300000</v>
      </c>
      <c r="V214" s="34">
        <v>300000</v>
      </c>
      <c r="W214" s="34"/>
      <c r="X214" s="34">
        <f t="shared" si="26"/>
        <v>0</v>
      </c>
      <c r="Y214" s="34"/>
      <c r="Z214" s="34"/>
      <c r="AA214" s="35">
        <f t="shared" si="27"/>
        <v>0</v>
      </c>
      <c r="AB214" s="36">
        <v>46009</v>
      </c>
    </row>
    <row r="215" spans="1:28" ht="15.75" hidden="1" x14ac:dyDescent="0.25">
      <c r="A215" s="65">
        <v>46027</v>
      </c>
      <c r="B215" s="66" t="s">
        <v>225</v>
      </c>
      <c r="C215" s="66"/>
      <c r="D215" s="66" t="s">
        <v>28</v>
      </c>
      <c r="E215" s="66" t="s">
        <v>226</v>
      </c>
      <c r="F215" s="66">
        <v>489.4</v>
      </c>
      <c r="G215" s="66" t="s">
        <v>36</v>
      </c>
      <c r="H215" s="66">
        <v>53000</v>
      </c>
      <c r="I215" s="10">
        <f t="shared" si="21"/>
        <v>25938200</v>
      </c>
      <c r="J215" s="29" t="s">
        <v>40</v>
      </c>
      <c r="K215" s="66" t="s">
        <v>171</v>
      </c>
      <c r="L215" s="12">
        <f t="shared" si="22"/>
        <v>0</v>
      </c>
      <c r="M215" s="12"/>
      <c r="N215" s="12"/>
      <c r="O215" s="12">
        <f t="shared" si="23"/>
        <v>26500000</v>
      </c>
      <c r="P215" s="12">
        <v>26500000</v>
      </c>
      <c r="Q215" s="12"/>
      <c r="R215" s="12">
        <f t="shared" si="24"/>
        <v>0</v>
      </c>
      <c r="S215" s="12"/>
      <c r="T215" s="12"/>
      <c r="U215" s="12">
        <f t="shared" si="25"/>
        <v>0</v>
      </c>
      <c r="V215" s="12"/>
      <c r="W215" s="12"/>
      <c r="X215" s="12">
        <f t="shared" si="26"/>
        <v>0</v>
      </c>
      <c r="Y215" s="12"/>
      <c r="Z215" s="12"/>
      <c r="AA215" s="13">
        <f t="shared" si="27"/>
        <v>-561800</v>
      </c>
      <c r="AB215" s="14">
        <v>46030</v>
      </c>
    </row>
    <row r="216" spans="1:28" ht="15.75" hidden="1" x14ac:dyDescent="0.25">
      <c r="A216" s="65">
        <v>46027</v>
      </c>
      <c r="B216" s="10" t="s">
        <v>196</v>
      </c>
      <c r="C216" s="10"/>
      <c r="D216" s="10" t="s">
        <v>28</v>
      </c>
      <c r="E216" s="10" t="s">
        <v>138</v>
      </c>
      <c r="F216" s="10">
        <v>8</v>
      </c>
      <c r="G216" s="10" t="s">
        <v>61</v>
      </c>
      <c r="H216" s="10">
        <v>300000</v>
      </c>
      <c r="I216" s="10">
        <f t="shared" si="21"/>
        <v>2400000</v>
      </c>
      <c r="J216" s="29" t="s">
        <v>110</v>
      </c>
      <c r="K216" s="66" t="s">
        <v>171</v>
      </c>
      <c r="L216" s="12">
        <f t="shared" ref="L216:L238" si="28">M216+N216</f>
        <v>0</v>
      </c>
      <c r="M216" s="12"/>
      <c r="N216" s="12"/>
      <c r="O216" s="12">
        <f t="shared" ref="O216:O238" si="29">P216+Q216</f>
        <v>2400000</v>
      </c>
      <c r="P216" s="12">
        <f>675000+1725000</f>
        <v>2400000</v>
      </c>
      <c r="Q216" s="12"/>
      <c r="R216" s="12">
        <f t="shared" ref="R216:R238" si="30">S216+T216</f>
        <v>0</v>
      </c>
      <c r="S216" s="12"/>
      <c r="T216" s="12"/>
      <c r="U216" s="12">
        <f t="shared" ref="U216:U238" si="31">V216+W216</f>
        <v>0</v>
      </c>
      <c r="V216" s="12"/>
      <c r="W216" s="12"/>
      <c r="X216" s="12">
        <f t="shared" ref="X216:X238" si="32">Y216+Z216</f>
        <v>0</v>
      </c>
      <c r="Y216" s="12"/>
      <c r="Z216" s="12"/>
      <c r="AA216" s="13">
        <f t="shared" ref="AA216:AA238" si="33">C216+I216-L216-O216-U216-X216-R216</f>
        <v>0</v>
      </c>
      <c r="AB216" s="14">
        <v>46031</v>
      </c>
    </row>
    <row r="217" spans="1:28" ht="15.75" hidden="1" x14ac:dyDescent="0.25">
      <c r="A217" s="65">
        <v>46027</v>
      </c>
      <c r="B217" s="10" t="s">
        <v>204</v>
      </c>
      <c r="C217" s="10"/>
      <c r="D217" s="10" t="s">
        <v>32</v>
      </c>
      <c r="E217" s="10" t="s">
        <v>65</v>
      </c>
      <c r="F217" s="10">
        <v>100</v>
      </c>
      <c r="G217" s="10" t="s">
        <v>26</v>
      </c>
      <c r="H217" s="10">
        <v>3800</v>
      </c>
      <c r="I217" s="10">
        <f t="shared" si="21"/>
        <v>380000</v>
      </c>
      <c r="J217" s="29" t="s">
        <v>110</v>
      </c>
      <c r="K217" s="10"/>
      <c r="L217" s="12">
        <f t="shared" si="28"/>
        <v>0</v>
      </c>
      <c r="M217" s="12"/>
      <c r="N217" s="12"/>
      <c r="O217" s="12">
        <f t="shared" si="29"/>
        <v>0</v>
      </c>
      <c r="P217" s="12"/>
      <c r="Q217" s="12"/>
      <c r="R217" s="12">
        <f t="shared" si="30"/>
        <v>380000</v>
      </c>
      <c r="S217" s="12">
        <v>380000</v>
      </c>
      <c r="T217" s="12"/>
      <c r="U217" s="12">
        <f t="shared" si="31"/>
        <v>0</v>
      </c>
      <c r="V217" s="12"/>
      <c r="W217" s="12"/>
      <c r="X217" s="12">
        <f t="shared" si="32"/>
        <v>0</v>
      </c>
      <c r="Y217" s="12"/>
      <c r="Z217" s="12"/>
      <c r="AA217" s="13">
        <f t="shared" si="33"/>
        <v>0</v>
      </c>
      <c r="AB217" s="14">
        <v>46020</v>
      </c>
    </row>
    <row r="218" spans="1:28" ht="15.75" hidden="1" x14ac:dyDescent="0.25">
      <c r="A218" s="65">
        <v>46027</v>
      </c>
      <c r="B218" s="10" t="s">
        <v>204</v>
      </c>
      <c r="C218" s="10"/>
      <c r="D218" s="10" t="s">
        <v>32</v>
      </c>
      <c r="E218" s="10" t="s">
        <v>104</v>
      </c>
      <c r="F218" s="10">
        <v>200</v>
      </c>
      <c r="G218" s="10" t="s">
        <v>26</v>
      </c>
      <c r="H218" s="10">
        <v>1900</v>
      </c>
      <c r="I218" s="10">
        <f t="shared" si="21"/>
        <v>380000</v>
      </c>
      <c r="J218" s="29" t="s">
        <v>110</v>
      </c>
      <c r="K218" s="10" t="s">
        <v>171</v>
      </c>
      <c r="L218" s="12">
        <f t="shared" si="28"/>
        <v>0</v>
      </c>
      <c r="M218" s="12"/>
      <c r="N218" s="12"/>
      <c r="O218" s="12">
        <f t="shared" si="29"/>
        <v>0</v>
      </c>
      <c r="P218" s="12"/>
      <c r="Q218" s="12"/>
      <c r="R218" s="12">
        <f t="shared" si="30"/>
        <v>380000</v>
      </c>
      <c r="S218" s="12">
        <v>380000</v>
      </c>
      <c r="T218" s="12"/>
      <c r="U218" s="12">
        <f t="shared" si="31"/>
        <v>0</v>
      </c>
      <c r="V218" s="12"/>
      <c r="W218" s="12"/>
      <c r="X218" s="12">
        <f t="shared" si="32"/>
        <v>0</v>
      </c>
      <c r="Y218" s="12"/>
      <c r="Z218" s="12"/>
      <c r="AA218" s="13">
        <f t="shared" si="33"/>
        <v>0</v>
      </c>
      <c r="AB218" s="14">
        <v>46029</v>
      </c>
    </row>
    <row r="219" spans="1:28" ht="15.75" hidden="1" x14ac:dyDescent="0.25">
      <c r="A219" s="65">
        <v>46027</v>
      </c>
      <c r="B219" s="10" t="s">
        <v>204</v>
      </c>
      <c r="C219" s="10"/>
      <c r="D219" s="10" t="s">
        <v>32</v>
      </c>
      <c r="E219" s="10" t="s">
        <v>227</v>
      </c>
      <c r="F219" s="10">
        <v>7</v>
      </c>
      <c r="G219" s="10" t="s">
        <v>36</v>
      </c>
      <c r="H219" s="10">
        <v>300000</v>
      </c>
      <c r="I219" s="10">
        <f t="shared" si="21"/>
        <v>2100000</v>
      </c>
      <c r="J219" s="29" t="s">
        <v>110</v>
      </c>
      <c r="K219" s="10" t="s">
        <v>171</v>
      </c>
      <c r="L219" s="12">
        <f t="shared" si="28"/>
        <v>0</v>
      </c>
      <c r="M219" s="12"/>
      <c r="N219" s="12"/>
      <c r="O219" s="12">
        <f t="shared" si="29"/>
        <v>0</v>
      </c>
      <c r="P219" s="12"/>
      <c r="Q219" s="12"/>
      <c r="R219" s="12">
        <f t="shared" si="30"/>
        <v>2100000</v>
      </c>
      <c r="S219" s="12">
        <v>2100000</v>
      </c>
      <c r="T219" s="12"/>
      <c r="U219" s="12">
        <f t="shared" si="31"/>
        <v>0</v>
      </c>
      <c r="V219" s="12"/>
      <c r="W219" s="12"/>
      <c r="X219" s="12">
        <f t="shared" si="32"/>
        <v>0</v>
      </c>
      <c r="Y219" s="12"/>
      <c r="Z219" s="12"/>
      <c r="AA219" s="13">
        <f t="shared" si="33"/>
        <v>0</v>
      </c>
      <c r="AB219" s="14">
        <v>46029</v>
      </c>
    </row>
    <row r="220" spans="1:28" ht="15.75" hidden="1" x14ac:dyDescent="0.25">
      <c r="A220" s="65">
        <v>46027</v>
      </c>
      <c r="B220" s="10" t="s">
        <v>204</v>
      </c>
      <c r="C220" s="10"/>
      <c r="D220" s="10" t="s">
        <v>32</v>
      </c>
      <c r="E220" s="10" t="s">
        <v>228</v>
      </c>
      <c r="F220" s="10">
        <v>7</v>
      </c>
      <c r="G220" s="10" t="s">
        <v>36</v>
      </c>
      <c r="H220" s="10">
        <v>300000</v>
      </c>
      <c r="I220" s="10">
        <f t="shared" si="21"/>
        <v>2100000</v>
      </c>
      <c r="J220" s="29" t="s">
        <v>110</v>
      </c>
      <c r="K220" s="10" t="s">
        <v>171</v>
      </c>
      <c r="L220" s="12">
        <f t="shared" si="28"/>
        <v>0</v>
      </c>
      <c r="M220" s="12"/>
      <c r="N220" s="12"/>
      <c r="O220" s="12">
        <f t="shared" si="29"/>
        <v>0</v>
      </c>
      <c r="P220" s="12"/>
      <c r="Q220" s="12"/>
      <c r="R220" s="12">
        <f t="shared" si="30"/>
        <v>2100000</v>
      </c>
      <c r="S220" s="12">
        <v>2100000</v>
      </c>
      <c r="T220" s="12"/>
      <c r="U220" s="12">
        <f t="shared" si="31"/>
        <v>0</v>
      </c>
      <c r="V220" s="12"/>
      <c r="W220" s="12"/>
      <c r="X220" s="12">
        <f t="shared" si="32"/>
        <v>0</v>
      </c>
      <c r="Y220" s="12"/>
      <c r="Z220" s="12"/>
      <c r="AA220" s="13">
        <f t="shared" si="33"/>
        <v>0</v>
      </c>
      <c r="AB220" s="14">
        <v>46029</v>
      </c>
    </row>
    <row r="221" spans="1:28" ht="15.75" hidden="1" x14ac:dyDescent="0.25">
      <c r="A221" s="65">
        <v>46027</v>
      </c>
      <c r="B221" s="10" t="s">
        <v>221</v>
      </c>
      <c r="C221" s="10"/>
      <c r="D221" s="10" t="s">
        <v>32</v>
      </c>
      <c r="E221" s="10" t="s">
        <v>229</v>
      </c>
      <c r="F221" s="10">
        <v>28.8</v>
      </c>
      <c r="G221" s="10" t="s">
        <v>36</v>
      </c>
      <c r="H221" s="10">
        <v>43000</v>
      </c>
      <c r="I221" s="10">
        <f t="shared" si="21"/>
        <v>1238400</v>
      </c>
      <c r="J221" s="29" t="s">
        <v>110</v>
      </c>
      <c r="K221" s="10" t="s">
        <v>171</v>
      </c>
      <c r="L221" s="12">
        <f t="shared" si="28"/>
        <v>0</v>
      </c>
      <c r="M221" s="12"/>
      <c r="N221" s="12"/>
      <c r="O221" s="12">
        <f t="shared" si="29"/>
        <v>1238400</v>
      </c>
      <c r="P221" s="12">
        <v>1238400</v>
      </c>
      <c r="Q221" s="12"/>
      <c r="R221" s="12">
        <f t="shared" si="30"/>
        <v>0</v>
      </c>
      <c r="S221" s="12"/>
      <c r="T221" s="12"/>
      <c r="U221" s="12">
        <f t="shared" si="31"/>
        <v>0</v>
      </c>
      <c r="V221" s="12"/>
      <c r="W221" s="12"/>
      <c r="X221" s="12">
        <f t="shared" si="32"/>
        <v>0</v>
      </c>
      <c r="Y221" s="12"/>
      <c r="Z221" s="12"/>
      <c r="AA221" s="13">
        <f t="shared" si="33"/>
        <v>0</v>
      </c>
      <c r="AB221" s="14">
        <v>46029</v>
      </c>
    </row>
    <row r="222" spans="1:28" ht="15.75" hidden="1" x14ac:dyDescent="0.25">
      <c r="A222" s="65">
        <v>46027</v>
      </c>
      <c r="B222" s="10" t="s">
        <v>221</v>
      </c>
      <c r="C222" s="10"/>
      <c r="D222" s="10" t="s">
        <v>32</v>
      </c>
      <c r="E222" s="10" t="s">
        <v>84</v>
      </c>
      <c r="F222" s="10">
        <v>34.5</v>
      </c>
      <c r="G222" s="10" t="s">
        <v>36</v>
      </c>
      <c r="H222" s="10">
        <v>43000</v>
      </c>
      <c r="I222" s="10">
        <f t="shared" si="21"/>
        <v>1483500</v>
      </c>
      <c r="J222" s="52" t="s">
        <v>90</v>
      </c>
      <c r="K222" s="88" t="s">
        <v>171</v>
      </c>
      <c r="L222" s="12">
        <f t="shared" si="28"/>
        <v>0</v>
      </c>
      <c r="M222" s="12"/>
      <c r="N222" s="12"/>
      <c r="O222" s="12">
        <f t="shared" si="29"/>
        <v>252400</v>
      </c>
      <c r="P222" s="12">
        <v>252400</v>
      </c>
      <c r="Q222" s="12"/>
      <c r="R222" s="12">
        <f t="shared" si="30"/>
        <v>0</v>
      </c>
      <c r="S222" s="12"/>
      <c r="T222" s="12"/>
      <c r="U222" s="12">
        <f t="shared" si="31"/>
        <v>0</v>
      </c>
      <c r="V222" s="12"/>
      <c r="W222" s="12"/>
      <c r="X222" s="12">
        <f t="shared" si="32"/>
        <v>0</v>
      </c>
      <c r="Y222" s="12"/>
      <c r="Z222" s="12"/>
      <c r="AA222" s="13">
        <f t="shared" si="33"/>
        <v>1231100</v>
      </c>
      <c r="AB222" s="14">
        <v>46029</v>
      </c>
    </row>
    <row r="223" spans="1:28" ht="15.75" hidden="1" x14ac:dyDescent="0.25">
      <c r="A223" s="65">
        <v>46027</v>
      </c>
      <c r="B223" s="10" t="s">
        <v>55</v>
      </c>
      <c r="C223" s="10"/>
      <c r="D223" s="10" t="s">
        <v>32</v>
      </c>
      <c r="E223" s="10" t="s">
        <v>107</v>
      </c>
      <c r="F223" s="10">
        <v>20</v>
      </c>
      <c r="G223" s="10" t="s">
        <v>36</v>
      </c>
      <c r="H223" s="10">
        <v>60000</v>
      </c>
      <c r="I223" s="10">
        <f t="shared" si="21"/>
        <v>1200000</v>
      </c>
      <c r="J223" s="52" t="s">
        <v>90</v>
      </c>
      <c r="K223" s="88" t="s">
        <v>240</v>
      </c>
      <c r="L223" s="12">
        <f t="shared" si="28"/>
        <v>0</v>
      </c>
      <c r="M223" s="12"/>
      <c r="N223" s="12"/>
      <c r="O223" s="12">
        <f t="shared" si="29"/>
        <v>0</v>
      </c>
      <c r="P223" s="12"/>
      <c r="Q223" s="12"/>
      <c r="R223" s="12">
        <f t="shared" si="30"/>
        <v>0</v>
      </c>
      <c r="S223" s="12"/>
      <c r="T223" s="12"/>
      <c r="U223" s="12">
        <f t="shared" si="31"/>
        <v>0</v>
      </c>
      <c r="V223" s="12"/>
      <c r="W223" s="12"/>
      <c r="X223" s="12">
        <f t="shared" si="32"/>
        <v>0</v>
      </c>
      <c r="Y223" s="12"/>
      <c r="Z223" s="12"/>
      <c r="AA223" s="13">
        <f t="shared" si="33"/>
        <v>1200000</v>
      </c>
      <c r="AB223" s="14"/>
    </row>
    <row r="224" spans="1:28" ht="15.75" hidden="1" x14ac:dyDescent="0.25">
      <c r="A224" s="65">
        <v>46027</v>
      </c>
      <c r="B224" s="10" t="s">
        <v>176</v>
      </c>
      <c r="C224" s="10"/>
      <c r="D224" s="10" t="s">
        <v>32</v>
      </c>
      <c r="E224" s="10" t="s">
        <v>175</v>
      </c>
      <c r="F224" s="10">
        <v>6000</v>
      </c>
      <c r="G224" s="10" t="s">
        <v>26</v>
      </c>
      <c r="H224" s="10">
        <v>875</v>
      </c>
      <c r="I224" s="10">
        <f t="shared" si="21"/>
        <v>5250000</v>
      </c>
      <c r="J224" s="52" t="s">
        <v>30</v>
      </c>
      <c r="K224" s="87" t="s">
        <v>241</v>
      </c>
      <c r="L224" s="12">
        <f t="shared" si="28"/>
        <v>0</v>
      </c>
      <c r="M224" s="12"/>
      <c r="N224" s="12"/>
      <c r="O224" s="12">
        <f t="shared" si="29"/>
        <v>0</v>
      </c>
      <c r="P224" s="12"/>
      <c r="Q224" s="12"/>
      <c r="R224" s="12">
        <f t="shared" si="30"/>
        <v>0</v>
      </c>
      <c r="S224" s="12"/>
      <c r="T224" s="12"/>
      <c r="U224" s="12">
        <f t="shared" si="31"/>
        <v>0</v>
      </c>
      <c r="V224" s="12"/>
      <c r="W224" s="12"/>
      <c r="X224" s="12">
        <f t="shared" si="32"/>
        <v>0</v>
      </c>
      <c r="Y224" s="12"/>
      <c r="Z224" s="12"/>
      <c r="AA224" s="13">
        <f t="shared" si="33"/>
        <v>5250000</v>
      </c>
      <c r="AB224" s="14"/>
    </row>
    <row r="225" spans="1:28" ht="15.75" hidden="1" x14ac:dyDescent="0.25">
      <c r="A225" s="65">
        <v>46027</v>
      </c>
      <c r="B225" s="10" t="s">
        <v>230</v>
      </c>
      <c r="C225" s="10"/>
      <c r="D225" s="10" t="s">
        <v>32</v>
      </c>
      <c r="E225" s="10" t="s">
        <v>98</v>
      </c>
      <c r="F225" s="10">
        <v>600</v>
      </c>
      <c r="G225" s="10" t="s">
        <v>26</v>
      </c>
      <c r="H225" s="10">
        <v>1800</v>
      </c>
      <c r="I225" s="10">
        <f t="shared" si="21"/>
        <v>1080000</v>
      </c>
      <c r="J225" s="29" t="s">
        <v>110</v>
      </c>
      <c r="K225" s="10" t="s">
        <v>242</v>
      </c>
      <c r="L225" s="12">
        <f t="shared" si="28"/>
        <v>0</v>
      </c>
      <c r="M225" s="12"/>
      <c r="N225" s="12"/>
      <c r="O225" s="12">
        <f t="shared" si="29"/>
        <v>0</v>
      </c>
      <c r="P225" s="12"/>
      <c r="Q225" s="12"/>
      <c r="R225" s="12">
        <f t="shared" si="30"/>
        <v>1080000</v>
      </c>
      <c r="S225" s="12">
        <v>1080000</v>
      </c>
      <c r="T225" s="12"/>
      <c r="U225" s="12">
        <f t="shared" si="31"/>
        <v>0</v>
      </c>
      <c r="V225" s="12"/>
      <c r="W225" s="12"/>
      <c r="X225" s="12">
        <f t="shared" si="32"/>
        <v>0</v>
      </c>
      <c r="Y225" s="12"/>
      <c r="Z225" s="12"/>
      <c r="AA225" s="13">
        <f t="shared" si="33"/>
        <v>0</v>
      </c>
      <c r="AB225" s="14">
        <v>46030</v>
      </c>
    </row>
    <row r="226" spans="1:28" ht="15.75" hidden="1" x14ac:dyDescent="0.25">
      <c r="A226" s="65">
        <v>46027</v>
      </c>
      <c r="B226" s="10" t="s">
        <v>231</v>
      </c>
      <c r="C226" s="10"/>
      <c r="D226" s="10" t="s">
        <v>32</v>
      </c>
      <c r="E226" s="10" t="s">
        <v>104</v>
      </c>
      <c r="F226" s="10">
        <v>1400</v>
      </c>
      <c r="G226" s="10" t="s">
        <v>26</v>
      </c>
      <c r="H226" s="10">
        <v>2000</v>
      </c>
      <c r="I226" s="10">
        <f t="shared" si="21"/>
        <v>2800000</v>
      </c>
      <c r="J226" s="29" t="s">
        <v>110</v>
      </c>
      <c r="K226" s="10" t="s">
        <v>242</v>
      </c>
      <c r="L226" s="12">
        <f t="shared" si="28"/>
        <v>0</v>
      </c>
      <c r="M226" s="12"/>
      <c r="N226" s="12"/>
      <c r="O226" s="12">
        <f t="shared" si="29"/>
        <v>2800000</v>
      </c>
      <c r="P226" s="12">
        <v>2800000</v>
      </c>
      <c r="Q226" s="12"/>
      <c r="R226" s="12">
        <f t="shared" si="30"/>
        <v>0</v>
      </c>
      <c r="S226" s="12"/>
      <c r="T226" s="12"/>
      <c r="U226" s="12">
        <f t="shared" si="31"/>
        <v>0</v>
      </c>
      <c r="V226" s="12"/>
      <c r="W226" s="12"/>
      <c r="X226" s="12">
        <f t="shared" si="32"/>
        <v>0</v>
      </c>
      <c r="Y226" s="12"/>
      <c r="Z226" s="12"/>
      <c r="AA226" s="13">
        <f t="shared" si="33"/>
        <v>0</v>
      </c>
      <c r="AB226" s="14">
        <v>46028</v>
      </c>
    </row>
    <row r="227" spans="1:28" ht="15.75" hidden="1" x14ac:dyDescent="0.25">
      <c r="A227" s="65">
        <v>46027</v>
      </c>
      <c r="B227" s="10" t="s">
        <v>231</v>
      </c>
      <c r="C227" s="10"/>
      <c r="D227" s="10" t="s">
        <v>32</v>
      </c>
      <c r="E227" s="10" t="s">
        <v>184</v>
      </c>
      <c r="F227" s="10">
        <v>19.2</v>
      </c>
      <c r="G227" s="10" t="s">
        <v>36</v>
      </c>
      <c r="H227" s="10">
        <v>43000</v>
      </c>
      <c r="I227" s="10">
        <f t="shared" si="21"/>
        <v>825600</v>
      </c>
      <c r="J227" s="29" t="s">
        <v>110</v>
      </c>
      <c r="K227" s="10" t="s">
        <v>242</v>
      </c>
      <c r="L227" s="12">
        <f t="shared" si="28"/>
        <v>425000</v>
      </c>
      <c r="M227" s="12">
        <v>425000</v>
      </c>
      <c r="N227" s="12"/>
      <c r="O227" s="12">
        <f t="shared" si="29"/>
        <v>400600</v>
      </c>
      <c r="P227" s="12">
        <v>400600</v>
      </c>
      <c r="Q227" s="12"/>
      <c r="R227" s="12">
        <f t="shared" si="30"/>
        <v>0</v>
      </c>
      <c r="S227" s="12"/>
      <c r="T227" s="12"/>
      <c r="U227" s="12">
        <f t="shared" si="31"/>
        <v>0</v>
      </c>
      <c r="V227" s="12"/>
      <c r="W227" s="12"/>
      <c r="X227" s="12">
        <f t="shared" si="32"/>
        <v>0</v>
      </c>
      <c r="Y227" s="12"/>
      <c r="Z227" s="12"/>
      <c r="AA227" s="13">
        <f t="shared" si="33"/>
        <v>0</v>
      </c>
      <c r="AB227" s="14">
        <v>46028</v>
      </c>
    </row>
    <row r="228" spans="1:28" ht="15.75" hidden="1" x14ac:dyDescent="0.25">
      <c r="A228" s="65">
        <v>46027</v>
      </c>
      <c r="B228" s="10" t="s">
        <v>232</v>
      </c>
      <c r="C228" s="10"/>
      <c r="D228" s="10" t="s">
        <v>195</v>
      </c>
      <c r="E228" s="10" t="s">
        <v>104</v>
      </c>
      <c r="F228" s="10">
        <v>3000</v>
      </c>
      <c r="G228" s="10" t="s">
        <v>26</v>
      </c>
      <c r="H228" s="10">
        <v>2000</v>
      </c>
      <c r="I228" s="10">
        <f t="shared" si="21"/>
        <v>6000000</v>
      </c>
      <c r="J228" s="29" t="s">
        <v>113</v>
      </c>
      <c r="K228" s="10" t="s">
        <v>242</v>
      </c>
      <c r="L228" s="12">
        <f t="shared" si="28"/>
        <v>6000000</v>
      </c>
      <c r="M228" s="12">
        <v>6000000</v>
      </c>
      <c r="N228" s="12"/>
      <c r="O228" s="12">
        <f t="shared" si="29"/>
        <v>0</v>
      </c>
      <c r="P228" s="12"/>
      <c r="Q228" s="12"/>
      <c r="R228" s="12">
        <f t="shared" si="30"/>
        <v>0</v>
      </c>
      <c r="S228" s="12"/>
      <c r="T228" s="12"/>
      <c r="U228" s="12">
        <f t="shared" si="31"/>
        <v>0</v>
      </c>
      <c r="V228" s="12"/>
      <c r="W228" s="12"/>
      <c r="X228" s="12">
        <f t="shared" si="32"/>
        <v>0</v>
      </c>
      <c r="Y228" s="12"/>
      <c r="Z228" s="12"/>
      <c r="AA228" s="13">
        <f t="shared" si="33"/>
        <v>0</v>
      </c>
      <c r="AB228" s="14">
        <v>46030</v>
      </c>
    </row>
    <row r="229" spans="1:28" ht="15.75" hidden="1" x14ac:dyDescent="0.25">
      <c r="A229" s="65">
        <v>46027</v>
      </c>
      <c r="B229" s="10" t="s">
        <v>233</v>
      </c>
      <c r="C229" s="10"/>
      <c r="D229" s="10" t="s">
        <v>32</v>
      </c>
      <c r="E229" s="10" t="s">
        <v>129</v>
      </c>
      <c r="F229" s="10">
        <v>200</v>
      </c>
      <c r="G229" s="10" t="s">
        <v>26</v>
      </c>
      <c r="H229" s="10">
        <v>3800</v>
      </c>
      <c r="I229" s="10">
        <f t="shared" si="21"/>
        <v>760000</v>
      </c>
      <c r="J229" s="29" t="s">
        <v>113</v>
      </c>
      <c r="K229" s="10"/>
      <c r="L229" s="12">
        <f t="shared" si="28"/>
        <v>0</v>
      </c>
      <c r="M229" s="12"/>
      <c r="N229" s="12"/>
      <c r="O229" s="12">
        <f t="shared" si="29"/>
        <v>0</v>
      </c>
      <c r="P229" s="12"/>
      <c r="Q229" s="12"/>
      <c r="R229" s="12">
        <f t="shared" si="30"/>
        <v>0</v>
      </c>
      <c r="S229" s="12"/>
      <c r="T229" s="12"/>
      <c r="U229" s="12">
        <f t="shared" si="31"/>
        <v>760000</v>
      </c>
      <c r="V229" s="12">
        <v>760000</v>
      </c>
      <c r="W229" s="12"/>
      <c r="X229" s="12">
        <f t="shared" si="32"/>
        <v>0</v>
      </c>
      <c r="Y229" s="12"/>
      <c r="Z229" s="12"/>
      <c r="AA229" s="13">
        <f t="shared" si="33"/>
        <v>0</v>
      </c>
      <c r="AB229" s="14">
        <v>46027</v>
      </c>
    </row>
    <row r="230" spans="1:28" ht="15.75" hidden="1" x14ac:dyDescent="0.25">
      <c r="A230" s="65">
        <v>46027</v>
      </c>
      <c r="B230" s="10" t="s">
        <v>234</v>
      </c>
      <c r="C230" s="10"/>
      <c r="D230" s="10" t="s">
        <v>32</v>
      </c>
      <c r="E230" s="10" t="s">
        <v>104</v>
      </c>
      <c r="F230" s="10">
        <v>10400</v>
      </c>
      <c r="G230" s="10" t="s">
        <v>26</v>
      </c>
      <c r="H230" s="10">
        <v>1800</v>
      </c>
      <c r="I230" s="10">
        <f t="shared" si="21"/>
        <v>18720000</v>
      </c>
      <c r="J230" s="52" t="s">
        <v>30</v>
      </c>
      <c r="K230" s="88" t="s">
        <v>202</v>
      </c>
      <c r="L230" s="12">
        <f t="shared" si="28"/>
        <v>0</v>
      </c>
      <c r="M230" s="12"/>
      <c r="N230" s="12"/>
      <c r="O230" s="12">
        <f t="shared" si="29"/>
        <v>0</v>
      </c>
      <c r="P230" s="12"/>
      <c r="Q230" s="12"/>
      <c r="R230" s="12">
        <f t="shared" si="30"/>
        <v>0</v>
      </c>
      <c r="S230" s="12"/>
      <c r="T230" s="12"/>
      <c r="U230" s="12">
        <f t="shared" si="31"/>
        <v>10000000</v>
      </c>
      <c r="V230" s="12">
        <v>10000000</v>
      </c>
      <c r="W230" s="12"/>
      <c r="X230" s="12">
        <f t="shared" si="32"/>
        <v>0</v>
      </c>
      <c r="Y230" s="12"/>
      <c r="Z230" s="12"/>
      <c r="AA230" s="13">
        <f t="shared" si="33"/>
        <v>8720000</v>
      </c>
      <c r="AB230" s="14">
        <v>46055</v>
      </c>
    </row>
    <row r="231" spans="1:28" ht="15.75" hidden="1" x14ac:dyDescent="0.25">
      <c r="A231" s="65">
        <v>46027</v>
      </c>
      <c r="B231" s="10" t="s">
        <v>234</v>
      </c>
      <c r="C231" s="10"/>
      <c r="D231" s="10" t="s">
        <v>32</v>
      </c>
      <c r="E231" s="10" t="s">
        <v>175</v>
      </c>
      <c r="F231" s="10">
        <v>20800</v>
      </c>
      <c r="G231" s="10" t="s">
        <v>26</v>
      </c>
      <c r="H231" s="10">
        <v>900</v>
      </c>
      <c r="I231" s="10">
        <f t="shared" si="21"/>
        <v>18720000</v>
      </c>
      <c r="J231" s="52" t="s">
        <v>90</v>
      </c>
      <c r="K231" s="88" t="s">
        <v>202</v>
      </c>
      <c r="L231" s="12">
        <f t="shared" si="28"/>
        <v>0</v>
      </c>
      <c r="M231" s="12"/>
      <c r="N231" s="12"/>
      <c r="O231" s="12">
        <f t="shared" si="29"/>
        <v>0</v>
      </c>
      <c r="P231" s="12"/>
      <c r="Q231" s="12"/>
      <c r="R231" s="12">
        <f t="shared" si="30"/>
        <v>0</v>
      </c>
      <c r="S231" s="12"/>
      <c r="T231" s="12"/>
      <c r="U231" s="12">
        <f t="shared" si="31"/>
        <v>0</v>
      </c>
      <c r="V231" s="12"/>
      <c r="W231" s="12"/>
      <c r="X231" s="12">
        <f t="shared" si="32"/>
        <v>0</v>
      </c>
      <c r="Y231" s="12"/>
      <c r="Z231" s="12"/>
      <c r="AA231" s="13">
        <f t="shared" si="33"/>
        <v>18720000</v>
      </c>
      <c r="AB231" s="14"/>
    </row>
    <row r="232" spans="1:28" ht="15.75" hidden="1" x14ac:dyDescent="0.25">
      <c r="A232" s="28">
        <v>46027</v>
      </c>
      <c r="B232" s="10" t="s">
        <v>203</v>
      </c>
      <c r="C232" s="10"/>
      <c r="D232" s="10" t="s">
        <v>32</v>
      </c>
      <c r="E232" s="10" t="s">
        <v>136</v>
      </c>
      <c r="F232" s="10">
        <v>24.9</v>
      </c>
      <c r="G232" s="10" t="s">
        <v>36</v>
      </c>
      <c r="H232" s="10">
        <v>43000</v>
      </c>
      <c r="I232" s="10">
        <f t="shared" si="21"/>
        <v>1070700</v>
      </c>
      <c r="J232" s="29" t="s">
        <v>113</v>
      </c>
      <c r="K232" s="95" t="s">
        <v>171</v>
      </c>
      <c r="L232" s="12">
        <f t="shared" si="28"/>
        <v>0</v>
      </c>
      <c r="M232" s="12"/>
      <c r="N232" s="12"/>
      <c r="O232" s="12">
        <f t="shared" si="29"/>
        <v>0</v>
      </c>
      <c r="P232" s="12"/>
      <c r="Q232" s="12"/>
      <c r="R232" s="12">
        <f t="shared" si="30"/>
        <v>0</v>
      </c>
      <c r="S232" s="12"/>
      <c r="T232" s="12"/>
      <c r="U232" s="12">
        <f t="shared" si="31"/>
        <v>1070700</v>
      </c>
      <c r="V232" s="12">
        <v>1070700</v>
      </c>
      <c r="W232" s="12"/>
      <c r="X232" s="12">
        <f t="shared" si="32"/>
        <v>0</v>
      </c>
      <c r="Y232" s="12"/>
      <c r="Z232" s="12"/>
      <c r="AA232" s="13">
        <f t="shared" si="33"/>
        <v>0</v>
      </c>
      <c r="AB232" s="14">
        <v>46036</v>
      </c>
    </row>
    <row r="233" spans="1:28" ht="15.75" hidden="1" x14ac:dyDescent="0.25">
      <c r="A233" s="65">
        <v>46027</v>
      </c>
      <c r="B233" s="10" t="s">
        <v>235</v>
      </c>
      <c r="C233" s="10"/>
      <c r="D233" s="10" t="s">
        <v>28</v>
      </c>
      <c r="E233" s="10" t="s">
        <v>236</v>
      </c>
      <c r="F233" s="10">
        <v>1000</v>
      </c>
      <c r="G233" s="10" t="s">
        <v>26</v>
      </c>
      <c r="H233" s="10">
        <v>2600</v>
      </c>
      <c r="I233" s="10">
        <f t="shared" si="21"/>
        <v>2600000</v>
      </c>
      <c r="J233" s="29" t="s">
        <v>113</v>
      </c>
      <c r="K233" s="95" t="s">
        <v>242</v>
      </c>
      <c r="L233" s="12">
        <f t="shared" si="28"/>
        <v>0</v>
      </c>
      <c r="M233" s="12"/>
      <c r="N233" s="12"/>
      <c r="O233" s="12">
        <f t="shared" si="29"/>
        <v>0</v>
      </c>
      <c r="P233" s="12"/>
      <c r="Q233" s="12"/>
      <c r="R233" s="12">
        <f t="shared" si="30"/>
        <v>0</v>
      </c>
      <c r="S233" s="12"/>
      <c r="T233" s="12"/>
      <c r="U233" s="12">
        <f t="shared" si="31"/>
        <v>2600000</v>
      </c>
      <c r="V233" s="12">
        <v>2600000</v>
      </c>
      <c r="W233" s="12"/>
      <c r="X233" s="12">
        <f t="shared" si="32"/>
        <v>0</v>
      </c>
      <c r="Y233" s="12"/>
      <c r="Z233" s="12"/>
      <c r="AA233" s="13">
        <f t="shared" si="33"/>
        <v>0</v>
      </c>
      <c r="AB233" s="14">
        <v>46044</v>
      </c>
    </row>
    <row r="234" spans="1:28" ht="15.75" hidden="1" x14ac:dyDescent="0.25">
      <c r="A234" s="65">
        <v>46027</v>
      </c>
      <c r="B234" s="10" t="s">
        <v>223</v>
      </c>
      <c r="C234" s="10"/>
      <c r="D234" s="10" t="s">
        <v>32</v>
      </c>
      <c r="E234" s="10" t="s">
        <v>104</v>
      </c>
      <c r="F234" s="10">
        <v>20800</v>
      </c>
      <c r="G234" s="10" t="s">
        <v>26</v>
      </c>
      <c r="H234" s="10">
        <v>1750</v>
      </c>
      <c r="I234" s="10">
        <f t="shared" si="21"/>
        <v>36400000</v>
      </c>
      <c r="J234" s="29" t="s">
        <v>110</v>
      </c>
      <c r="K234" s="10"/>
      <c r="L234" s="12">
        <f t="shared" si="28"/>
        <v>0</v>
      </c>
      <c r="M234" s="12"/>
      <c r="N234" s="12"/>
      <c r="O234" s="12">
        <f t="shared" si="29"/>
        <v>36400000</v>
      </c>
      <c r="P234" s="12">
        <v>36400000</v>
      </c>
      <c r="Q234" s="12"/>
      <c r="R234" s="12">
        <f t="shared" si="30"/>
        <v>0</v>
      </c>
      <c r="S234" s="12"/>
      <c r="T234" s="12"/>
      <c r="U234" s="12">
        <f t="shared" si="31"/>
        <v>0</v>
      </c>
      <c r="V234" s="12"/>
      <c r="W234" s="12"/>
      <c r="X234" s="12">
        <f t="shared" si="32"/>
        <v>0</v>
      </c>
      <c r="Y234" s="12"/>
      <c r="Z234" s="12"/>
      <c r="AA234" s="13">
        <f t="shared" si="33"/>
        <v>0</v>
      </c>
      <c r="AB234" s="14">
        <v>46027</v>
      </c>
    </row>
    <row r="235" spans="1:28" ht="15.75" hidden="1" x14ac:dyDescent="0.25">
      <c r="A235" s="65">
        <v>46027</v>
      </c>
      <c r="B235" s="10" t="s">
        <v>237</v>
      </c>
      <c r="C235" s="10"/>
      <c r="D235" s="10" t="s">
        <v>32</v>
      </c>
      <c r="E235" s="10" t="s">
        <v>98</v>
      </c>
      <c r="F235" s="10">
        <v>10400</v>
      </c>
      <c r="G235" s="10" t="s">
        <v>26</v>
      </c>
      <c r="H235" s="10">
        <v>1800</v>
      </c>
      <c r="I235" s="10">
        <f t="shared" si="21"/>
        <v>18720000</v>
      </c>
      <c r="J235" s="29" t="s">
        <v>110</v>
      </c>
      <c r="K235" s="10" t="s">
        <v>242</v>
      </c>
      <c r="L235" s="12">
        <f t="shared" si="28"/>
        <v>0</v>
      </c>
      <c r="M235" s="12"/>
      <c r="N235" s="12"/>
      <c r="O235" s="12">
        <f t="shared" si="29"/>
        <v>18720000</v>
      </c>
      <c r="P235" s="12">
        <v>18720000</v>
      </c>
      <c r="Q235" s="12"/>
      <c r="R235" s="12">
        <f t="shared" si="30"/>
        <v>0</v>
      </c>
      <c r="S235" s="12"/>
      <c r="T235" s="12"/>
      <c r="U235" s="12">
        <f t="shared" si="31"/>
        <v>0</v>
      </c>
      <c r="V235" s="12"/>
      <c r="W235" s="12"/>
      <c r="X235" s="12">
        <f t="shared" si="32"/>
        <v>0</v>
      </c>
      <c r="Y235" s="12"/>
      <c r="Z235" s="12"/>
      <c r="AA235" s="13">
        <f t="shared" si="33"/>
        <v>0</v>
      </c>
      <c r="AB235" s="14">
        <v>46028</v>
      </c>
    </row>
    <row r="236" spans="1:28" ht="15.75" hidden="1" x14ac:dyDescent="0.25">
      <c r="A236" s="65">
        <v>46027</v>
      </c>
      <c r="B236" s="10" t="s">
        <v>238</v>
      </c>
      <c r="C236" s="10"/>
      <c r="D236" s="10" t="s">
        <v>32</v>
      </c>
      <c r="E236" s="10" t="s">
        <v>65</v>
      </c>
      <c r="F236" s="10">
        <v>100</v>
      </c>
      <c r="G236" s="10" t="s">
        <v>26</v>
      </c>
      <c r="H236" s="10">
        <v>3600</v>
      </c>
      <c r="I236" s="10">
        <f t="shared" si="21"/>
        <v>360000</v>
      </c>
      <c r="J236" s="29" t="s">
        <v>110</v>
      </c>
      <c r="K236" s="10" t="s">
        <v>242</v>
      </c>
      <c r="L236" s="12">
        <f t="shared" si="28"/>
        <v>0</v>
      </c>
      <c r="M236" s="12"/>
      <c r="N236" s="12"/>
      <c r="O236" s="12">
        <f t="shared" si="29"/>
        <v>360000</v>
      </c>
      <c r="P236" s="12">
        <v>360000</v>
      </c>
      <c r="Q236" s="12"/>
      <c r="R236" s="12">
        <f t="shared" si="30"/>
        <v>0</v>
      </c>
      <c r="S236" s="12"/>
      <c r="T236" s="12"/>
      <c r="U236" s="12">
        <f t="shared" si="31"/>
        <v>0</v>
      </c>
      <c r="V236" s="12"/>
      <c r="W236" s="12"/>
      <c r="X236" s="12">
        <f t="shared" si="32"/>
        <v>0</v>
      </c>
      <c r="Y236" s="12"/>
      <c r="Z236" s="12"/>
      <c r="AA236" s="13">
        <f t="shared" si="33"/>
        <v>0</v>
      </c>
      <c r="AB236" s="14">
        <v>46028</v>
      </c>
    </row>
    <row r="237" spans="1:28" ht="16.5" hidden="1" thickBot="1" x14ac:dyDescent="0.3">
      <c r="A237" s="53">
        <v>46027</v>
      </c>
      <c r="B237" s="31" t="s">
        <v>239</v>
      </c>
      <c r="C237" s="31"/>
      <c r="D237" s="31" t="s">
        <v>32</v>
      </c>
      <c r="E237" s="31" t="s">
        <v>191</v>
      </c>
      <c r="F237" s="31">
        <v>1</v>
      </c>
      <c r="G237" s="31" t="s">
        <v>192</v>
      </c>
      <c r="H237" s="31">
        <v>900000</v>
      </c>
      <c r="I237" s="31">
        <f t="shared" si="21"/>
        <v>900000</v>
      </c>
      <c r="J237" s="51" t="s">
        <v>110</v>
      </c>
      <c r="K237" s="31" t="s">
        <v>242</v>
      </c>
      <c r="L237" s="34">
        <f t="shared" si="28"/>
        <v>0</v>
      </c>
      <c r="M237" s="34"/>
      <c r="N237" s="34"/>
      <c r="O237" s="34">
        <f t="shared" si="29"/>
        <v>900000</v>
      </c>
      <c r="P237" s="34">
        <v>900000</v>
      </c>
      <c r="Q237" s="34"/>
      <c r="R237" s="34">
        <f t="shared" si="30"/>
        <v>0</v>
      </c>
      <c r="S237" s="34"/>
      <c r="T237" s="34"/>
      <c r="U237" s="34">
        <f t="shared" si="31"/>
        <v>0</v>
      </c>
      <c r="V237" s="34"/>
      <c r="W237" s="34"/>
      <c r="X237" s="34">
        <f t="shared" si="32"/>
        <v>0</v>
      </c>
      <c r="Y237" s="34"/>
      <c r="Z237" s="34"/>
      <c r="AA237" s="35">
        <f t="shared" si="33"/>
        <v>0</v>
      </c>
      <c r="AB237" s="36">
        <v>46028</v>
      </c>
    </row>
    <row r="238" spans="1:28" ht="15.75" hidden="1" x14ac:dyDescent="0.25">
      <c r="A238" s="65">
        <v>46028</v>
      </c>
      <c r="B238" s="66" t="s">
        <v>243</v>
      </c>
      <c r="C238" s="66"/>
      <c r="D238" s="66" t="s">
        <v>28</v>
      </c>
      <c r="E238" s="66" t="s">
        <v>244</v>
      </c>
      <c r="F238" s="66">
        <v>3</v>
      </c>
      <c r="G238" s="66" t="s">
        <v>22</v>
      </c>
      <c r="H238" s="66">
        <v>400000</v>
      </c>
      <c r="I238" s="45">
        <f t="shared" si="21"/>
        <v>1200000</v>
      </c>
      <c r="J238" s="29" t="s">
        <v>110</v>
      </c>
      <c r="K238" s="66" t="s">
        <v>171</v>
      </c>
      <c r="L238" s="48">
        <f t="shared" si="28"/>
        <v>0</v>
      </c>
      <c r="M238" s="48"/>
      <c r="N238" s="48"/>
      <c r="O238" s="48">
        <f t="shared" si="29"/>
        <v>0</v>
      </c>
      <c r="P238" s="48"/>
      <c r="Q238" s="48"/>
      <c r="R238" s="48">
        <f t="shared" si="30"/>
        <v>1200000</v>
      </c>
      <c r="S238" s="48">
        <v>1200000</v>
      </c>
      <c r="T238" s="48"/>
      <c r="U238" s="48">
        <f t="shared" si="31"/>
        <v>0</v>
      </c>
      <c r="V238" s="48"/>
      <c r="W238" s="48"/>
      <c r="X238" s="48">
        <f t="shared" si="32"/>
        <v>0</v>
      </c>
      <c r="Y238" s="48"/>
      <c r="Z238" s="48"/>
      <c r="AA238" s="49">
        <f t="shared" si="33"/>
        <v>0</v>
      </c>
      <c r="AB238" s="50">
        <v>46030</v>
      </c>
    </row>
    <row r="239" spans="1:28" ht="15.75" hidden="1" x14ac:dyDescent="0.25">
      <c r="A239" s="65">
        <v>46028</v>
      </c>
      <c r="B239" s="10" t="s">
        <v>245</v>
      </c>
      <c r="C239" s="10"/>
      <c r="D239" s="10" t="s">
        <v>195</v>
      </c>
      <c r="E239" s="10" t="s">
        <v>136</v>
      </c>
      <c r="F239" s="10">
        <v>23.7</v>
      </c>
      <c r="G239" s="10" t="s">
        <v>36</v>
      </c>
      <c r="H239" s="10">
        <v>43000</v>
      </c>
      <c r="I239" s="10">
        <f t="shared" si="21"/>
        <v>1019100</v>
      </c>
      <c r="J239" s="29" t="s">
        <v>110</v>
      </c>
      <c r="K239" s="10"/>
      <c r="L239" s="12">
        <f t="shared" ref="L239:L254" si="34">M239+N239</f>
        <v>0</v>
      </c>
      <c r="M239" s="12"/>
      <c r="N239" s="12"/>
      <c r="O239" s="12">
        <f t="shared" ref="O239:O254" si="35">P239+Q239</f>
        <v>1019100</v>
      </c>
      <c r="P239" s="12">
        <v>1019100</v>
      </c>
      <c r="Q239" s="12"/>
      <c r="R239" s="12">
        <f t="shared" ref="R239:R254" si="36">S239+T239</f>
        <v>0</v>
      </c>
      <c r="S239" s="12"/>
      <c r="T239" s="12"/>
      <c r="U239" s="12">
        <f t="shared" ref="U239:U254" si="37">V239+W239</f>
        <v>0</v>
      </c>
      <c r="V239" s="12"/>
      <c r="W239" s="12"/>
      <c r="X239" s="12">
        <f t="shared" ref="X239:X254" si="38">Y239+Z239</f>
        <v>0</v>
      </c>
      <c r="Y239" s="12"/>
      <c r="Z239" s="12"/>
      <c r="AA239" s="13">
        <f t="shared" ref="AA239:AA254" si="39">C239+I239-L239-O239-U239-X239-R239</f>
        <v>0</v>
      </c>
      <c r="AB239" s="14">
        <v>46028</v>
      </c>
    </row>
    <row r="240" spans="1:28" ht="15.75" hidden="1" x14ac:dyDescent="0.25">
      <c r="A240" s="65">
        <v>46028</v>
      </c>
      <c r="B240" s="10" t="s">
        <v>245</v>
      </c>
      <c r="C240" s="10"/>
      <c r="D240" s="10" t="s">
        <v>195</v>
      </c>
      <c r="E240" s="10" t="s">
        <v>80</v>
      </c>
      <c r="F240" s="10">
        <v>22.5</v>
      </c>
      <c r="G240" s="10" t="s">
        <v>36</v>
      </c>
      <c r="H240" s="10">
        <v>43000</v>
      </c>
      <c r="I240" s="10">
        <f t="shared" si="21"/>
        <v>967500</v>
      </c>
      <c r="J240" s="29" t="s">
        <v>110</v>
      </c>
      <c r="K240" s="10"/>
      <c r="L240" s="12">
        <f t="shared" si="34"/>
        <v>0</v>
      </c>
      <c r="M240" s="12"/>
      <c r="N240" s="12"/>
      <c r="O240" s="12">
        <f t="shared" si="35"/>
        <v>967500</v>
      </c>
      <c r="P240" s="12">
        <v>967500</v>
      </c>
      <c r="Q240" s="12"/>
      <c r="R240" s="12">
        <f t="shared" si="36"/>
        <v>0</v>
      </c>
      <c r="S240" s="12"/>
      <c r="T240" s="12"/>
      <c r="U240" s="12">
        <f t="shared" si="37"/>
        <v>0</v>
      </c>
      <c r="V240" s="12"/>
      <c r="W240" s="12"/>
      <c r="X240" s="12">
        <f t="shared" si="38"/>
        <v>0</v>
      </c>
      <c r="Y240" s="12"/>
      <c r="Z240" s="12"/>
      <c r="AA240" s="13">
        <f t="shared" si="39"/>
        <v>0</v>
      </c>
      <c r="AB240" s="14">
        <v>46028</v>
      </c>
    </row>
    <row r="241" spans="1:28" ht="15.75" hidden="1" x14ac:dyDescent="0.25">
      <c r="A241" s="65">
        <v>46028</v>
      </c>
      <c r="B241" s="10" t="s">
        <v>245</v>
      </c>
      <c r="C241" s="10"/>
      <c r="D241" s="10" t="s">
        <v>195</v>
      </c>
      <c r="E241" s="10" t="s">
        <v>139</v>
      </c>
      <c r="F241" s="10">
        <v>21.1</v>
      </c>
      <c r="G241" s="10" t="s">
        <v>36</v>
      </c>
      <c r="H241" s="10">
        <v>43000</v>
      </c>
      <c r="I241" s="10">
        <f t="shared" si="21"/>
        <v>907300.00000000012</v>
      </c>
      <c r="J241" s="29" t="s">
        <v>110</v>
      </c>
      <c r="K241" s="10"/>
      <c r="L241" s="12">
        <f t="shared" si="34"/>
        <v>0</v>
      </c>
      <c r="M241" s="12"/>
      <c r="N241" s="12"/>
      <c r="O241" s="12">
        <f t="shared" si="35"/>
        <v>907300</v>
      </c>
      <c r="P241" s="12">
        <v>907300</v>
      </c>
      <c r="Q241" s="12"/>
      <c r="R241" s="12">
        <f t="shared" si="36"/>
        <v>0</v>
      </c>
      <c r="S241" s="12"/>
      <c r="T241" s="12"/>
      <c r="U241" s="12">
        <f t="shared" si="37"/>
        <v>0</v>
      </c>
      <c r="V241" s="12"/>
      <c r="W241" s="12"/>
      <c r="X241" s="12">
        <f t="shared" si="38"/>
        <v>0</v>
      </c>
      <c r="Y241" s="12"/>
      <c r="Z241" s="12"/>
      <c r="AA241" s="13">
        <f t="shared" si="39"/>
        <v>1.1641532182693481E-10</v>
      </c>
      <c r="AB241" s="14">
        <v>46028</v>
      </c>
    </row>
    <row r="242" spans="1:28" ht="15.75" hidden="1" x14ac:dyDescent="0.25">
      <c r="A242" s="65">
        <v>46028</v>
      </c>
      <c r="B242" s="10" t="s">
        <v>246</v>
      </c>
      <c r="C242" s="10"/>
      <c r="D242" s="10" t="s">
        <v>206</v>
      </c>
      <c r="E242" s="10" t="s">
        <v>181</v>
      </c>
      <c r="F242" s="10">
        <v>800</v>
      </c>
      <c r="G242" s="10" t="s">
        <v>26</v>
      </c>
      <c r="H242" s="10">
        <v>3950</v>
      </c>
      <c r="I242" s="10">
        <f t="shared" si="21"/>
        <v>3160000</v>
      </c>
      <c r="J242" s="29" t="s">
        <v>110</v>
      </c>
      <c r="K242" s="10"/>
      <c r="L242" s="12">
        <f t="shared" si="34"/>
        <v>0</v>
      </c>
      <c r="M242" s="12"/>
      <c r="N242" s="12"/>
      <c r="O242" s="12">
        <f t="shared" si="35"/>
        <v>0</v>
      </c>
      <c r="P242" s="12"/>
      <c r="Q242" s="12"/>
      <c r="R242" s="12">
        <f t="shared" si="36"/>
        <v>3160000</v>
      </c>
      <c r="S242" s="12">
        <v>3160000</v>
      </c>
      <c r="T242" s="12"/>
      <c r="U242" s="12">
        <f t="shared" si="37"/>
        <v>0</v>
      </c>
      <c r="V242" s="12"/>
      <c r="W242" s="12"/>
      <c r="X242" s="12">
        <f t="shared" si="38"/>
        <v>0</v>
      </c>
      <c r="Y242" s="12"/>
      <c r="Z242" s="12"/>
      <c r="AA242" s="13">
        <f t="shared" si="39"/>
        <v>0</v>
      </c>
      <c r="AB242" s="14">
        <v>46028</v>
      </c>
    </row>
    <row r="243" spans="1:28" ht="15.75" hidden="1" x14ac:dyDescent="0.25">
      <c r="A243" s="65">
        <v>46028</v>
      </c>
      <c r="B243" s="10" t="s">
        <v>246</v>
      </c>
      <c r="C243" s="10"/>
      <c r="D243" s="10" t="s">
        <v>206</v>
      </c>
      <c r="E243" s="10" t="s">
        <v>160</v>
      </c>
      <c r="F243" s="10">
        <v>4</v>
      </c>
      <c r="G243" s="10" t="s">
        <v>22</v>
      </c>
      <c r="H243" s="10">
        <v>375000</v>
      </c>
      <c r="I243" s="10">
        <f t="shared" si="21"/>
        <v>1500000</v>
      </c>
      <c r="J243" s="29" t="s">
        <v>110</v>
      </c>
      <c r="K243" s="10"/>
      <c r="L243" s="12">
        <f t="shared" si="34"/>
        <v>0</v>
      </c>
      <c r="M243" s="12"/>
      <c r="N243" s="12"/>
      <c r="O243" s="12">
        <f t="shared" si="35"/>
        <v>0</v>
      </c>
      <c r="P243" s="12"/>
      <c r="Q243" s="12"/>
      <c r="R243" s="12">
        <f t="shared" si="36"/>
        <v>1500000</v>
      </c>
      <c r="S243" s="12">
        <v>1500000</v>
      </c>
      <c r="T243" s="12"/>
      <c r="U243" s="12">
        <f t="shared" si="37"/>
        <v>0</v>
      </c>
      <c r="V243" s="12"/>
      <c r="W243" s="12"/>
      <c r="X243" s="12">
        <f t="shared" si="38"/>
        <v>0</v>
      </c>
      <c r="Y243" s="12"/>
      <c r="Z243" s="12"/>
      <c r="AA243" s="13">
        <f t="shared" si="39"/>
        <v>0</v>
      </c>
      <c r="AB243" s="14">
        <v>46028</v>
      </c>
    </row>
    <row r="244" spans="1:28" ht="15.75" hidden="1" x14ac:dyDescent="0.25">
      <c r="A244" s="65">
        <v>46028</v>
      </c>
      <c r="B244" s="10" t="s">
        <v>247</v>
      </c>
      <c r="C244" s="10"/>
      <c r="D244" s="10" t="s">
        <v>206</v>
      </c>
      <c r="E244" s="10" t="s">
        <v>214</v>
      </c>
      <c r="F244" s="10">
        <v>200</v>
      </c>
      <c r="G244" s="10" t="s">
        <v>39</v>
      </c>
      <c r="H244" s="10">
        <v>1500</v>
      </c>
      <c r="I244" s="10">
        <f t="shared" si="21"/>
        <v>300000</v>
      </c>
      <c r="J244" s="29" t="s">
        <v>110</v>
      </c>
      <c r="K244" s="10"/>
      <c r="L244" s="12">
        <f t="shared" si="34"/>
        <v>0</v>
      </c>
      <c r="M244" s="12"/>
      <c r="N244" s="12"/>
      <c r="O244" s="12">
        <f t="shared" si="35"/>
        <v>300000</v>
      </c>
      <c r="P244" s="12">
        <v>300000</v>
      </c>
      <c r="Q244" s="12"/>
      <c r="R244" s="12">
        <f t="shared" si="36"/>
        <v>0</v>
      </c>
      <c r="S244" s="12"/>
      <c r="T244" s="12"/>
      <c r="U244" s="12">
        <f t="shared" si="37"/>
        <v>0</v>
      </c>
      <c r="V244" s="12"/>
      <c r="W244" s="12"/>
      <c r="X244" s="12">
        <f t="shared" si="38"/>
        <v>0</v>
      </c>
      <c r="Y244" s="12"/>
      <c r="Z244" s="12"/>
      <c r="AA244" s="13">
        <f t="shared" si="39"/>
        <v>0</v>
      </c>
      <c r="AB244" s="14">
        <v>46028</v>
      </c>
    </row>
    <row r="245" spans="1:28" ht="15.75" hidden="1" x14ac:dyDescent="0.25">
      <c r="A245" s="65">
        <v>46028</v>
      </c>
      <c r="B245" s="10" t="s">
        <v>158</v>
      </c>
      <c r="C245" s="10"/>
      <c r="D245" s="10" t="s">
        <v>32</v>
      </c>
      <c r="E245" s="10" t="s">
        <v>104</v>
      </c>
      <c r="F245" s="10">
        <v>10400</v>
      </c>
      <c r="G245" s="10" t="s">
        <v>26</v>
      </c>
      <c r="H245" s="10">
        <v>1825</v>
      </c>
      <c r="I245" s="10">
        <f t="shared" si="21"/>
        <v>18980000</v>
      </c>
      <c r="J245" s="52" t="s">
        <v>90</v>
      </c>
      <c r="K245" s="10" t="s">
        <v>252</v>
      </c>
      <c r="L245" s="12">
        <f t="shared" si="34"/>
        <v>0</v>
      </c>
      <c r="M245" s="12"/>
      <c r="N245" s="12"/>
      <c r="O245" s="12">
        <f t="shared" si="35"/>
        <v>0</v>
      </c>
      <c r="P245" s="12"/>
      <c r="Q245" s="12"/>
      <c r="R245" s="12">
        <f t="shared" si="36"/>
        <v>0</v>
      </c>
      <c r="S245" s="12"/>
      <c r="T245" s="12"/>
      <c r="U245" s="12">
        <f t="shared" si="37"/>
        <v>0</v>
      </c>
      <c r="V245" s="12"/>
      <c r="W245" s="12"/>
      <c r="X245" s="12">
        <f t="shared" si="38"/>
        <v>0</v>
      </c>
      <c r="Y245" s="12"/>
      <c r="Z245" s="12"/>
      <c r="AA245" s="13">
        <f t="shared" si="39"/>
        <v>18980000</v>
      </c>
      <c r="AB245" s="14"/>
    </row>
    <row r="246" spans="1:28" ht="15.75" hidden="1" x14ac:dyDescent="0.25">
      <c r="A246" s="65">
        <v>46028</v>
      </c>
      <c r="B246" s="10" t="s">
        <v>238</v>
      </c>
      <c r="C246" s="10"/>
      <c r="D246" s="10" t="s">
        <v>32</v>
      </c>
      <c r="E246" s="10" t="s">
        <v>65</v>
      </c>
      <c r="F246" s="10">
        <v>100</v>
      </c>
      <c r="G246" s="10" t="s">
        <v>26</v>
      </c>
      <c r="H246" s="10">
        <v>3600</v>
      </c>
      <c r="I246" s="10">
        <f t="shared" si="21"/>
        <v>360000</v>
      </c>
      <c r="J246" s="29" t="s">
        <v>110</v>
      </c>
      <c r="K246" s="10"/>
      <c r="L246" s="12">
        <f t="shared" si="34"/>
        <v>0</v>
      </c>
      <c r="M246" s="12"/>
      <c r="N246" s="12"/>
      <c r="O246" s="12">
        <f t="shared" si="35"/>
        <v>360000</v>
      </c>
      <c r="P246" s="12">
        <v>360000</v>
      </c>
      <c r="Q246" s="12"/>
      <c r="R246" s="12">
        <f t="shared" si="36"/>
        <v>0</v>
      </c>
      <c r="S246" s="12"/>
      <c r="T246" s="12"/>
      <c r="U246" s="12">
        <f t="shared" si="37"/>
        <v>0</v>
      </c>
      <c r="V246" s="12"/>
      <c r="W246" s="12"/>
      <c r="X246" s="12">
        <f t="shared" si="38"/>
        <v>0</v>
      </c>
      <c r="Y246" s="12"/>
      <c r="Z246" s="12"/>
      <c r="AA246" s="13">
        <f t="shared" si="39"/>
        <v>0</v>
      </c>
      <c r="AB246" s="14">
        <v>46028</v>
      </c>
    </row>
    <row r="247" spans="1:28" ht="15.75" hidden="1" x14ac:dyDescent="0.25">
      <c r="A247" s="65">
        <v>46028</v>
      </c>
      <c r="B247" s="10" t="s">
        <v>127</v>
      </c>
      <c r="C247" s="10"/>
      <c r="D247" s="10" t="s">
        <v>32</v>
      </c>
      <c r="E247" s="10" t="s">
        <v>65</v>
      </c>
      <c r="F247" s="10">
        <v>10400</v>
      </c>
      <c r="G247" s="10" t="s">
        <v>26</v>
      </c>
      <c r="H247" s="10">
        <v>3900</v>
      </c>
      <c r="I247" s="10">
        <f t="shared" si="21"/>
        <v>40560000</v>
      </c>
      <c r="J247" s="52" t="s">
        <v>90</v>
      </c>
      <c r="K247" s="87" t="s">
        <v>251</v>
      </c>
      <c r="L247" s="12">
        <f t="shared" si="34"/>
        <v>0</v>
      </c>
      <c r="M247" s="12"/>
      <c r="N247" s="12"/>
      <c r="O247" s="12">
        <f t="shared" si="35"/>
        <v>0</v>
      </c>
      <c r="P247" s="12"/>
      <c r="Q247" s="12"/>
      <c r="R247" s="12">
        <f t="shared" si="36"/>
        <v>0</v>
      </c>
      <c r="S247" s="12"/>
      <c r="T247" s="12"/>
      <c r="U247" s="12">
        <f t="shared" si="37"/>
        <v>0</v>
      </c>
      <c r="V247" s="12"/>
      <c r="W247" s="12"/>
      <c r="X247" s="12">
        <f t="shared" si="38"/>
        <v>0</v>
      </c>
      <c r="Y247" s="12"/>
      <c r="Z247" s="12"/>
      <c r="AA247" s="13">
        <f t="shared" si="39"/>
        <v>40560000</v>
      </c>
      <c r="AB247" s="14"/>
    </row>
    <row r="248" spans="1:28" ht="15.75" hidden="1" x14ac:dyDescent="0.25">
      <c r="A248" s="65">
        <v>46028</v>
      </c>
      <c r="B248" s="10" t="s">
        <v>127</v>
      </c>
      <c r="C248" s="10"/>
      <c r="D248" s="10" t="s">
        <v>32</v>
      </c>
      <c r="E248" s="10" t="s">
        <v>248</v>
      </c>
      <c r="F248" s="10">
        <v>20</v>
      </c>
      <c r="G248" s="10" t="s">
        <v>36</v>
      </c>
      <c r="H248" s="10">
        <v>82000</v>
      </c>
      <c r="I248" s="10">
        <f t="shared" si="21"/>
        <v>1640000</v>
      </c>
      <c r="J248" s="52" t="s">
        <v>90</v>
      </c>
      <c r="K248" s="87" t="s">
        <v>251</v>
      </c>
      <c r="L248" s="12">
        <f t="shared" si="34"/>
        <v>0</v>
      </c>
      <c r="M248" s="12"/>
      <c r="N248" s="12"/>
      <c r="O248" s="12">
        <f t="shared" si="35"/>
        <v>0</v>
      </c>
      <c r="P248" s="12"/>
      <c r="Q248" s="12"/>
      <c r="R248" s="12">
        <f t="shared" si="36"/>
        <v>0</v>
      </c>
      <c r="S248" s="12"/>
      <c r="T248" s="12"/>
      <c r="U248" s="12">
        <f t="shared" si="37"/>
        <v>0</v>
      </c>
      <c r="V248" s="12"/>
      <c r="W248" s="12"/>
      <c r="X248" s="12">
        <f t="shared" si="38"/>
        <v>0</v>
      </c>
      <c r="Y248" s="12"/>
      <c r="Z248" s="12"/>
      <c r="AA248" s="13">
        <f t="shared" si="39"/>
        <v>1640000</v>
      </c>
      <c r="AB248" s="14"/>
    </row>
    <row r="249" spans="1:28" ht="15.75" hidden="1" x14ac:dyDescent="0.25">
      <c r="A249" s="65">
        <v>46028</v>
      </c>
      <c r="B249" s="10" t="s">
        <v>178</v>
      </c>
      <c r="C249" s="10"/>
      <c r="D249" s="10" t="s">
        <v>28</v>
      </c>
      <c r="E249" s="10" t="s">
        <v>211</v>
      </c>
      <c r="F249" s="10">
        <v>40</v>
      </c>
      <c r="G249" s="10" t="s">
        <v>36</v>
      </c>
      <c r="H249" s="10">
        <v>100000</v>
      </c>
      <c r="I249" s="10">
        <f t="shared" si="21"/>
        <v>4000000</v>
      </c>
      <c r="J249" s="29" t="s">
        <v>217</v>
      </c>
      <c r="K249" s="10"/>
      <c r="L249" s="12">
        <f t="shared" si="34"/>
        <v>0</v>
      </c>
      <c r="M249" s="12"/>
      <c r="N249" s="12"/>
      <c r="O249" s="12">
        <f t="shared" si="35"/>
        <v>0</v>
      </c>
      <c r="P249" s="12"/>
      <c r="Q249" s="12"/>
      <c r="R249" s="12">
        <f t="shared" si="36"/>
        <v>0</v>
      </c>
      <c r="S249" s="12"/>
      <c r="T249" s="12"/>
      <c r="U249" s="12">
        <f t="shared" si="37"/>
        <v>0</v>
      </c>
      <c r="V249" s="12"/>
      <c r="W249" s="12"/>
      <c r="X249" s="12">
        <f t="shared" si="38"/>
        <v>4000000</v>
      </c>
      <c r="Y249" s="12">
        <v>4000000</v>
      </c>
      <c r="Z249" s="12"/>
      <c r="AA249" s="13">
        <f t="shared" si="39"/>
        <v>0</v>
      </c>
      <c r="AB249" s="14">
        <v>46028</v>
      </c>
    </row>
    <row r="250" spans="1:28" ht="15.75" hidden="1" x14ac:dyDescent="0.25">
      <c r="A250" s="65">
        <v>46028</v>
      </c>
      <c r="B250" s="10" t="s">
        <v>249</v>
      </c>
      <c r="C250" s="10"/>
      <c r="D250" s="10" t="s">
        <v>32</v>
      </c>
      <c r="E250" s="10" t="s">
        <v>250</v>
      </c>
      <c r="F250" s="10">
        <v>92.2</v>
      </c>
      <c r="G250" s="10" t="s">
        <v>36</v>
      </c>
      <c r="H250" s="10">
        <v>100000</v>
      </c>
      <c r="I250" s="10">
        <f t="shared" si="21"/>
        <v>9220000</v>
      </c>
      <c r="J250" s="29" t="s">
        <v>110</v>
      </c>
      <c r="K250" s="10" t="s">
        <v>171</v>
      </c>
      <c r="L250" s="12">
        <f t="shared" si="34"/>
        <v>0</v>
      </c>
      <c r="M250" s="12"/>
      <c r="N250" s="12"/>
      <c r="O250" s="12">
        <f t="shared" si="35"/>
        <v>9220000</v>
      </c>
      <c r="P250" s="12">
        <v>9220000</v>
      </c>
      <c r="Q250" s="12"/>
      <c r="R250" s="12">
        <f t="shared" si="36"/>
        <v>0</v>
      </c>
      <c r="S250" s="12"/>
      <c r="T250" s="12"/>
      <c r="U250" s="12">
        <f t="shared" si="37"/>
        <v>0</v>
      </c>
      <c r="V250" s="12"/>
      <c r="W250" s="12"/>
      <c r="X250" s="12">
        <f t="shared" si="38"/>
        <v>0</v>
      </c>
      <c r="Y250" s="12"/>
      <c r="Z250" s="12"/>
      <c r="AA250" s="13">
        <f t="shared" si="39"/>
        <v>0</v>
      </c>
      <c r="AB250" s="14">
        <v>46034</v>
      </c>
    </row>
    <row r="251" spans="1:28" ht="15.75" hidden="1" x14ac:dyDescent="0.25">
      <c r="A251" s="28">
        <v>46028</v>
      </c>
      <c r="B251" s="10" t="s">
        <v>109</v>
      </c>
      <c r="C251" s="10"/>
      <c r="D251" s="10" t="s">
        <v>28</v>
      </c>
      <c r="E251" s="10" t="s">
        <v>129</v>
      </c>
      <c r="F251" s="10">
        <v>200</v>
      </c>
      <c r="G251" s="10" t="s">
        <v>26</v>
      </c>
      <c r="H251" s="10">
        <v>4000</v>
      </c>
      <c r="I251" s="10">
        <f t="shared" si="21"/>
        <v>800000</v>
      </c>
      <c r="J251" s="29" t="s">
        <v>113</v>
      </c>
      <c r="K251" s="10"/>
      <c r="L251" s="12">
        <f t="shared" si="34"/>
        <v>800000</v>
      </c>
      <c r="M251" s="12">
        <v>800000</v>
      </c>
      <c r="N251" s="12"/>
      <c r="O251" s="12">
        <f t="shared" si="35"/>
        <v>0</v>
      </c>
      <c r="P251" s="12"/>
      <c r="Q251" s="12"/>
      <c r="R251" s="12">
        <f t="shared" si="36"/>
        <v>0</v>
      </c>
      <c r="S251" s="12"/>
      <c r="T251" s="12"/>
      <c r="U251" s="12">
        <f t="shared" si="37"/>
        <v>0</v>
      </c>
      <c r="V251" s="12"/>
      <c r="W251" s="12"/>
      <c r="X251" s="12">
        <f t="shared" si="38"/>
        <v>0</v>
      </c>
      <c r="Y251" s="12"/>
      <c r="Z251" s="12"/>
      <c r="AA251" s="13">
        <f t="shared" si="39"/>
        <v>0</v>
      </c>
      <c r="AB251" s="14">
        <v>46028</v>
      </c>
    </row>
    <row r="252" spans="1:28" ht="15.75" hidden="1" x14ac:dyDescent="0.25">
      <c r="A252" s="65">
        <v>46028</v>
      </c>
      <c r="B252" s="10" t="s">
        <v>109</v>
      </c>
      <c r="C252" s="10"/>
      <c r="D252" s="10" t="s">
        <v>28</v>
      </c>
      <c r="E252" s="10" t="s">
        <v>180</v>
      </c>
      <c r="F252" s="10">
        <v>2.5</v>
      </c>
      <c r="G252" s="10" t="s">
        <v>36</v>
      </c>
      <c r="H252" s="10">
        <v>86000</v>
      </c>
      <c r="I252" s="10">
        <f t="shared" si="21"/>
        <v>215000</v>
      </c>
      <c r="J252" s="29" t="s">
        <v>113</v>
      </c>
      <c r="K252" s="10"/>
      <c r="L252" s="12">
        <f t="shared" si="34"/>
        <v>215000</v>
      </c>
      <c r="M252" s="12">
        <v>215000</v>
      </c>
      <c r="N252" s="12"/>
      <c r="O252" s="12">
        <f t="shared" si="35"/>
        <v>0</v>
      </c>
      <c r="P252" s="12"/>
      <c r="Q252" s="12"/>
      <c r="R252" s="12">
        <f t="shared" si="36"/>
        <v>0</v>
      </c>
      <c r="S252" s="12"/>
      <c r="T252" s="12"/>
      <c r="U252" s="12">
        <f t="shared" si="37"/>
        <v>0</v>
      </c>
      <c r="V252" s="12"/>
      <c r="W252" s="12"/>
      <c r="X252" s="12">
        <f t="shared" si="38"/>
        <v>0</v>
      </c>
      <c r="Y252" s="12"/>
      <c r="Z252" s="12"/>
      <c r="AA252" s="13">
        <f t="shared" si="39"/>
        <v>0</v>
      </c>
      <c r="AB252" s="14">
        <v>46028</v>
      </c>
    </row>
    <row r="253" spans="1:28" ht="16.5" hidden="1" thickBot="1" x14ac:dyDescent="0.3">
      <c r="A253" s="53">
        <v>46028</v>
      </c>
      <c r="B253" s="31" t="s">
        <v>219</v>
      </c>
      <c r="C253" s="31"/>
      <c r="D253" s="31" t="s">
        <v>206</v>
      </c>
      <c r="E253" s="31" t="s">
        <v>220</v>
      </c>
      <c r="F253" s="31">
        <v>1</v>
      </c>
      <c r="G253" s="31" t="s">
        <v>192</v>
      </c>
      <c r="H253" s="31">
        <v>900000</v>
      </c>
      <c r="I253" s="31">
        <f t="shared" si="21"/>
        <v>900000</v>
      </c>
      <c r="J253" s="51" t="s">
        <v>217</v>
      </c>
      <c r="K253" s="31"/>
      <c r="L253" s="34">
        <f t="shared" si="34"/>
        <v>0</v>
      </c>
      <c r="M253" s="34"/>
      <c r="N253" s="34"/>
      <c r="O253" s="34">
        <f t="shared" si="35"/>
        <v>0</v>
      </c>
      <c r="P253" s="34"/>
      <c r="Q253" s="34"/>
      <c r="R253" s="34">
        <f t="shared" si="36"/>
        <v>0</v>
      </c>
      <c r="S253" s="34"/>
      <c r="T253" s="34"/>
      <c r="U253" s="34">
        <f t="shared" si="37"/>
        <v>0</v>
      </c>
      <c r="V253" s="34"/>
      <c r="W253" s="34"/>
      <c r="X253" s="34">
        <f t="shared" si="38"/>
        <v>900000</v>
      </c>
      <c r="Y253" s="34">
        <v>900000</v>
      </c>
      <c r="Z253" s="34"/>
      <c r="AA253" s="35">
        <f t="shared" si="39"/>
        <v>0</v>
      </c>
      <c r="AB253" s="36">
        <v>46028</v>
      </c>
    </row>
    <row r="254" spans="1:28" ht="15.75" hidden="1" x14ac:dyDescent="0.25">
      <c r="A254" s="65">
        <v>46029</v>
      </c>
      <c r="B254" s="66" t="s">
        <v>55</v>
      </c>
      <c r="C254" s="66"/>
      <c r="D254" s="66" t="s">
        <v>32</v>
      </c>
      <c r="E254" s="66" t="s">
        <v>98</v>
      </c>
      <c r="F254" s="66">
        <v>2000</v>
      </c>
      <c r="G254" s="66" t="s">
        <v>26</v>
      </c>
      <c r="H254" s="66">
        <v>1900</v>
      </c>
      <c r="I254" s="45">
        <f t="shared" si="21"/>
        <v>3800000</v>
      </c>
      <c r="J254" s="52" t="s">
        <v>90</v>
      </c>
      <c r="K254" s="102" t="s">
        <v>188</v>
      </c>
      <c r="L254" s="48">
        <f t="shared" si="34"/>
        <v>0</v>
      </c>
      <c r="M254" s="48"/>
      <c r="N254" s="48"/>
      <c r="O254" s="48">
        <f t="shared" si="35"/>
        <v>0</v>
      </c>
      <c r="P254" s="48"/>
      <c r="Q254" s="48"/>
      <c r="R254" s="48">
        <f t="shared" si="36"/>
        <v>0</v>
      </c>
      <c r="S254" s="48"/>
      <c r="T254" s="48"/>
      <c r="U254" s="48">
        <f t="shared" si="37"/>
        <v>0</v>
      </c>
      <c r="V254" s="48"/>
      <c r="W254" s="48"/>
      <c r="X254" s="48">
        <f t="shared" si="38"/>
        <v>0</v>
      </c>
      <c r="Y254" s="48"/>
      <c r="Z254" s="48"/>
      <c r="AA254" s="49">
        <f t="shared" si="39"/>
        <v>3800000</v>
      </c>
      <c r="AB254" s="50"/>
    </row>
    <row r="255" spans="1:28" ht="15.75" hidden="1" x14ac:dyDescent="0.25">
      <c r="A255" s="65">
        <v>46029</v>
      </c>
      <c r="B255" s="10" t="s">
        <v>151</v>
      </c>
      <c r="C255" s="10"/>
      <c r="D255" s="66" t="s">
        <v>32</v>
      </c>
      <c r="E255" s="10" t="s">
        <v>129</v>
      </c>
      <c r="F255" s="10">
        <v>5200</v>
      </c>
      <c r="G255" s="10" t="s">
        <v>26</v>
      </c>
      <c r="H255" s="10">
        <v>4000</v>
      </c>
      <c r="I255" s="10">
        <f t="shared" si="21"/>
        <v>20800000</v>
      </c>
      <c r="J255" s="29" t="s">
        <v>110</v>
      </c>
      <c r="K255" s="10"/>
      <c r="L255" s="12">
        <f t="shared" ref="L255:L271" si="40">M255+N255</f>
        <v>0</v>
      </c>
      <c r="M255" s="12"/>
      <c r="N255" s="12"/>
      <c r="O255" s="12">
        <f t="shared" ref="O255:O271" si="41">P255+Q255</f>
        <v>20800000</v>
      </c>
      <c r="P255" s="12">
        <v>20800000</v>
      </c>
      <c r="Q255" s="12"/>
      <c r="R255" s="12">
        <f t="shared" ref="R255:R271" si="42">S255+T255</f>
        <v>0</v>
      </c>
      <c r="S255" s="12"/>
      <c r="T255" s="12"/>
      <c r="U255" s="12">
        <f t="shared" ref="U255:U271" si="43">V255+W255</f>
        <v>0</v>
      </c>
      <c r="V255" s="12"/>
      <c r="W255" s="12"/>
      <c r="X255" s="12">
        <f t="shared" ref="X255:X271" si="44">Y255+Z255</f>
        <v>0</v>
      </c>
      <c r="Y255" s="12"/>
      <c r="Z255" s="12"/>
      <c r="AA255" s="13">
        <f t="shared" ref="AA255:AA271" si="45">C255+I255-L255-O255-U255-X255-R255</f>
        <v>0</v>
      </c>
      <c r="AB255" s="14">
        <v>45978</v>
      </c>
    </row>
    <row r="256" spans="1:28" ht="15.75" hidden="1" x14ac:dyDescent="0.25">
      <c r="A256" s="65">
        <v>46029</v>
      </c>
      <c r="B256" s="10" t="s">
        <v>151</v>
      </c>
      <c r="C256" s="10"/>
      <c r="D256" s="66" t="s">
        <v>32</v>
      </c>
      <c r="E256" s="10" t="s">
        <v>175</v>
      </c>
      <c r="F256" s="10">
        <v>20800</v>
      </c>
      <c r="G256" s="10" t="s">
        <v>26</v>
      </c>
      <c r="H256" s="10">
        <v>1000</v>
      </c>
      <c r="I256" s="10">
        <f t="shared" si="21"/>
        <v>20800000</v>
      </c>
      <c r="J256" s="29" t="s">
        <v>40</v>
      </c>
      <c r="K256" s="10"/>
      <c r="L256" s="12">
        <f t="shared" si="40"/>
        <v>0</v>
      </c>
      <c r="M256" s="12"/>
      <c r="N256" s="12"/>
      <c r="O256" s="12">
        <f t="shared" si="41"/>
        <v>109248000</v>
      </c>
      <c r="P256" s="12">
        <v>109248000</v>
      </c>
      <c r="Q256" s="12"/>
      <c r="R256" s="12">
        <f t="shared" si="42"/>
        <v>0</v>
      </c>
      <c r="S256" s="12"/>
      <c r="T256" s="12"/>
      <c r="U256" s="12">
        <f t="shared" si="43"/>
        <v>0</v>
      </c>
      <c r="V256" s="12"/>
      <c r="W256" s="12"/>
      <c r="X256" s="12">
        <f t="shared" si="44"/>
        <v>0</v>
      </c>
      <c r="Y256" s="12"/>
      <c r="Z256" s="12"/>
      <c r="AA256" s="13">
        <f t="shared" si="45"/>
        <v>-88448000</v>
      </c>
      <c r="AB256" s="14">
        <v>45978</v>
      </c>
    </row>
    <row r="257" spans="1:28" ht="15.75" hidden="1" x14ac:dyDescent="0.25">
      <c r="A257" s="65">
        <v>46029</v>
      </c>
      <c r="B257" s="10" t="s">
        <v>234</v>
      </c>
      <c r="C257" s="10"/>
      <c r="D257" s="66" t="s">
        <v>32</v>
      </c>
      <c r="E257" s="10" t="s">
        <v>254</v>
      </c>
      <c r="F257" s="10">
        <v>5</v>
      </c>
      <c r="G257" s="10" t="s">
        <v>192</v>
      </c>
      <c r="H257" s="10">
        <v>900000</v>
      </c>
      <c r="I257" s="10">
        <f t="shared" si="21"/>
        <v>4500000</v>
      </c>
      <c r="J257" s="52" t="s">
        <v>90</v>
      </c>
      <c r="K257" s="88" t="s">
        <v>188</v>
      </c>
      <c r="L257" s="12">
        <f t="shared" si="40"/>
        <v>0</v>
      </c>
      <c r="M257" s="12"/>
      <c r="N257" s="12"/>
      <c r="O257" s="12">
        <f t="shared" si="41"/>
        <v>0</v>
      </c>
      <c r="P257" s="12"/>
      <c r="Q257" s="12"/>
      <c r="R257" s="12">
        <f t="shared" si="42"/>
        <v>0</v>
      </c>
      <c r="S257" s="12"/>
      <c r="T257" s="12"/>
      <c r="U257" s="12">
        <f t="shared" si="43"/>
        <v>0</v>
      </c>
      <c r="V257" s="12"/>
      <c r="W257" s="12"/>
      <c r="X257" s="12">
        <f t="shared" si="44"/>
        <v>0</v>
      </c>
      <c r="Y257" s="12"/>
      <c r="Z257" s="12"/>
      <c r="AA257" s="13">
        <f t="shared" si="45"/>
        <v>4500000</v>
      </c>
      <c r="AB257" s="14"/>
    </row>
    <row r="258" spans="1:28" ht="15.75" hidden="1" x14ac:dyDescent="0.25">
      <c r="A258" s="65">
        <v>46029</v>
      </c>
      <c r="B258" s="10" t="s">
        <v>255</v>
      </c>
      <c r="C258" s="10"/>
      <c r="D258" s="10" t="s">
        <v>206</v>
      </c>
      <c r="E258" s="10" t="s">
        <v>164</v>
      </c>
      <c r="F258" s="10">
        <v>34.1</v>
      </c>
      <c r="G258" s="10" t="s">
        <v>36</v>
      </c>
      <c r="H258" s="10">
        <v>43000</v>
      </c>
      <c r="I258" s="10">
        <f t="shared" si="21"/>
        <v>1466300</v>
      </c>
      <c r="J258" s="29" t="s">
        <v>113</v>
      </c>
      <c r="K258" s="10"/>
      <c r="L258" s="12">
        <f t="shared" si="40"/>
        <v>1466300</v>
      </c>
      <c r="M258" s="12">
        <v>1466300</v>
      </c>
      <c r="N258" s="12"/>
      <c r="O258" s="12">
        <f t="shared" si="41"/>
        <v>0</v>
      </c>
      <c r="P258" s="12"/>
      <c r="Q258" s="12"/>
      <c r="R258" s="12">
        <f t="shared" si="42"/>
        <v>0</v>
      </c>
      <c r="S258" s="12"/>
      <c r="T258" s="12"/>
      <c r="U258" s="12">
        <f t="shared" si="43"/>
        <v>0</v>
      </c>
      <c r="V258" s="12"/>
      <c r="W258" s="12"/>
      <c r="X258" s="12">
        <f t="shared" si="44"/>
        <v>0</v>
      </c>
      <c r="Y258" s="12"/>
      <c r="Z258" s="12"/>
      <c r="AA258" s="13">
        <f t="shared" si="45"/>
        <v>0</v>
      </c>
      <c r="AB258" s="14">
        <v>46029</v>
      </c>
    </row>
    <row r="259" spans="1:28" ht="15.75" hidden="1" x14ac:dyDescent="0.25">
      <c r="A259" s="65">
        <v>46029</v>
      </c>
      <c r="B259" s="10" t="s">
        <v>69</v>
      </c>
      <c r="C259" s="10"/>
      <c r="D259" s="10" t="s">
        <v>28</v>
      </c>
      <c r="E259" s="10" t="s">
        <v>116</v>
      </c>
      <c r="F259" s="10">
        <v>8</v>
      </c>
      <c r="G259" s="10" t="s">
        <v>67</v>
      </c>
      <c r="H259" s="10">
        <v>65000</v>
      </c>
      <c r="I259" s="10">
        <f t="shared" si="21"/>
        <v>520000</v>
      </c>
      <c r="J259" s="29" t="s">
        <v>110</v>
      </c>
      <c r="K259" s="10" t="s">
        <v>241</v>
      </c>
      <c r="L259" s="12">
        <f t="shared" si="40"/>
        <v>0</v>
      </c>
      <c r="M259" s="12"/>
      <c r="N259" s="12"/>
      <c r="O259" s="12">
        <f t="shared" si="41"/>
        <v>520000</v>
      </c>
      <c r="P259" s="12">
        <v>520000</v>
      </c>
      <c r="Q259" s="12"/>
      <c r="R259" s="12">
        <f t="shared" si="42"/>
        <v>0</v>
      </c>
      <c r="S259" s="12"/>
      <c r="T259" s="12"/>
      <c r="U259" s="12">
        <f t="shared" si="43"/>
        <v>0</v>
      </c>
      <c r="V259" s="12"/>
      <c r="W259" s="12"/>
      <c r="X259" s="12">
        <f t="shared" si="44"/>
        <v>0</v>
      </c>
      <c r="Y259" s="12"/>
      <c r="Z259" s="12"/>
      <c r="AA259" s="13">
        <f t="shared" si="45"/>
        <v>0</v>
      </c>
      <c r="AB259" s="14">
        <v>46036</v>
      </c>
    </row>
    <row r="260" spans="1:28" ht="15.75" hidden="1" x14ac:dyDescent="0.25">
      <c r="A260" s="65">
        <v>46029</v>
      </c>
      <c r="B260" s="10" t="s">
        <v>256</v>
      </c>
      <c r="C260" s="10"/>
      <c r="D260" s="10" t="s">
        <v>28</v>
      </c>
      <c r="E260" s="10" t="s">
        <v>116</v>
      </c>
      <c r="F260" s="10">
        <v>24</v>
      </c>
      <c r="G260" s="10" t="s">
        <v>67</v>
      </c>
      <c r="H260" s="10">
        <v>65000</v>
      </c>
      <c r="I260" s="10">
        <f t="shared" si="21"/>
        <v>1560000</v>
      </c>
      <c r="J260" s="29" t="s">
        <v>110</v>
      </c>
      <c r="K260" s="95" t="s">
        <v>171</v>
      </c>
      <c r="L260" s="12">
        <f t="shared" si="40"/>
        <v>0</v>
      </c>
      <c r="M260" s="12"/>
      <c r="N260" s="12"/>
      <c r="O260" s="12">
        <f t="shared" si="41"/>
        <v>0</v>
      </c>
      <c r="P260" s="12"/>
      <c r="Q260" s="12"/>
      <c r="R260" s="12">
        <f t="shared" si="42"/>
        <v>1560000</v>
      </c>
      <c r="S260" s="12">
        <v>1560000</v>
      </c>
      <c r="T260" s="12"/>
      <c r="U260" s="12">
        <f t="shared" si="43"/>
        <v>0</v>
      </c>
      <c r="V260" s="12"/>
      <c r="W260" s="12"/>
      <c r="X260" s="12">
        <f t="shared" si="44"/>
        <v>0</v>
      </c>
      <c r="Y260" s="12"/>
      <c r="Z260" s="12"/>
      <c r="AA260" s="13">
        <f t="shared" si="45"/>
        <v>0</v>
      </c>
      <c r="AB260" s="14">
        <v>46038</v>
      </c>
    </row>
    <row r="261" spans="1:28" ht="15.75" hidden="1" x14ac:dyDescent="0.25">
      <c r="A261" s="65">
        <v>46029</v>
      </c>
      <c r="B261" s="10" t="s">
        <v>257</v>
      </c>
      <c r="C261" s="10"/>
      <c r="D261" s="10" t="s">
        <v>206</v>
      </c>
      <c r="E261" s="10" t="s">
        <v>25</v>
      </c>
      <c r="F261" s="85">
        <v>200</v>
      </c>
      <c r="G261" s="10" t="s">
        <v>26</v>
      </c>
      <c r="H261" s="10">
        <v>2700</v>
      </c>
      <c r="I261" s="10">
        <f t="shared" si="21"/>
        <v>540000</v>
      </c>
      <c r="J261" s="29" t="s">
        <v>113</v>
      </c>
      <c r="K261" s="10"/>
      <c r="L261" s="12">
        <f t="shared" si="40"/>
        <v>0</v>
      </c>
      <c r="M261" s="12"/>
      <c r="N261" s="12"/>
      <c r="O261" s="12">
        <f t="shared" si="41"/>
        <v>0</v>
      </c>
      <c r="P261" s="12"/>
      <c r="Q261" s="12"/>
      <c r="R261" s="12">
        <f t="shared" si="42"/>
        <v>0</v>
      </c>
      <c r="S261" s="12"/>
      <c r="T261" s="12"/>
      <c r="U261" s="12">
        <f t="shared" si="43"/>
        <v>540000</v>
      </c>
      <c r="V261" s="12">
        <v>540000</v>
      </c>
      <c r="W261" s="12"/>
      <c r="X261" s="12">
        <f t="shared" si="44"/>
        <v>0</v>
      </c>
      <c r="Y261" s="12"/>
      <c r="Z261" s="12"/>
      <c r="AA261" s="13">
        <f t="shared" si="45"/>
        <v>0</v>
      </c>
      <c r="AB261" s="14">
        <v>46029</v>
      </c>
    </row>
    <row r="262" spans="1:28" ht="15.75" hidden="1" x14ac:dyDescent="0.25">
      <c r="A262" s="65">
        <v>46029</v>
      </c>
      <c r="B262" s="10" t="s">
        <v>258</v>
      </c>
      <c r="C262" s="10"/>
      <c r="D262" s="10" t="s">
        <v>206</v>
      </c>
      <c r="E262" s="10" t="s">
        <v>214</v>
      </c>
      <c r="F262" s="10">
        <v>400</v>
      </c>
      <c r="G262" s="10" t="s">
        <v>26</v>
      </c>
      <c r="H262" s="10">
        <v>1700</v>
      </c>
      <c r="I262" s="10">
        <f t="shared" si="21"/>
        <v>680000</v>
      </c>
      <c r="J262" s="29" t="s">
        <v>110</v>
      </c>
      <c r="K262" s="10"/>
      <c r="L262" s="12">
        <f t="shared" si="40"/>
        <v>0</v>
      </c>
      <c r="M262" s="12"/>
      <c r="N262" s="12"/>
      <c r="O262" s="12">
        <f t="shared" si="41"/>
        <v>680000</v>
      </c>
      <c r="P262" s="12">
        <v>680000</v>
      </c>
      <c r="Q262" s="12"/>
      <c r="R262" s="12">
        <f t="shared" si="42"/>
        <v>0</v>
      </c>
      <c r="S262" s="12"/>
      <c r="T262" s="12"/>
      <c r="U262" s="12">
        <f t="shared" si="43"/>
        <v>0</v>
      </c>
      <c r="V262" s="12"/>
      <c r="W262" s="12"/>
      <c r="X262" s="12">
        <f t="shared" si="44"/>
        <v>0</v>
      </c>
      <c r="Y262" s="12"/>
      <c r="Z262" s="12"/>
      <c r="AA262" s="13">
        <f t="shared" si="45"/>
        <v>0</v>
      </c>
      <c r="AB262" s="14">
        <v>46029</v>
      </c>
    </row>
    <row r="263" spans="1:28" ht="15.75" hidden="1" x14ac:dyDescent="0.25">
      <c r="A263" s="65">
        <v>46029</v>
      </c>
      <c r="B263" s="10" t="s">
        <v>259</v>
      </c>
      <c r="C263" s="10"/>
      <c r="D263" s="10" t="s">
        <v>206</v>
      </c>
      <c r="E263" s="10" t="s">
        <v>161</v>
      </c>
      <c r="F263" s="10">
        <v>1</v>
      </c>
      <c r="G263" s="10" t="s">
        <v>61</v>
      </c>
      <c r="H263" s="10">
        <v>230000</v>
      </c>
      <c r="I263" s="10">
        <f t="shared" ref="I263:I326" si="46">F263*H263</f>
        <v>230000</v>
      </c>
      <c r="J263" s="29" t="s">
        <v>110</v>
      </c>
      <c r="K263" s="95" t="s">
        <v>261</v>
      </c>
      <c r="L263" s="12">
        <f t="shared" si="40"/>
        <v>0</v>
      </c>
      <c r="M263" s="12"/>
      <c r="N263" s="12"/>
      <c r="O263" s="12">
        <f t="shared" si="41"/>
        <v>0</v>
      </c>
      <c r="P263" s="12"/>
      <c r="Q263" s="12"/>
      <c r="R263" s="12">
        <f t="shared" si="42"/>
        <v>230000</v>
      </c>
      <c r="S263" s="12">
        <v>230000</v>
      </c>
      <c r="T263" s="12"/>
      <c r="U263" s="12">
        <f t="shared" si="43"/>
        <v>0</v>
      </c>
      <c r="V263" s="12"/>
      <c r="W263" s="12"/>
      <c r="X263" s="12">
        <f t="shared" si="44"/>
        <v>0</v>
      </c>
      <c r="Y263" s="12"/>
      <c r="Z263" s="12"/>
      <c r="AA263" s="13">
        <f t="shared" si="45"/>
        <v>0</v>
      </c>
      <c r="AB263" s="14">
        <v>46043</v>
      </c>
    </row>
    <row r="264" spans="1:28" ht="15.75" hidden="1" x14ac:dyDescent="0.25">
      <c r="A264" s="65">
        <v>46029</v>
      </c>
      <c r="B264" s="10" t="s">
        <v>55</v>
      </c>
      <c r="C264" s="10"/>
      <c r="D264" s="10" t="s">
        <v>32</v>
      </c>
      <c r="E264" s="10" t="s">
        <v>117</v>
      </c>
      <c r="F264" s="10">
        <v>10</v>
      </c>
      <c r="G264" s="10" t="s">
        <v>36</v>
      </c>
      <c r="H264" s="10">
        <v>70000</v>
      </c>
      <c r="I264" s="10">
        <f t="shared" si="46"/>
        <v>700000</v>
      </c>
      <c r="J264" s="52" t="s">
        <v>90</v>
      </c>
      <c r="K264" s="88" t="s">
        <v>188</v>
      </c>
      <c r="L264" s="12">
        <f t="shared" si="40"/>
        <v>0</v>
      </c>
      <c r="M264" s="12"/>
      <c r="N264" s="12"/>
      <c r="O264" s="12">
        <f t="shared" si="41"/>
        <v>0</v>
      </c>
      <c r="P264" s="12"/>
      <c r="Q264" s="12"/>
      <c r="R264" s="12">
        <f t="shared" si="42"/>
        <v>0</v>
      </c>
      <c r="S264" s="12"/>
      <c r="T264" s="12"/>
      <c r="U264" s="12">
        <f t="shared" si="43"/>
        <v>0</v>
      </c>
      <c r="V264" s="12"/>
      <c r="W264" s="12"/>
      <c r="X264" s="12">
        <f t="shared" si="44"/>
        <v>0</v>
      </c>
      <c r="Y264" s="12"/>
      <c r="Z264" s="12"/>
      <c r="AA264" s="13">
        <f t="shared" si="45"/>
        <v>700000</v>
      </c>
      <c r="AB264" s="14"/>
    </row>
    <row r="265" spans="1:28" ht="15.75" hidden="1" x14ac:dyDescent="0.25">
      <c r="A265" s="65">
        <v>46029</v>
      </c>
      <c r="B265" s="10" t="s">
        <v>55</v>
      </c>
      <c r="C265" s="10"/>
      <c r="D265" s="10" t="s">
        <v>32</v>
      </c>
      <c r="E265" s="10" t="s">
        <v>80</v>
      </c>
      <c r="F265" s="10">
        <v>45.4</v>
      </c>
      <c r="G265" s="10" t="s">
        <v>36</v>
      </c>
      <c r="H265" s="10">
        <v>43000</v>
      </c>
      <c r="I265" s="10">
        <f t="shared" si="46"/>
        <v>1952200</v>
      </c>
      <c r="J265" s="52" t="s">
        <v>90</v>
      </c>
      <c r="K265" s="88" t="s">
        <v>188</v>
      </c>
      <c r="L265" s="12">
        <f t="shared" si="40"/>
        <v>0</v>
      </c>
      <c r="M265" s="12"/>
      <c r="N265" s="12"/>
      <c r="O265" s="12">
        <f t="shared" si="41"/>
        <v>0</v>
      </c>
      <c r="P265" s="12"/>
      <c r="Q265" s="12"/>
      <c r="R265" s="12">
        <f t="shared" si="42"/>
        <v>0</v>
      </c>
      <c r="S265" s="12"/>
      <c r="T265" s="12"/>
      <c r="U265" s="12">
        <f t="shared" si="43"/>
        <v>0</v>
      </c>
      <c r="V265" s="12"/>
      <c r="W265" s="12"/>
      <c r="X265" s="12">
        <f t="shared" si="44"/>
        <v>0</v>
      </c>
      <c r="Y265" s="12"/>
      <c r="Z265" s="12"/>
      <c r="AA265" s="13">
        <f t="shared" si="45"/>
        <v>1952200</v>
      </c>
      <c r="AB265" s="14"/>
    </row>
    <row r="266" spans="1:28" ht="15.75" hidden="1" x14ac:dyDescent="0.25">
      <c r="A266" s="65">
        <v>46029</v>
      </c>
      <c r="B266" s="10" t="s">
        <v>230</v>
      </c>
      <c r="C266" s="10"/>
      <c r="D266" s="10" t="s">
        <v>206</v>
      </c>
      <c r="E266" s="10" t="s">
        <v>98</v>
      </c>
      <c r="F266" s="10">
        <v>1800</v>
      </c>
      <c r="G266" s="10" t="s">
        <v>26</v>
      </c>
      <c r="H266" s="10">
        <v>1800</v>
      </c>
      <c r="I266" s="10">
        <f t="shared" si="46"/>
        <v>3240000</v>
      </c>
      <c r="J266" s="29" t="s">
        <v>110</v>
      </c>
      <c r="K266" s="10"/>
      <c r="L266" s="12">
        <f t="shared" si="40"/>
        <v>0</v>
      </c>
      <c r="M266" s="12"/>
      <c r="N266" s="12"/>
      <c r="O266" s="12">
        <f t="shared" si="41"/>
        <v>0</v>
      </c>
      <c r="P266" s="12"/>
      <c r="Q266" s="12"/>
      <c r="R266" s="12">
        <f t="shared" si="42"/>
        <v>3240000</v>
      </c>
      <c r="S266" s="12">
        <v>3240000</v>
      </c>
      <c r="T266" s="12"/>
      <c r="U266" s="12">
        <f t="shared" si="43"/>
        <v>0</v>
      </c>
      <c r="V266" s="12"/>
      <c r="W266" s="12"/>
      <c r="X266" s="12">
        <f t="shared" si="44"/>
        <v>0</v>
      </c>
      <c r="Y266" s="12"/>
      <c r="Z266" s="12"/>
      <c r="AA266" s="13">
        <f t="shared" si="45"/>
        <v>0</v>
      </c>
      <c r="AB266" s="14">
        <v>46029</v>
      </c>
    </row>
    <row r="267" spans="1:28" ht="15.75" hidden="1" x14ac:dyDescent="0.25">
      <c r="A267" s="65">
        <v>46029</v>
      </c>
      <c r="B267" s="10" t="s">
        <v>122</v>
      </c>
      <c r="C267" s="10"/>
      <c r="D267" s="10" t="s">
        <v>32</v>
      </c>
      <c r="E267" s="10" t="s">
        <v>65</v>
      </c>
      <c r="F267" s="10">
        <v>20800</v>
      </c>
      <c r="G267" s="10" t="s">
        <v>26</v>
      </c>
      <c r="H267" s="10">
        <v>3800</v>
      </c>
      <c r="I267" s="10">
        <f t="shared" si="46"/>
        <v>79040000</v>
      </c>
      <c r="J267" s="52" t="s">
        <v>90</v>
      </c>
      <c r="K267" s="10" t="s">
        <v>252</v>
      </c>
      <c r="L267" s="12">
        <f t="shared" si="40"/>
        <v>0</v>
      </c>
      <c r="M267" s="12"/>
      <c r="N267" s="12"/>
      <c r="O267" s="12">
        <f t="shared" si="41"/>
        <v>0</v>
      </c>
      <c r="P267" s="12"/>
      <c r="Q267" s="12"/>
      <c r="R267" s="12">
        <f t="shared" si="42"/>
        <v>0</v>
      </c>
      <c r="S267" s="12"/>
      <c r="T267" s="12"/>
      <c r="U267" s="12">
        <f t="shared" si="43"/>
        <v>0</v>
      </c>
      <c r="V267" s="12"/>
      <c r="W267" s="12"/>
      <c r="X267" s="12">
        <f t="shared" si="44"/>
        <v>0</v>
      </c>
      <c r="Y267" s="12"/>
      <c r="Z267" s="12"/>
      <c r="AA267" s="13">
        <f t="shared" si="45"/>
        <v>79040000</v>
      </c>
      <c r="AB267" s="14"/>
    </row>
    <row r="268" spans="1:28" ht="15.75" hidden="1" x14ac:dyDescent="0.25">
      <c r="A268" s="28">
        <v>46029</v>
      </c>
      <c r="B268" s="10" t="s">
        <v>122</v>
      </c>
      <c r="C268" s="10"/>
      <c r="D268" s="10" t="s">
        <v>32</v>
      </c>
      <c r="E268" s="10" t="s">
        <v>130</v>
      </c>
      <c r="F268" s="10">
        <v>40</v>
      </c>
      <c r="G268" s="10" t="s">
        <v>67</v>
      </c>
      <c r="H268" s="10">
        <v>50000</v>
      </c>
      <c r="I268" s="10">
        <f t="shared" si="46"/>
        <v>2000000</v>
      </c>
      <c r="J268" s="52" t="s">
        <v>90</v>
      </c>
      <c r="K268" s="10" t="s">
        <v>252</v>
      </c>
      <c r="L268" s="12">
        <f t="shared" si="40"/>
        <v>0</v>
      </c>
      <c r="M268" s="12"/>
      <c r="N268" s="12"/>
      <c r="O268" s="12">
        <f t="shared" si="41"/>
        <v>0</v>
      </c>
      <c r="P268" s="12"/>
      <c r="Q268" s="12"/>
      <c r="R268" s="12">
        <f t="shared" si="42"/>
        <v>0</v>
      </c>
      <c r="S268" s="12"/>
      <c r="T268" s="12"/>
      <c r="U268" s="12">
        <f t="shared" si="43"/>
        <v>0</v>
      </c>
      <c r="V268" s="12"/>
      <c r="W268" s="12"/>
      <c r="X268" s="12">
        <f t="shared" si="44"/>
        <v>0</v>
      </c>
      <c r="Y268" s="12"/>
      <c r="Z268" s="12"/>
      <c r="AA268" s="13">
        <f t="shared" si="45"/>
        <v>2000000</v>
      </c>
      <c r="AB268" s="14"/>
    </row>
    <row r="269" spans="1:28" ht="15.75" hidden="1" x14ac:dyDescent="0.25">
      <c r="A269" s="65">
        <v>46029</v>
      </c>
      <c r="B269" s="10" t="s">
        <v>221</v>
      </c>
      <c r="C269" s="10"/>
      <c r="D269" s="10" t="s">
        <v>32</v>
      </c>
      <c r="E269" s="10" t="s">
        <v>86</v>
      </c>
      <c r="F269" s="10">
        <v>321.39999999999998</v>
      </c>
      <c r="G269" s="10" t="s">
        <v>36</v>
      </c>
      <c r="H269" s="10">
        <v>43000</v>
      </c>
      <c r="I269" s="10">
        <f t="shared" si="46"/>
        <v>13820199.999999998</v>
      </c>
      <c r="J269" s="29" t="s">
        <v>110</v>
      </c>
      <c r="K269" s="10" t="s">
        <v>241</v>
      </c>
      <c r="L269" s="12">
        <f t="shared" si="40"/>
        <v>0</v>
      </c>
      <c r="M269" s="12"/>
      <c r="N269" s="12"/>
      <c r="O269" s="12">
        <f t="shared" si="41"/>
        <v>13820200</v>
      </c>
      <c r="P269" s="12">
        <v>13820200</v>
      </c>
      <c r="Q269" s="12"/>
      <c r="R269" s="12">
        <f t="shared" si="42"/>
        <v>0</v>
      </c>
      <c r="S269" s="12"/>
      <c r="T269" s="12"/>
      <c r="U269" s="12">
        <f t="shared" si="43"/>
        <v>0</v>
      </c>
      <c r="V269" s="12"/>
      <c r="W269" s="12"/>
      <c r="X269" s="12">
        <f t="shared" si="44"/>
        <v>0</v>
      </c>
      <c r="Y269" s="12"/>
      <c r="Z269" s="12"/>
      <c r="AA269" s="13">
        <f t="shared" si="45"/>
        <v>-1.862645149230957E-9</v>
      </c>
      <c r="AB269" s="14">
        <v>46035</v>
      </c>
    </row>
    <row r="270" spans="1:28" ht="16.5" hidden="1" thickBot="1" x14ac:dyDescent="0.3">
      <c r="A270" s="53">
        <v>46029</v>
      </c>
      <c r="B270" s="31" t="s">
        <v>253</v>
      </c>
      <c r="C270" s="31"/>
      <c r="D270" s="31" t="s">
        <v>28</v>
      </c>
      <c r="E270" s="31" t="s">
        <v>104</v>
      </c>
      <c r="F270" s="31">
        <v>1400</v>
      </c>
      <c r="G270" s="31" t="s">
        <v>26</v>
      </c>
      <c r="H270" s="31">
        <v>1950</v>
      </c>
      <c r="I270" s="31">
        <f t="shared" si="46"/>
        <v>2730000</v>
      </c>
      <c r="J270" s="51" t="s">
        <v>113</v>
      </c>
      <c r="K270" s="31"/>
      <c r="L270" s="34">
        <f t="shared" si="40"/>
        <v>0</v>
      </c>
      <c r="M270" s="34"/>
      <c r="N270" s="34"/>
      <c r="O270" s="34">
        <f t="shared" si="41"/>
        <v>0</v>
      </c>
      <c r="P270" s="34"/>
      <c r="Q270" s="34"/>
      <c r="R270" s="34">
        <f t="shared" si="42"/>
        <v>0</v>
      </c>
      <c r="S270" s="34"/>
      <c r="T270" s="34"/>
      <c r="U270" s="34">
        <f t="shared" si="43"/>
        <v>2730000</v>
      </c>
      <c r="V270" s="34">
        <f>1000000+1730000</f>
        <v>2730000</v>
      </c>
      <c r="W270" s="34"/>
      <c r="X270" s="34">
        <f t="shared" si="44"/>
        <v>0</v>
      </c>
      <c r="Y270" s="34"/>
      <c r="Z270" s="34"/>
      <c r="AA270" s="35">
        <f t="shared" si="45"/>
        <v>0</v>
      </c>
      <c r="AB270" s="36">
        <v>46029</v>
      </c>
    </row>
    <row r="271" spans="1:28" ht="15.75" hidden="1" x14ac:dyDescent="0.25">
      <c r="A271" s="65">
        <v>46030</v>
      </c>
      <c r="B271" s="66" t="s">
        <v>231</v>
      </c>
      <c r="C271" s="66"/>
      <c r="D271" s="66" t="s">
        <v>32</v>
      </c>
      <c r="E271" s="66" t="s">
        <v>184</v>
      </c>
      <c r="F271" s="66">
        <v>20.399999999999999</v>
      </c>
      <c r="G271" s="66" t="s">
        <v>36</v>
      </c>
      <c r="H271" s="66">
        <v>43000</v>
      </c>
      <c r="I271" s="10">
        <f t="shared" si="46"/>
        <v>877199.99999999988</v>
      </c>
      <c r="J271" s="84" t="s">
        <v>113</v>
      </c>
      <c r="K271" s="66"/>
      <c r="L271" s="12">
        <f t="shared" si="40"/>
        <v>877200</v>
      </c>
      <c r="M271" s="12">
        <v>877200</v>
      </c>
      <c r="N271" s="12"/>
      <c r="O271" s="12">
        <f t="shared" si="41"/>
        <v>0</v>
      </c>
      <c r="P271" s="12"/>
      <c r="Q271" s="12"/>
      <c r="R271" s="12">
        <f t="shared" si="42"/>
        <v>0</v>
      </c>
      <c r="S271" s="12"/>
      <c r="T271" s="12"/>
      <c r="U271" s="12">
        <f t="shared" si="43"/>
        <v>0</v>
      </c>
      <c r="V271" s="12"/>
      <c r="W271" s="12"/>
      <c r="X271" s="12">
        <f t="shared" si="44"/>
        <v>0</v>
      </c>
      <c r="Y271" s="12"/>
      <c r="Z271" s="12"/>
      <c r="AA271" s="13">
        <f t="shared" si="45"/>
        <v>-1.1641532182693481E-10</v>
      </c>
      <c r="AB271" s="14">
        <v>46030</v>
      </c>
    </row>
    <row r="272" spans="1:28" ht="15.75" hidden="1" x14ac:dyDescent="0.25">
      <c r="A272" s="65">
        <v>46030</v>
      </c>
      <c r="B272" s="66" t="s">
        <v>231</v>
      </c>
      <c r="C272" s="10"/>
      <c r="D272" s="66" t="s">
        <v>32</v>
      </c>
      <c r="E272" s="10" t="s">
        <v>107</v>
      </c>
      <c r="F272" s="10">
        <v>20</v>
      </c>
      <c r="G272" s="10" t="s">
        <v>36</v>
      </c>
      <c r="H272" s="10">
        <v>55000</v>
      </c>
      <c r="I272" s="10">
        <f t="shared" si="46"/>
        <v>1100000</v>
      </c>
      <c r="J272" s="84" t="s">
        <v>113</v>
      </c>
      <c r="K272" s="10"/>
      <c r="L272" s="12">
        <f t="shared" ref="L272:L296" si="47">M272+N272</f>
        <v>1100000</v>
      </c>
      <c r="M272" s="12">
        <v>1100000</v>
      </c>
      <c r="N272" s="12"/>
      <c r="O272" s="12">
        <f t="shared" ref="O272:O296" si="48">P272+Q272</f>
        <v>0</v>
      </c>
      <c r="P272" s="12"/>
      <c r="Q272" s="12"/>
      <c r="R272" s="12">
        <f t="shared" ref="R272:R296" si="49">S272+T272</f>
        <v>0</v>
      </c>
      <c r="S272" s="12"/>
      <c r="T272" s="12"/>
      <c r="U272" s="12">
        <f t="shared" ref="U272:U296" si="50">V272+W272</f>
        <v>0</v>
      </c>
      <c r="V272" s="12"/>
      <c r="W272" s="12"/>
      <c r="X272" s="12">
        <f t="shared" ref="X272:X296" si="51">Y272+Z272</f>
        <v>0</v>
      </c>
      <c r="Y272" s="12"/>
      <c r="Z272" s="12"/>
      <c r="AA272" s="13">
        <f t="shared" ref="AA272:AA296" si="52">C272+I272-L272-O272-U272-X272-R272</f>
        <v>0</v>
      </c>
      <c r="AB272" s="14">
        <v>46030</v>
      </c>
    </row>
    <row r="273" spans="1:28" ht="15.75" hidden="1" x14ac:dyDescent="0.25">
      <c r="A273" s="65">
        <v>46030</v>
      </c>
      <c r="B273" s="66" t="s">
        <v>231</v>
      </c>
      <c r="C273" s="10"/>
      <c r="D273" s="66" t="s">
        <v>32</v>
      </c>
      <c r="E273" s="10" t="s">
        <v>205</v>
      </c>
      <c r="F273" s="10">
        <v>25</v>
      </c>
      <c r="G273" s="10" t="s">
        <v>36</v>
      </c>
      <c r="H273" s="10">
        <v>55000</v>
      </c>
      <c r="I273" s="10">
        <f t="shared" si="46"/>
        <v>1375000</v>
      </c>
      <c r="J273" s="84" t="s">
        <v>113</v>
      </c>
      <c r="K273" s="60"/>
      <c r="L273" s="12">
        <f t="shared" si="47"/>
        <v>1375000</v>
      </c>
      <c r="M273" s="12">
        <v>1375000</v>
      </c>
      <c r="N273" s="12"/>
      <c r="O273" s="12">
        <f t="shared" si="48"/>
        <v>0</v>
      </c>
      <c r="P273" s="12"/>
      <c r="Q273" s="12"/>
      <c r="R273" s="12">
        <f t="shared" si="49"/>
        <v>0</v>
      </c>
      <c r="S273" s="12"/>
      <c r="T273" s="12"/>
      <c r="U273" s="12">
        <f t="shared" si="50"/>
        <v>0</v>
      </c>
      <c r="V273" s="12"/>
      <c r="W273" s="12"/>
      <c r="X273" s="12">
        <f t="shared" si="51"/>
        <v>0</v>
      </c>
      <c r="Y273" s="12"/>
      <c r="Z273" s="12"/>
      <c r="AA273" s="13">
        <f t="shared" si="52"/>
        <v>0</v>
      </c>
      <c r="AB273" s="14">
        <v>46030</v>
      </c>
    </row>
    <row r="274" spans="1:28" ht="15.75" hidden="1" x14ac:dyDescent="0.25">
      <c r="A274" s="65">
        <v>46030</v>
      </c>
      <c r="B274" s="66" t="s">
        <v>231</v>
      </c>
      <c r="C274" s="10"/>
      <c r="D274" s="66" t="s">
        <v>32</v>
      </c>
      <c r="E274" s="10" t="s">
        <v>116</v>
      </c>
      <c r="F274" s="60">
        <v>12</v>
      </c>
      <c r="G274" s="10" t="s">
        <v>67</v>
      </c>
      <c r="H274" s="60">
        <v>65000</v>
      </c>
      <c r="I274" s="10">
        <f t="shared" si="46"/>
        <v>780000</v>
      </c>
      <c r="J274" s="84" t="s">
        <v>113</v>
      </c>
      <c r="K274" s="60"/>
      <c r="L274" s="12">
        <f t="shared" si="47"/>
        <v>780000</v>
      </c>
      <c r="M274" s="12">
        <v>780000</v>
      </c>
      <c r="N274" s="12"/>
      <c r="O274" s="12">
        <f t="shared" si="48"/>
        <v>0</v>
      </c>
      <c r="P274" s="12"/>
      <c r="Q274" s="12"/>
      <c r="R274" s="12">
        <f t="shared" si="49"/>
        <v>0</v>
      </c>
      <c r="S274" s="12"/>
      <c r="T274" s="12"/>
      <c r="U274" s="12">
        <f t="shared" si="50"/>
        <v>0</v>
      </c>
      <c r="V274" s="12"/>
      <c r="W274" s="12"/>
      <c r="X274" s="12">
        <f t="shared" si="51"/>
        <v>0</v>
      </c>
      <c r="Y274" s="12"/>
      <c r="Z274" s="12"/>
      <c r="AA274" s="13">
        <f t="shared" si="52"/>
        <v>0</v>
      </c>
      <c r="AB274" s="14">
        <v>46030</v>
      </c>
    </row>
    <row r="275" spans="1:28" ht="15.75" hidden="1" x14ac:dyDescent="0.25">
      <c r="A275" s="65">
        <v>46030</v>
      </c>
      <c r="B275" s="10" t="s">
        <v>262</v>
      </c>
      <c r="C275" s="10"/>
      <c r="D275" s="66" t="s">
        <v>32</v>
      </c>
      <c r="E275" s="10" t="s">
        <v>160</v>
      </c>
      <c r="F275" s="60">
        <v>1</v>
      </c>
      <c r="G275" s="10" t="s">
        <v>22</v>
      </c>
      <c r="H275" s="60">
        <v>400000</v>
      </c>
      <c r="I275" s="10">
        <f t="shared" si="46"/>
        <v>400000</v>
      </c>
      <c r="J275" s="29" t="s">
        <v>113</v>
      </c>
      <c r="K275" s="60"/>
      <c r="L275" s="12">
        <f t="shared" si="47"/>
        <v>0</v>
      </c>
      <c r="M275" s="12"/>
      <c r="N275" s="12"/>
      <c r="O275" s="12">
        <f t="shared" si="48"/>
        <v>0</v>
      </c>
      <c r="P275" s="12"/>
      <c r="Q275" s="12"/>
      <c r="R275" s="12">
        <f t="shared" si="49"/>
        <v>0</v>
      </c>
      <c r="S275" s="12"/>
      <c r="T275" s="12"/>
      <c r="U275" s="12">
        <f t="shared" si="50"/>
        <v>400000</v>
      </c>
      <c r="V275" s="12">
        <v>400000</v>
      </c>
      <c r="W275" s="12"/>
      <c r="X275" s="12">
        <f t="shared" si="51"/>
        <v>0</v>
      </c>
      <c r="Y275" s="12"/>
      <c r="Z275" s="12"/>
      <c r="AA275" s="13">
        <f t="shared" si="52"/>
        <v>0</v>
      </c>
      <c r="AB275" s="14">
        <v>46029</v>
      </c>
    </row>
    <row r="276" spans="1:28" ht="15.75" hidden="1" x14ac:dyDescent="0.25">
      <c r="A276" s="65">
        <v>46030</v>
      </c>
      <c r="B276" s="10" t="s">
        <v>53</v>
      </c>
      <c r="C276" s="10"/>
      <c r="D276" s="66" t="s">
        <v>32</v>
      </c>
      <c r="E276" s="10" t="s">
        <v>244</v>
      </c>
      <c r="F276" s="60">
        <v>10</v>
      </c>
      <c r="G276" s="10" t="s">
        <v>22</v>
      </c>
      <c r="H276" s="60">
        <v>400000</v>
      </c>
      <c r="I276" s="10">
        <f t="shared" si="46"/>
        <v>4000000</v>
      </c>
      <c r="J276" s="52" t="s">
        <v>90</v>
      </c>
      <c r="K276" s="73" t="s">
        <v>188</v>
      </c>
      <c r="L276" s="12">
        <f t="shared" si="47"/>
        <v>0</v>
      </c>
      <c r="M276" s="12"/>
      <c r="N276" s="12"/>
      <c r="O276" s="12">
        <f t="shared" si="48"/>
        <v>0</v>
      </c>
      <c r="P276" s="12"/>
      <c r="Q276" s="12"/>
      <c r="R276" s="12">
        <f t="shared" si="49"/>
        <v>0</v>
      </c>
      <c r="S276" s="12"/>
      <c r="T276" s="12"/>
      <c r="U276" s="12">
        <f t="shared" si="50"/>
        <v>0</v>
      </c>
      <c r="V276" s="12"/>
      <c r="W276" s="12"/>
      <c r="X276" s="12">
        <f t="shared" si="51"/>
        <v>0</v>
      </c>
      <c r="Y276" s="12"/>
      <c r="Z276" s="12"/>
      <c r="AA276" s="13">
        <f t="shared" si="52"/>
        <v>4000000</v>
      </c>
      <c r="AB276" s="14"/>
    </row>
    <row r="277" spans="1:28" ht="15.75" hidden="1" x14ac:dyDescent="0.25">
      <c r="A277" s="65">
        <v>46030</v>
      </c>
      <c r="B277" s="10" t="s">
        <v>53</v>
      </c>
      <c r="C277" s="10"/>
      <c r="D277" s="66" t="s">
        <v>32</v>
      </c>
      <c r="E277" s="10" t="s">
        <v>160</v>
      </c>
      <c r="F277" s="60">
        <v>10</v>
      </c>
      <c r="G277" s="10" t="s">
        <v>22</v>
      </c>
      <c r="H277" s="60">
        <v>400000</v>
      </c>
      <c r="I277" s="10">
        <f t="shared" si="46"/>
        <v>4000000</v>
      </c>
      <c r="J277" s="52" t="s">
        <v>90</v>
      </c>
      <c r="K277" s="73" t="s">
        <v>188</v>
      </c>
      <c r="L277" s="12">
        <f t="shared" si="47"/>
        <v>0</v>
      </c>
      <c r="M277" s="12"/>
      <c r="N277" s="12"/>
      <c r="O277" s="12">
        <f t="shared" si="48"/>
        <v>0</v>
      </c>
      <c r="P277" s="12"/>
      <c r="Q277" s="12"/>
      <c r="R277" s="12">
        <f t="shared" si="49"/>
        <v>0</v>
      </c>
      <c r="S277" s="12"/>
      <c r="T277" s="12"/>
      <c r="U277" s="12">
        <f t="shared" si="50"/>
        <v>0</v>
      </c>
      <c r="V277" s="12"/>
      <c r="W277" s="12"/>
      <c r="X277" s="12">
        <f t="shared" si="51"/>
        <v>0</v>
      </c>
      <c r="Y277" s="12"/>
      <c r="Z277" s="12"/>
      <c r="AA277" s="13">
        <f t="shared" si="52"/>
        <v>4000000</v>
      </c>
      <c r="AB277" s="14"/>
    </row>
    <row r="278" spans="1:28" ht="15.75" hidden="1" x14ac:dyDescent="0.25">
      <c r="A278" s="65">
        <v>46030</v>
      </c>
      <c r="B278" s="10" t="s">
        <v>53</v>
      </c>
      <c r="C278" s="10"/>
      <c r="D278" s="66" t="s">
        <v>32</v>
      </c>
      <c r="E278" s="10" t="s">
        <v>226</v>
      </c>
      <c r="F278" s="60">
        <v>353.5</v>
      </c>
      <c r="G278" s="10" t="s">
        <v>36</v>
      </c>
      <c r="H278" s="60">
        <v>43000</v>
      </c>
      <c r="I278" s="10">
        <f t="shared" si="46"/>
        <v>15200500</v>
      </c>
      <c r="J278" s="52" t="s">
        <v>90</v>
      </c>
      <c r="K278" s="73" t="s">
        <v>188</v>
      </c>
      <c r="L278" s="12">
        <f t="shared" si="47"/>
        <v>0</v>
      </c>
      <c r="M278" s="12"/>
      <c r="N278" s="12"/>
      <c r="O278" s="12">
        <f t="shared" si="48"/>
        <v>0</v>
      </c>
      <c r="P278" s="12"/>
      <c r="Q278" s="12"/>
      <c r="R278" s="12">
        <f t="shared" si="49"/>
        <v>0</v>
      </c>
      <c r="S278" s="12"/>
      <c r="T278" s="12"/>
      <c r="U278" s="12">
        <f t="shared" si="50"/>
        <v>0</v>
      </c>
      <c r="V278" s="12"/>
      <c r="W278" s="12"/>
      <c r="X278" s="12">
        <f t="shared" si="51"/>
        <v>0</v>
      </c>
      <c r="Y278" s="12"/>
      <c r="Z278" s="12"/>
      <c r="AA278" s="13">
        <f t="shared" si="52"/>
        <v>15200500</v>
      </c>
      <c r="AB278" s="14"/>
    </row>
    <row r="279" spans="1:28" ht="15.75" hidden="1" x14ac:dyDescent="0.25">
      <c r="A279" s="65">
        <v>46030</v>
      </c>
      <c r="B279" s="10" t="s">
        <v>232</v>
      </c>
      <c r="C279" s="10"/>
      <c r="D279" s="10" t="s">
        <v>195</v>
      </c>
      <c r="E279" s="10" t="s">
        <v>104</v>
      </c>
      <c r="F279" s="60">
        <v>1800</v>
      </c>
      <c r="G279" s="10" t="s">
        <v>26</v>
      </c>
      <c r="H279" s="60">
        <v>2000</v>
      </c>
      <c r="I279" s="10">
        <f t="shared" si="46"/>
        <v>3600000</v>
      </c>
      <c r="J279" s="29" t="s">
        <v>110</v>
      </c>
      <c r="K279" s="60" t="s">
        <v>171</v>
      </c>
      <c r="L279" s="12">
        <f t="shared" si="47"/>
        <v>0</v>
      </c>
      <c r="M279" s="12"/>
      <c r="N279" s="12"/>
      <c r="O279" s="12">
        <f t="shared" si="48"/>
        <v>3600000</v>
      </c>
      <c r="P279" s="12">
        <v>3600000</v>
      </c>
      <c r="Q279" s="12"/>
      <c r="R279" s="12">
        <f t="shared" si="49"/>
        <v>0</v>
      </c>
      <c r="S279" s="12"/>
      <c r="T279" s="12"/>
      <c r="U279" s="12">
        <f t="shared" si="50"/>
        <v>0</v>
      </c>
      <c r="V279" s="12"/>
      <c r="W279" s="12"/>
      <c r="X279" s="12">
        <f t="shared" si="51"/>
        <v>0</v>
      </c>
      <c r="Y279" s="12"/>
      <c r="Z279" s="12"/>
      <c r="AA279" s="13">
        <f t="shared" si="52"/>
        <v>0</v>
      </c>
      <c r="AB279" s="14">
        <v>46031</v>
      </c>
    </row>
    <row r="280" spans="1:28" ht="15.75" hidden="1" x14ac:dyDescent="0.25">
      <c r="A280" s="65">
        <v>46030</v>
      </c>
      <c r="B280" s="10" t="s">
        <v>263</v>
      </c>
      <c r="C280" s="10"/>
      <c r="D280" s="10" t="s">
        <v>195</v>
      </c>
      <c r="E280" s="10" t="s">
        <v>264</v>
      </c>
      <c r="F280" s="60">
        <v>1</v>
      </c>
      <c r="G280" s="10" t="s">
        <v>192</v>
      </c>
      <c r="H280" s="60">
        <v>900000</v>
      </c>
      <c r="I280" s="10">
        <f t="shared" si="46"/>
        <v>900000</v>
      </c>
      <c r="J280" s="29" t="s">
        <v>110</v>
      </c>
      <c r="K280" s="60"/>
      <c r="L280" s="12">
        <f t="shared" si="47"/>
        <v>0</v>
      </c>
      <c r="M280" s="12"/>
      <c r="N280" s="12"/>
      <c r="O280" s="12">
        <f t="shared" si="48"/>
        <v>900000</v>
      </c>
      <c r="P280" s="12">
        <v>900000</v>
      </c>
      <c r="Q280" s="12"/>
      <c r="R280" s="12">
        <f t="shared" si="49"/>
        <v>0</v>
      </c>
      <c r="S280" s="12"/>
      <c r="T280" s="12"/>
      <c r="U280" s="12">
        <f t="shared" si="50"/>
        <v>0</v>
      </c>
      <c r="V280" s="12"/>
      <c r="W280" s="12"/>
      <c r="X280" s="12">
        <f t="shared" si="51"/>
        <v>0</v>
      </c>
      <c r="Y280" s="12"/>
      <c r="Z280" s="12"/>
      <c r="AA280" s="13">
        <f t="shared" si="52"/>
        <v>0</v>
      </c>
      <c r="AB280" s="14">
        <v>46030</v>
      </c>
    </row>
    <row r="281" spans="1:28" ht="15.75" hidden="1" x14ac:dyDescent="0.25">
      <c r="A281" s="65">
        <v>46030</v>
      </c>
      <c r="B281" s="10" t="s">
        <v>243</v>
      </c>
      <c r="C281" s="10"/>
      <c r="D281" s="10" t="s">
        <v>28</v>
      </c>
      <c r="E281" s="10" t="s">
        <v>265</v>
      </c>
      <c r="F281" s="60">
        <v>68.900000000000006</v>
      </c>
      <c r="G281" s="10" t="s">
        <v>36</v>
      </c>
      <c r="H281" s="60">
        <v>43000</v>
      </c>
      <c r="I281" s="10">
        <f t="shared" si="46"/>
        <v>2962700.0000000005</v>
      </c>
      <c r="J281" s="29" t="s">
        <v>110</v>
      </c>
      <c r="K281" s="60" t="s">
        <v>171</v>
      </c>
      <c r="L281" s="12">
        <f t="shared" si="47"/>
        <v>0</v>
      </c>
      <c r="M281" s="12"/>
      <c r="N281" s="12"/>
      <c r="O281" s="12">
        <f t="shared" si="48"/>
        <v>0</v>
      </c>
      <c r="P281" s="12"/>
      <c r="Q281" s="12"/>
      <c r="R281" s="12">
        <f t="shared" si="49"/>
        <v>2962700</v>
      </c>
      <c r="S281" s="12">
        <v>2962700</v>
      </c>
      <c r="T281" s="12"/>
      <c r="U281" s="12">
        <f t="shared" si="50"/>
        <v>0</v>
      </c>
      <c r="V281" s="12"/>
      <c r="W281" s="12"/>
      <c r="X281" s="12">
        <f t="shared" si="51"/>
        <v>0</v>
      </c>
      <c r="Y281" s="12"/>
      <c r="Z281" s="12"/>
      <c r="AA281" s="13">
        <f t="shared" si="52"/>
        <v>0</v>
      </c>
      <c r="AB281" s="14">
        <v>46048</v>
      </c>
    </row>
    <row r="282" spans="1:28" ht="15.75" hidden="1" x14ac:dyDescent="0.25">
      <c r="A282" s="65">
        <v>46030</v>
      </c>
      <c r="B282" s="10" t="s">
        <v>266</v>
      </c>
      <c r="C282" s="10"/>
      <c r="D282" s="10" t="s">
        <v>28</v>
      </c>
      <c r="E282" s="10" t="s">
        <v>116</v>
      </c>
      <c r="F282" s="60">
        <v>24</v>
      </c>
      <c r="G282" s="10" t="s">
        <v>67</v>
      </c>
      <c r="H282" s="60">
        <v>65000</v>
      </c>
      <c r="I282" s="10">
        <f t="shared" si="46"/>
        <v>1560000</v>
      </c>
      <c r="J282" s="29" t="s">
        <v>110</v>
      </c>
      <c r="K282" s="60"/>
      <c r="L282" s="12">
        <f t="shared" si="47"/>
        <v>0</v>
      </c>
      <c r="M282" s="12"/>
      <c r="N282" s="12"/>
      <c r="O282" s="12">
        <f t="shared" si="48"/>
        <v>1560000</v>
      </c>
      <c r="P282" s="12">
        <v>1560000</v>
      </c>
      <c r="Q282" s="12"/>
      <c r="R282" s="12">
        <f t="shared" si="49"/>
        <v>0</v>
      </c>
      <c r="S282" s="12"/>
      <c r="T282" s="12"/>
      <c r="U282" s="12">
        <f t="shared" si="50"/>
        <v>0</v>
      </c>
      <c r="V282" s="12"/>
      <c r="W282" s="12"/>
      <c r="X282" s="12">
        <f t="shared" si="51"/>
        <v>0</v>
      </c>
      <c r="Y282" s="12"/>
      <c r="Z282" s="12"/>
      <c r="AA282" s="13">
        <f t="shared" si="52"/>
        <v>0</v>
      </c>
      <c r="AB282" s="14">
        <v>46030</v>
      </c>
    </row>
    <row r="283" spans="1:28" ht="15.75" hidden="1" x14ac:dyDescent="0.25">
      <c r="A283" s="65">
        <v>46030</v>
      </c>
      <c r="B283" s="10" t="s">
        <v>267</v>
      </c>
      <c r="C283" s="10"/>
      <c r="D283" s="10" t="s">
        <v>32</v>
      </c>
      <c r="E283" s="10" t="s">
        <v>104</v>
      </c>
      <c r="F283" s="60">
        <v>1200</v>
      </c>
      <c r="G283" s="10" t="s">
        <v>26</v>
      </c>
      <c r="H283" s="60">
        <v>1900</v>
      </c>
      <c r="I283" s="10">
        <f t="shared" si="46"/>
        <v>2280000</v>
      </c>
      <c r="J283" s="29" t="s">
        <v>113</v>
      </c>
      <c r="K283" s="60"/>
      <c r="L283" s="12">
        <f t="shared" si="47"/>
        <v>2280000</v>
      </c>
      <c r="M283" s="12">
        <v>2280000</v>
      </c>
      <c r="N283" s="12"/>
      <c r="O283" s="12">
        <f t="shared" si="48"/>
        <v>0</v>
      </c>
      <c r="P283" s="12"/>
      <c r="Q283" s="12"/>
      <c r="R283" s="12">
        <f t="shared" si="49"/>
        <v>0</v>
      </c>
      <c r="S283" s="12"/>
      <c r="T283" s="12"/>
      <c r="U283" s="12">
        <f t="shared" si="50"/>
        <v>0</v>
      </c>
      <c r="V283" s="12"/>
      <c r="W283" s="12"/>
      <c r="X283" s="12">
        <f t="shared" si="51"/>
        <v>0</v>
      </c>
      <c r="Y283" s="12"/>
      <c r="Z283" s="12"/>
      <c r="AA283" s="13">
        <f t="shared" si="52"/>
        <v>0</v>
      </c>
      <c r="AB283" s="14">
        <v>46030</v>
      </c>
    </row>
    <row r="284" spans="1:28" ht="15.75" hidden="1" x14ac:dyDescent="0.25">
      <c r="A284" s="65">
        <v>46030</v>
      </c>
      <c r="B284" s="10" t="s">
        <v>268</v>
      </c>
      <c r="C284" s="10"/>
      <c r="D284" s="10" t="s">
        <v>28</v>
      </c>
      <c r="E284" s="10" t="s">
        <v>214</v>
      </c>
      <c r="F284" s="60">
        <v>100</v>
      </c>
      <c r="G284" s="10" t="s">
        <v>39</v>
      </c>
      <c r="H284" s="10">
        <v>1600</v>
      </c>
      <c r="I284" s="10">
        <f t="shared" si="46"/>
        <v>160000</v>
      </c>
      <c r="J284" s="29" t="s">
        <v>110</v>
      </c>
      <c r="K284" s="60"/>
      <c r="L284" s="12">
        <f t="shared" si="47"/>
        <v>0</v>
      </c>
      <c r="M284" s="12"/>
      <c r="N284" s="12"/>
      <c r="O284" s="12">
        <f t="shared" si="48"/>
        <v>160000</v>
      </c>
      <c r="P284" s="12">
        <v>160000</v>
      </c>
      <c r="Q284" s="12"/>
      <c r="R284" s="12">
        <f t="shared" si="49"/>
        <v>0</v>
      </c>
      <c r="S284" s="12"/>
      <c r="T284" s="12"/>
      <c r="U284" s="12">
        <f t="shared" si="50"/>
        <v>0</v>
      </c>
      <c r="V284" s="12"/>
      <c r="W284" s="12"/>
      <c r="X284" s="12">
        <f t="shared" si="51"/>
        <v>0</v>
      </c>
      <c r="Y284" s="12"/>
      <c r="Z284" s="12"/>
      <c r="AA284" s="13">
        <f t="shared" si="52"/>
        <v>0</v>
      </c>
      <c r="AB284" s="14">
        <v>46030</v>
      </c>
    </row>
    <row r="285" spans="1:28" ht="15.75" hidden="1" x14ac:dyDescent="0.25">
      <c r="A285" s="65">
        <v>46030</v>
      </c>
      <c r="B285" s="10" t="s">
        <v>268</v>
      </c>
      <c r="C285" s="10"/>
      <c r="D285" s="10" t="s">
        <v>28</v>
      </c>
      <c r="E285" s="10" t="s">
        <v>65</v>
      </c>
      <c r="F285" s="10">
        <v>500</v>
      </c>
      <c r="G285" s="10" t="s">
        <v>26</v>
      </c>
      <c r="H285" s="10">
        <v>3600</v>
      </c>
      <c r="I285" s="10">
        <f t="shared" si="46"/>
        <v>1800000</v>
      </c>
      <c r="J285" s="29" t="s">
        <v>110</v>
      </c>
      <c r="K285" s="60"/>
      <c r="L285" s="12">
        <f t="shared" si="47"/>
        <v>0</v>
      </c>
      <c r="M285" s="12"/>
      <c r="N285" s="12"/>
      <c r="O285" s="12">
        <f t="shared" si="48"/>
        <v>1800000</v>
      </c>
      <c r="P285" s="12">
        <v>1800000</v>
      </c>
      <c r="Q285" s="12"/>
      <c r="R285" s="12">
        <f t="shared" si="49"/>
        <v>0</v>
      </c>
      <c r="S285" s="12"/>
      <c r="T285" s="12"/>
      <c r="U285" s="12">
        <f t="shared" si="50"/>
        <v>0</v>
      </c>
      <c r="V285" s="12"/>
      <c r="W285" s="12"/>
      <c r="X285" s="12">
        <f t="shared" si="51"/>
        <v>0</v>
      </c>
      <c r="Y285" s="12"/>
      <c r="Z285" s="12"/>
      <c r="AA285" s="13">
        <f t="shared" si="52"/>
        <v>0</v>
      </c>
      <c r="AB285" s="14">
        <v>46030</v>
      </c>
    </row>
    <row r="286" spans="1:28" ht="15.75" hidden="1" x14ac:dyDescent="0.25">
      <c r="A286" s="65">
        <v>46030</v>
      </c>
      <c r="B286" s="10" t="s">
        <v>269</v>
      </c>
      <c r="C286" s="10"/>
      <c r="D286" s="10" t="s">
        <v>28</v>
      </c>
      <c r="E286" s="10" t="s">
        <v>98</v>
      </c>
      <c r="F286" s="10">
        <v>600</v>
      </c>
      <c r="G286" s="10" t="s">
        <v>26</v>
      </c>
      <c r="H286" s="10">
        <v>1850</v>
      </c>
      <c r="I286" s="10">
        <f t="shared" si="46"/>
        <v>1110000</v>
      </c>
      <c r="J286" s="29" t="s">
        <v>110</v>
      </c>
      <c r="K286" s="60" t="s">
        <v>171</v>
      </c>
      <c r="L286" s="12">
        <f t="shared" si="47"/>
        <v>0</v>
      </c>
      <c r="M286" s="12"/>
      <c r="N286" s="12"/>
      <c r="O286" s="12">
        <f t="shared" si="48"/>
        <v>0</v>
      </c>
      <c r="P286" s="12"/>
      <c r="Q286" s="12"/>
      <c r="R286" s="12">
        <f t="shared" si="49"/>
        <v>1110000</v>
      </c>
      <c r="S286" s="12">
        <v>1110000</v>
      </c>
      <c r="T286" s="12"/>
      <c r="U286" s="12">
        <f t="shared" si="50"/>
        <v>0</v>
      </c>
      <c r="V286" s="12"/>
      <c r="W286" s="12"/>
      <c r="X286" s="12">
        <f t="shared" si="51"/>
        <v>0</v>
      </c>
      <c r="Y286" s="12"/>
      <c r="Z286" s="12"/>
      <c r="AA286" s="13">
        <f t="shared" si="52"/>
        <v>0</v>
      </c>
      <c r="AB286" s="14">
        <v>46035</v>
      </c>
    </row>
    <row r="287" spans="1:28" ht="15.75" hidden="1" x14ac:dyDescent="0.25">
      <c r="A287" s="65">
        <v>46030</v>
      </c>
      <c r="B287" s="10" t="s">
        <v>269</v>
      </c>
      <c r="C287" s="10"/>
      <c r="D287" s="10" t="s">
        <v>28</v>
      </c>
      <c r="E287" s="10" t="s">
        <v>102</v>
      </c>
      <c r="F287" s="10">
        <v>800</v>
      </c>
      <c r="G287" s="10" t="s">
        <v>26</v>
      </c>
      <c r="H287" s="10">
        <v>3700</v>
      </c>
      <c r="I287" s="10">
        <f t="shared" si="46"/>
        <v>2960000</v>
      </c>
      <c r="J287" s="29" t="s">
        <v>110</v>
      </c>
      <c r="K287" s="60" t="s">
        <v>171</v>
      </c>
      <c r="L287" s="12">
        <f t="shared" si="47"/>
        <v>0</v>
      </c>
      <c r="M287" s="12"/>
      <c r="N287" s="12"/>
      <c r="O287" s="12">
        <f t="shared" si="48"/>
        <v>0</v>
      </c>
      <c r="P287" s="12"/>
      <c r="Q287" s="12"/>
      <c r="R287" s="12">
        <f t="shared" si="49"/>
        <v>2960000</v>
      </c>
      <c r="S287" s="12">
        <v>2960000</v>
      </c>
      <c r="T287" s="12"/>
      <c r="U287" s="12">
        <f t="shared" si="50"/>
        <v>0</v>
      </c>
      <c r="V287" s="12"/>
      <c r="W287" s="12"/>
      <c r="X287" s="12">
        <f t="shared" si="51"/>
        <v>0</v>
      </c>
      <c r="Y287" s="12"/>
      <c r="Z287" s="12"/>
      <c r="AA287" s="13">
        <f t="shared" si="52"/>
        <v>0</v>
      </c>
      <c r="AB287" s="14">
        <v>46035</v>
      </c>
    </row>
    <row r="288" spans="1:28" ht="15.75" hidden="1" x14ac:dyDescent="0.25">
      <c r="A288" s="65">
        <v>46030</v>
      </c>
      <c r="B288" s="10" t="s">
        <v>94</v>
      </c>
      <c r="C288" s="10"/>
      <c r="D288" s="10" t="s">
        <v>28</v>
      </c>
      <c r="E288" s="10" t="s">
        <v>167</v>
      </c>
      <c r="F288" s="10">
        <v>2.5</v>
      </c>
      <c r="G288" s="10" t="s">
        <v>36</v>
      </c>
      <c r="H288" s="10">
        <v>90000</v>
      </c>
      <c r="I288" s="10">
        <f t="shared" si="46"/>
        <v>225000</v>
      </c>
      <c r="J288" s="29" t="s">
        <v>110</v>
      </c>
      <c r="K288" s="60"/>
      <c r="L288" s="12">
        <f t="shared" si="47"/>
        <v>0</v>
      </c>
      <c r="M288" s="12"/>
      <c r="N288" s="12"/>
      <c r="O288" s="12">
        <f t="shared" si="48"/>
        <v>0</v>
      </c>
      <c r="P288" s="12"/>
      <c r="Q288" s="12"/>
      <c r="R288" s="12">
        <f t="shared" si="49"/>
        <v>225000</v>
      </c>
      <c r="S288" s="12">
        <v>225000</v>
      </c>
      <c r="T288" s="12"/>
      <c r="U288" s="12">
        <f t="shared" si="50"/>
        <v>0</v>
      </c>
      <c r="V288" s="12"/>
      <c r="W288" s="12"/>
      <c r="X288" s="12">
        <f t="shared" si="51"/>
        <v>0</v>
      </c>
      <c r="Y288" s="12"/>
      <c r="Z288" s="12"/>
      <c r="AA288" s="13">
        <f t="shared" si="52"/>
        <v>0</v>
      </c>
      <c r="AB288" s="14">
        <v>46030</v>
      </c>
    </row>
    <row r="289" spans="1:28" ht="15.75" hidden="1" x14ac:dyDescent="0.25">
      <c r="A289" s="65">
        <v>46030</v>
      </c>
      <c r="B289" s="10" t="s">
        <v>270</v>
      </c>
      <c r="C289" s="10"/>
      <c r="D289" s="10" t="s">
        <v>28</v>
      </c>
      <c r="E289" s="10" t="s">
        <v>104</v>
      </c>
      <c r="F289" s="10">
        <v>200</v>
      </c>
      <c r="G289" s="10" t="s">
        <v>26</v>
      </c>
      <c r="H289" s="10">
        <v>2000</v>
      </c>
      <c r="I289" s="10">
        <f t="shared" si="46"/>
        <v>400000</v>
      </c>
      <c r="J289" s="29" t="s">
        <v>110</v>
      </c>
      <c r="K289" s="82" t="s">
        <v>277</v>
      </c>
      <c r="L289" s="12">
        <f t="shared" si="47"/>
        <v>0</v>
      </c>
      <c r="M289" s="12"/>
      <c r="N289" s="12"/>
      <c r="O289" s="12">
        <f t="shared" si="48"/>
        <v>400000</v>
      </c>
      <c r="P289" s="12">
        <v>400000</v>
      </c>
      <c r="Q289" s="12"/>
      <c r="R289" s="12">
        <f t="shared" si="49"/>
        <v>0</v>
      </c>
      <c r="S289" s="12"/>
      <c r="T289" s="12"/>
      <c r="U289" s="12">
        <f t="shared" si="50"/>
        <v>0</v>
      </c>
      <c r="V289" s="12"/>
      <c r="W289" s="12"/>
      <c r="X289" s="12">
        <f t="shared" si="51"/>
        <v>0</v>
      </c>
      <c r="Y289" s="12"/>
      <c r="Z289" s="12"/>
      <c r="AA289" s="13">
        <f t="shared" si="52"/>
        <v>0</v>
      </c>
      <c r="AB289" s="14">
        <v>46031</v>
      </c>
    </row>
    <row r="290" spans="1:28" ht="15.75" hidden="1" x14ac:dyDescent="0.25">
      <c r="A290" s="65">
        <v>46030</v>
      </c>
      <c r="B290" s="10" t="s">
        <v>270</v>
      </c>
      <c r="C290" s="10"/>
      <c r="D290" s="10" t="s">
        <v>28</v>
      </c>
      <c r="E290" s="10" t="s">
        <v>271</v>
      </c>
      <c r="F290" s="10">
        <v>1</v>
      </c>
      <c r="G290" s="10" t="s">
        <v>36</v>
      </c>
      <c r="H290" s="10">
        <v>170000</v>
      </c>
      <c r="I290" s="10">
        <f t="shared" si="46"/>
        <v>170000</v>
      </c>
      <c r="J290" s="29" t="s">
        <v>110</v>
      </c>
      <c r="K290" s="82"/>
      <c r="L290" s="12">
        <f t="shared" si="47"/>
        <v>0</v>
      </c>
      <c r="M290" s="12"/>
      <c r="N290" s="12"/>
      <c r="O290" s="12">
        <f t="shared" si="48"/>
        <v>0</v>
      </c>
      <c r="P290" s="12"/>
      <c r="Q290" s="12"/>
      <c r="R290" s="12">
        <f t="shared" si="49"/>
        <v>170000</v>
      </c>
      <c r="S290" s="12">
        <v>170000</v>
      </c>
      <c r="T290" s="12"/>
      <c r="U290" s="12">
        <f t="shared" si="50"/>
        <v>0</v>
      </c>
      <c r="V290" s="12"/>
      <c r="W290" s="12"/>
      <c r="X290" s="12">
        <f t="shared" si="51"/>
        <v>0</v>
      </c>
      <c r="Y290" s="12"/>
      <c r="Z290" s="12"/>
      <c r="AA290" s="13">
        <f t="shared" si="52"/>
        <v>0</v>
      </c>
      <c r="AB290" s="14">
        <v>46030</v>
      </c>
    </row>
    <row r="291" spans="1:28" ht="15.75" hidden="1" x14ac:dyDescent="0.25">
      <c r="A291" s="65">
        <v>46030</v>
      </c>
      <c r="B291" s="10" t="s">
        <v>272</v>
      </c>
      <c r="C291" s="10"/>
      <c r="D291" s="10"/>
      <c r="E291" s="10" t="s">
        <v>80</v>
      </c>
      <c r="F291" s="10">
        <v>44.5</v>
      </c>
      <c r="G291" s="10" t="s">
        <v>36</v>
      </c>
      <c r="H291" s="10"/>
      <c r="I291" s="10">
        <f t="shared" si="46"/>
        <v>0</v>
      </c>
      <c r="J291" s="86" t="s">
        <v>76</v>
      </c>
      <c r="K291" s="82"/>
      <c r="L291" s="12">
        <f t="shared" si="47"/>
        <v>0</v>
      </c>
      <c r="M291" s="12"/>
      <c r="N291" s="12"/>
      <c r="O291" s="12">
        <f t="shared" si="48"/>
        <v>0</v>
      </c>
      <c r="P291" s="12"/>
      <c r="Q291" s="12"/>
      <c r="R291" s="12">
        <f t="shared" si="49"/>
        <v>0</v>
      </c>
      <c r="S291" s="12"/>
      <c r="T291" s="12"/>
      <c r="U291" s="12">
        <f t="shared" si="50"/>
        <v>0</v>
      </c>
      <c r="V291" s="12"/>
      <c r="W291" s="12"/>
      <c r="X291" s="12">
        <f t="shared" si="51"/>
        <v>0</v>
      </c>
      <c r="Y291" s="12"/>
      <c r="Z291" s="12"/>
      <c r="AA291" s="13">
        <f t="shared" si="52"/>
        <v>0</v>
      </c>
      <c r="AB291" s="14"/>
    </row>
    <row r="292" spans="1:28" ht="15.75" x14ac:dyDescent="0.25">
      <c r="A292" s="65">
        <v>46030</v>
      </c>
      <c r="B292" s="10" t="s">
        <v>273</v>
      </c>
      <c r="C292" s="10"/>
      <c r="D292" s="10"/>
      <c r="E292" s="10" t="s">
        <v>119</v>
      </c>
      <c r="F292" s="10">
        <v>25</v>
      </c>
      <c r="G292" s="10" t="s">
        <v>36</v>
      </c>
      <c r="H292" s="10"/>
      <c r="I292" s="10">
        <f t="shared" si="46"/>
        <v>0</v>
      </c>
      <c r="J292" s="86" t="s">
        <v>76</v>
      </c>
      <c r="K292" s="60"/>
      <c r="L292" s="12">
        <f t="shared" si="47"/>
        <v>0</v>
      </c>
      <c r="M292" s="12"/>
      <c r="N292" s="12"/>
      <c r="O292" s="12">
        <f t="shared" si="48"/>
        <v>0</v>
      </c>
      <c r="P292" s="12"/>
      <c r="Q292" s="12"/>
      <c r="R292" s="12">
        <f t="shared" si="49"/>
        <v>0</v>
      </c>
      <c r="S292" s="12"/>
      <c r="T292" s="12"/>
      <c r="U292" s="12">
        <f t="shared" si="50"/>
        <v>0</v>
      </c>
      <c r="V292" s="12"/>
      <c r="W292" s="12"/>
      <c r="X292" s="12">
        <f t="shared" si="51"/>
        <v>0</v>
      </c>
      <c r="Y292" s="12"/>
      <c r="Z292" s="12"/>
      <c r="AA292" s="13">
        <f t="shared" si="52"/>
        <v>0</v>
      </c>
      <c r="AB292" s="14"/>
    </row>
    <row r="293" spans="1:28" ht="15.75" hidden="1" x14ac:dyDescent="0.25">
      <c r="A293" s="65">
        <v>46030</v>
      </c>
      <c r="B293" s="10" t="s">
        <v>176</v>
      </c>
      <c r="C293" s="10"/>
      <c r="D293" s="10" t="s">
        <v>32</v>
      </c>
      <c r="E293" s="10" t="s">
        <v>175</v>
      </c>
      <c r="F293" s="10">
        <v>6000</v>
      </c>
      <c r="G293" s="10" t="s">
        <v>26</v>
      </c>
      <c r="H293" s="10">
        <v>875</v>
      </c>
      <c r="I293" s="10">
        <f t="shared" si="46"/>
        <v>5250000</v>
      </c>
      <c r="J293" s="52" t="s">
        <v>30</v>
      </c>
      <c r="K293" s="73" t="s">
        <v>188</v>
      </c>
      <c r="L293" s="12">
        <f t="shared" si="47"/>
        <v>0</v>
      </c>
      <c r="M293" s="12"/>
      <c r="N293" s="12"/>
      <c r="O293" s="12">
        <f t="shared" si="48"/>
        <v>0</v>
      </c>
      <c r="P293" s="12"/>
      <c r="Q293" s="12"/>
      <c r="R293" s="12">
        <f t="shared" si="49"/>
        <v>0</v>
      </c>
      <c r="S293" s="12"/>
      <c r="T293" s="12"/>
      <c r="U293" s="12">
        <f t="shared" si="50"/>
        <v>0</v>
      </c>
      <c r="V293" s="12"/>
      <c r="W293" s="12"/>
      <c r="X293" s="12">
        <f t="shared" si="51"/>
        <v>0</v>
      </c>
      <c r="Y293" s="12"/>
      <c r="Z293" s="12"/>
      <c r="AA293" s="13">
        <f t="shared" si="52"/>
        <v>5250000</v>
      </c>
      <c r="AB293" s="14"/>
    </row>
    <row r="294" spans="1:28" ht="15.75" hidden="1" x14ac:dyDescent="0.25">
      <c r="A294" s="65">
        <v>46030</v>
      </c>
      <c r="B294" s="10" t="s">
        <v>230</v>
      </c>
      <c r="C294" s="10"/>
      <c r="D294" s="10" t="s">
        <v>32</v>
      </c>
      <c r="E294" s="10" t="s">
        <v>98</v>
      </c>
      <c r="F294" s="10">
        <v>400</v>
      </c>
      <c r="G294" s="10" t="s">
        <v>26</v>
      </c>
      <c r="H294" s="10">
        <v>1800</v>
      </c>
      <c r="I294" s="10">
        <f t="shared" si="46"/>
        <v>720000</v>
      </c>
      <c r="J294" s="29" t="s">
        <v>110</v>
      </c>
      <c r="K294" s="60" t="s">
        <v>171</v>
      </c>
      <c r="L294" s="12">
        <f t="shared" si="47"/>
        <v>0</v>
      </c>
      <c r="M294" s="12"/>
      <c r="N294" s="12"/>
      <c r="O294" s="12">
        <f t="shared" si="48"/>
        <v>0</v>
      </c>
      <c r="P294" s="12"/>
      <c r="Q294" s="12"/>
      <c r="R294" s="12">
        <f t="shared" si="49"/>
        <v>720000</v>
      </c>
      <c r="S294" s="12">
        <v>720000</v>
      </c>
      <c r="T294" s="12"/>
      <c r="U294" s="12">
        <f t="shared" si="50"/>
        <v>0</v>
      </c>
      <c r="V294" s="12"/>
      <c r="W294" s="12"/>
      <c r="X294" s="12">
        <f t="shared" si="51"/>
        <v>0</v>
      </c>
      <c r="Y294" s="12"/>
      <c r="Z294" s="12"/>
      <c r="AA294" s="13">
        <f t="shared" si="52"/>
        <v>0</v>
      </c>
      <c r="AB294" s="14">
        <v>46041</v>
      </c>
    </row>
    <row r="295" spans="1:28" ht="15.75" hidden="1" x14ac:dyDescent="0.25">
      <c r="A295" s="28">
        <v>46030</v>
      </c>
      <c r="B295" s="10" t="s">
        <v>27</v>
      </c>
      <c r="C295" s="10"/>
      <c r="D295" s="10" t="s">
        <v>32</v>
      </c>
      <c r="E295" s="10" t="s">
        <v>189</v>
      </c>
      <c r="F295" s="10">
        <v>1</v>
      </c>
      <c r="G295" s="10" t="s">
        <v>61</v>
      </c>
      <c r="H295" s="10">
        <v>300000</v>
      </c>
      <c r="I295" s="10">
        <f t="shared" si="46"/>
        <v>300000</v>
      </c>
      <c r="J295" s="29" t="s">
        <v>113</v>
      </c>
      <c r="K295" s="82"/>
      <c r="L295" s="12">
        <f t="shared" si="47"/>
        <v>300000</v>
      </c>
      <c r="M295" s="12">
        <v>300000</v>
      </c>
      <c r="N295" s="12"/>
      <c r="O295" s="12">
        <f t="shared" si="48"/>
        <v>0</v>
      </c>
      <c r="P295" s="12"/>
      <c r="Q295" s="12"/>
      <c r="R295" s="12">
        <f t="shared" si="49"/>
        <v>0</v>
      </c>
      <c r="S295" s="12"/>
      <c r="T295" s="12"/>
      <c r="U295" s="12">
        <f t="shared" si="50"/>
        <v>0</v>
      </c>
      <c r="V295" s="12"/>
      <c r="W295" s="12"/>
      <c r="X295" s="12">
        <f t="shared" si="51"/>
        <v>0</v>
      </c>
      <c r="Y295" s="12"/>
      <c r="Z295" s="12"/>
      <c r="AA295" s="13">
        <f t="shared" si="52"/>
        <v>0</v>
      </c>
      <c r="AB295" s="14">
        <v>46030</v>
      </c>
    </row>
    <row r="296" spans="1:28" ht="15.75" hidden="1" x14ac:dyDescent="0.25">
      <c r="A296" s="65">
        <v>46030</v>
      </c>
      <c r="B296" s="10" t="s">
        <v>260</v>
      </c>
      <c r="C296" s="10"/>
      <c r="D296" s="10" t="s">
        <v>195</v>
      </c>
      <c r="E296" s="10" t="s">
        <v>214</v>
      </c>
      <c r="F296" s="10">
        <v>700</v>
      </c>
      <c r="G296" s="10" t="s">
        <v>39</v>
      </c>
      <c r="H296" s="10">
        <v>1700</v>
      </c>
      <c r="I296" s="10">
        <f t="shared" si="46"/>
        <v>1190000</v>
      </c>
      <c r="J296" s="29" t="s">
        <v>110</v>
      </c>
      <c r="K296" s="60"/>
      <c r="L296" s="12">
        <f t="shared" si="47"/>
        <v>0</v>
      </c>
      <c r="M296" s="12"/>
      <c r="N296" s="12"/>
      <c r="O296" s="12">
        <f t="shared" si="48"/>
        <v>1190000</v>
      </c>
      <c r="P296" s="12">
        <v>1190000</v>
      </c>
      <c r="Q296" s="12"/>
      <c r="R296" s="12">
        <f t="shared" si="49"/>
        <v>0</v>
      </c>
      <c r="S296" s="12"/>
      <c r="T296" s="12"/>
      <c r="U296" s="12">
        <f t="shared" si="50"/>
        <v>0</v>
      </c>
      <c r="V296" s="12"/>
      <c r="W296" s="12"/>
      <c r="X296" s="12">
        <f t="shared" si="51"/>
        <v>0</v>
      </c>
      <c r="Y296" s="12"/>
      <c r="Z296" s="12"/>
      <c r="AA296" s="13">
        <f t="shared" si="52"/>
        <v>0</v>
      </c>
      <c r="AB296" s="14">
        <v>46029</v>
      </c>
    </row>
    <row r="297" spans="1:28" ht="15.75" hidden="1" x14ac:dyDescent="0.25">
      <c r="A297" s="65">
        <v>46030</v>
      </c>
      <c r="B297" s="10" t="s">
        <v>274</v>
      </c>
      <c r="C297" s="10"/>
      <c r="D297" s="10" t="s">
        <v>195</v>
      </c>
      <c r="E297" s="10" t="s">
        <v>139</v>
      </c>
      <c r="F297" s="10">
        <v>39</v>
      </c>
      <c r="G297" s="10" t="s">
        <v>36</v>
      </c>
      <c r="H297" s="10">
        <v>43000</v>
      </c>
      <c r="I297" s="10">
        <f t="shared" si="46"/>
        <v>1677000</v>
      </c>
      <c r="J297" s="29" t="s">
        <v>113</v>
      </c>
      <c r="K297" s="60"/>
      <c r="L297" s="12">
        <f t="shared" ref="L297:L300" si="53">M297+N297</f>
        <v>1677000</v>
      </c>
      <c r="M297" s="12">
        <v>1677000</v>
      </c>
      <c r="N297" s="12"/>
      <c r="O297" s="12">
        <f t="shared" ref="O297:O300" si="54">P297+Q297</f>
        <v>0</v>
      </c>
      <c r="P297" s="12"/>
      <c r="Q297" s="12"/>
      <c r="R297" s="12">
        <f t="shared" ref="R297:R300" si="55">S297+T297</f>
        <v>0</v>
      </c>
      <c r="S297" s="12"/>
      <c r="T297" s="12"/>
      <c r="U297" s="12">
        <f t="shared" ref="U297:U300" si="56">V297+W297</f>
        <v>0</v>
      </c>
      <c r="V297" s="12"/>
      <c r="W297" s="12"/>
      <c r="X297" s="12">
        <f t="shared" ref="X297:X300" si="57">Y297+Z297</f>
        <v>0</v>
      </c>
      <c r="Y297" s="12"/>
      <c r="Z297" s="12"/>
      <c r="AA297" s="13">
        <f t="shared" ref="AA297:AA300" si="58">C297+I297-L297-O297-U297-X297-R297</f>
        <v>0</v>
      </c>
      <c r="AB297" s="14">
        <v>46030</v>
      </c>
    </row>
    <row r="298" spans="1:28" ht="15.75" hidden="1" x14ac:dyDescent="0.25">
      <c r="A298" s="65">
        <v>46030</v>
      </c>
      <c r="B298" s="10" t="s">
        <v>275</v>
      </c>
      <c r="C298" s="10"/>
      <c r="D298" s="10" t="s">
        <v>195</v>
      </c>
      <c r="E298" s="10" t="s">
        <v>276</v>
      </c>
      <c r="F298" s="10">
        <v>25</v>
      </c>
      <c r="G298" s="10" t="s">
        <v>36</v>
      </c>
      <c r="H298" s="10">
        <v>60000</v>
      </c>
      <c r="I298" s="10">
        <f t="shared" si="46"/>
        <v>1500000</v>
      </c>
      <c r="J298" s="29" t="s">
        <v>113</v>
      </c>
      <c r="K298" s="60"/>
      <c r="L298" s="12">
        <f t="shared" si="53"/>
        <v>0</v>
      </c>
      <c r="M298" s="12"/>
      <c r="N298" s="12"/>
      <c r="O298" s="12">
        <f t="shared" si="54"/>
        <v>0</v>
      </c>
      <c r="P298" s="12"/>
      <c r="Q298" s="12"/>
      <c r="R298" s="12">
        <f t="shared" si="55"/>
        <v>0</v>
      </c>
      <c r="S298" s="12"/>
      <c r="T298" s="12"/>
      <c r="U298" s="12">
        <f t="shared" si="56"/>
        <v>1500000</v>
      </c>
      <c r="V298" s="12">
        <v>1500000</v>
      </c>
      <c r="W298" s="12"/>
      <c r="X298" s="12">
        <f t="shared" si="57"/>
        <v>0</v>
      </c>
      <c r="Y298" s="12"/>
      <c r="Z298" s="12"/>
      <c r="AA298" s="13">
        <f t="shared" si="58"/>
        <v>0</v>
      </c>
      <c r="AB298" s="14">
        <v>46030</v>
      </c>
    </row>
    <row r="299" spans="1:28" ht="16.5" hidden="1" thickBot="1" x14ac:dyDescent="0.3">
      <c r="A299" s="53">
        <v>46030</v>
      </c>
      <c r="B299" s="31" t="s">
        <v>278</v>
      </c>
      <c r="C299" s="31"/>
      <c r="D299" s="31" t="s">
        <v>195</v>
      </c>
      <c r="E299" s="31" t="s">
        <v>198</v>
      </c>
      <c r="F299" s="31">
        <v>66.599999999999994</v>
      </c>
      <c r="G299" s="31" t="s">
        <v>36</v>
      </c>
      <c r="H299" s="31">
        <v>41500</v>
      </c>
      <c r="I299" s="31">
        <f t="shared" si="46"/>
        <v>2763899.9999999995</v>
      </c>
      <c r="J299" s="64" t="s">
        <v>90</v>
      </c>
      <c r="K299" s="90" t="s">
        <v>171</v>
      </c>
      <c r="L299" s="34">
        <f t="shared" si="53"/>
        <v>0</v>
      </c>
      <c r="M299" s="34"/>
      <c r="N299" s="34"/>
      <c r="O299" s="34">
        <f t="shared" si="54"/>
        <v>0</v>
      </c>
      <c r="P299" s="34"/>
      <c r="Q299" s="34"/>
      <c r="R299" s="34">
        <f t="shared" si="55"/>
        <v>0</v>
      </c>
      <c r="S299" s="34"/>
      <c r="T299" s="34"/>
      <c r="U299" s="34">
        <f t="shared" si="56"/>
        <v>0</v>
      </c>
      <c r="V299" s="34"/>
      <c r="W299" s="34"/>
      <c r="X299" s="34">
        <f t="shared" si="57"/>
        <v>0</v>
      </c>
      <c r="Y299" s="34"/>
      <c r="Z299" s="34"/>
      <c r="AA299" s="35">
        <f t="shared" si="58"/>
        <v>2763899.9999999995</v>
      </c>
      <c r="AB299" s="36"/>
    </row>
    <row r="300" spans="1:28" ht="15.75" hidden="1" x14ac:dyDescent="0.25">
      <c r="A300" s="65">
        <v>46031</v>
      </c>
      <c r="B300" s="66" t="s">
        <v>270</v>
      </c>
      <c r="C300" s="66"/>
      <c r="D300" s="66" t="s">
        <v>28</v>
      </c>
      <c r="E300" s="66" t="s">
        <v>104</v>
      </c>
      <c r="F300" s="66">
        <v>1000</v>
      </c>
      <c r="G300" s="66" t="s">
        <v>26</v>
      </c>
      <c r="H300" s="66">
        <v>2000</v>
      </c>
      <c r="I300" s="10">
        <f t="shared" si="46"/>
        <v>2000000</v>
      </c>
      <c r="J300" s="29" t="s">
        <v>110</v>
      </c>
      <c r="K300" s="66" t="s">
        <v>241</v>
      </c>
      <c r="L300" s="12">
        <f t="shared" si="53"/>
        <v>0</v>
      </c>
      <c r="M300" s="12"/>
      <c r="N300" s="12"/>
      <c r="O300" s="12">
        <f t="shared" si="54"/>
        <v>2000000</v>
      </c>
      <c r="P300" s="12">
        <v>400000</v>
      </c>
      <c r="Q300" s="12">
        <v>1600000</v>
      </c>
      <c r="R300" s="12">
        <f t="shared" si="55"/>
        <v>0</v>
      </c>
      <c r="S300" s="12"/>
      <c r="T300" s="12"/>
      <c r="U300" s="12">
        <f t="shared" si="56"/>
        <v>0</v>
      </c>
      <c r="V300" s="12"/>
      <c r="W300" s="12"/>
      <c r="X300" s="12">
        <f t="shared" si="57"/>
        <v>0</v>
      </c>
      <c r="Y300" s="12"/>
      <c r="Z300" s="12"/>
      <c r="AA300" s="13">
        <f t="shared" si="58"/>
        <v>0</v>
      </c>
      <c r="AB300" s="14">
        <v>46034</v>
      </c>
    </row>
    <row r="301" spans="1:28" ht="15.75" hidden="1" x14ac:dyDescent="0.25">
      <c r="A301" s="65">
        <v>46031</v>
      </c>
      <c r="B301" s="10" t="s">
        <v>279</v>
      </c>
      <c r="C301" s="10"/>
      <c r="D301" s="66" t="s">
        <v>28</v>
      </c>
      <c r="E301" s="10" t="s">
        <v>114</v>
      </c>
      <c r="F301" s="10">
        <v>20</v>
      </c>
      <c r="G301" s="10" t="s">
        <v>67</v>
      </c>
      <c r="H301" s="10">
        <v>50000</v>
      </c>
      <c r="I301" s="10">
        <f t="shared" si="46"/>
        <v>1000000</v>
      </c>
      <c r="J301" s="29" t="s">
        <v>110</v>
      </c>
      <c r="K301" s="95" t="s">
        <v>171</v>
      </c>
      <c r="L301" s="12">
        <f t="shared" ref="L301:L312" si="59">M301+N301</f>
        <v>0</v>
      </c>
      <c r="M301" s="12"/>
      <c r="N301" s="12"/>
      <c r="O301" s="12">
        <f t="shared" ref="O301:O312" si="60">P301+Q301</f>
        <v>1000000</v>
      </c>
      <c r="P301" s="12">
        <v>1000000</v>
      </c>
      <c r="Q301" s="12"/>
      <c r="R301" s="12">
        <f t="shared" ref="R301:R312" si="61">S301+T301</f>
        <v>0</v>
      </c>
      <c r="S301" s="12"/>
      <c r="T301" s="12"/>
      <c r="U301" s="12">
        <f t="shared" ref="U301:U312" si="62">V301+W301</f>
        <v>0</v>
      </c>
      <c r="V301" s="12"/>
      <c r="W301" s="12"/>
      <c r="X301" s="12">
        <f t="shared" ref="X301:X312" si="63">Y301+Z301</f>
        <v>0</v>
      </c>
      <c r="Y301" s="12"/>
      <c r="Z301" s="12"/>
      <c r="AA301" s="13">
        <f t="shared" ref="AA301:AA312" si="64">C301+I301-L301-O301-U301-X301-R301</f>
        <v>0</v>
      </c>
      <c r="AB301" s="14">
        <v>46041</v>
      </c>
    </row>
    <row r="302" spans="1:28" ht="15.75" hidden="1" x14ac:dyDescent="0.25">
      <c r="A302" s="65">
        <v>46031</v>
      </c>
      <c r="B302" s="10" t="s">
        <v>280</v>
      </c>
      <c r="C302" s="10"/>
      <c r="D302" s="10" t="s">
        <v>195</v>
      </c>
      <c r="E302" s="10" t="s">
        <v>161</v>
      </c>
      <c r="F302" s="10">
        <v>2</v>
      </c>
      <c r="G302" s="10" t="s">
        <v>61</v>
      </c>
      <c r="H302" s="10">
        <v>230000</v>
      </c>
      <c r="I302" s="10">
        <f t="shared" si="46"/>
        <v>460000</v>
      </c>
      <c r="J302" s="29" t="s">
        <v>113</v>
      </c>
      <c r="K302" s="10"/>
      <c r="L302" s="12">
        <f t="shared" si="59"/>
        <v>0</v>
      </c>
      <c r="M302" s="12"/>
      <c r="N302" s="12"/>
      <c r="O302" s="12">
        <f t="shared" si="60"/>
        <v>0</v>
      </c>
      <c r="P302" s="12"/>
      <c r="Q302" s="12"/>
      <c r="R302" s="12">
        <f t="shared" si="61"/>
        <v>0</v>
      </c>
      <c r="S302" s="12"/>
      <c r="T302" s="12"/>
      <c r="U302" s="12">
        <f t="shared" si="62"/>
        <v>460000</v>
      </c>
      <c r="V302" s="12">
        <v>460000</v>
      </c>
      <c r="W302" s="12"/>
      <c r="X302" s="12">
        <f t="shared" si="63"/>
        <v>0</v>
      </c>
      <c r="Y302" s="12"/>
      <c r="Z302" s="12"/>
      <c r="AA302" s="13">
        <f t="shared" si="64"/>
        <v>0</v>
      </c>
      <c r="AB302" s="14">
        <v>46031</v>
      </c>
    </row>
    <row r="303" spans="1:28" ht="15.75" hidden="1" x14ac:dyDescent="0.25">
      <c r="A303" s="65">
        <v>46031</v>
      </c>
      <c r="B303" s="10" t="s">
        <v>281</v>
      </c>
      <c r="C303" s="10"/>
      <c r="D303" s="10" t="s">
        <v>195</v>
      </c>
      <c r="E303" s="10" t="s">
        <v>282</v>
      </c>
      <c r="F303" s="10">
        <v>200</v>
      </c>
      <c r="G303" s="10" t="s">
        <v>26</v>
      </c>
      <c r="H303" s="10">
        <v>2720</v>
      </c>
      <c r="I303" s="10">
        <f t="shared" si="46"/>
        <v>544000</v>
      </c>
      <c r="J303" s="29" t="s">
        <v>110</v>
      </c>
      <c r="K303" s="10"/>
      <c r="L303" s="12">
        <f t="shared" si="59"/>
        <v>0</v>
      </c>
      <c r="M303" s="12"/>
      <c r="N303" s="12"/>
      <c r="O303" s="12">
        <f t="shared" si="60"/>
        <v>544000</v>
      </c>
      <c r="P303" s="12">
        <v>544000</v>
      </c>
      <c r="Q303" s="12"/>
      <c r="R303" s="12">
        <f t="shared" si="61"/>
        <v>0</v>
      </c>
      <c r="S303" s="12"/>
      <c r="T303" s="12"/>
      <c r="U303" s="12">
        <f t="shared" si="62"/>
        <v>0</v>
      </c>
      <c r="V303" s="12"/>
      <c r="W303" s="12"/>
      <c r="X303" s="12">
        <f t="shared" si="63"/>
        <v>0</v>
      </c>
      <c r="Y303" s="12"/>
      <c r="Z303" s="12"/>
      <c r="AA303" s="13">
        <f t="shared" si="64"/>
        <v>0</v>
      </c>
      <c r="AB303" s="14">
        <v>46030</v>
      </c>
    </row>
    <row r="304" spans="1:28" ht="15.75" hidden="1" x14ac:dyDescent="0.25">
      <c r="A304" s="65">
        <v>46031</v>
      </c>
      <c r="B304" s="10" t="s">
        <v>94</v>
      </c>
      <c r="C304" s="10"/>
      <c r="D304" s="10" t="s">
        <v>195</v>
      </c>
      <c r="E304" s="10" t="s">
        <v>167</v>
      </c>
      <c r="F304" s="10">
        <v>2.5</v>
      </c>
      <c r="G304" s="10" t="s">
        <v>36</v>
      </c>
      <c r="H304" s="10">
        <v>90000</v>
      </c>
      <c r="I304" s="10">
        <f t="shared" si="46"/>
        <v>225000</v>
      </c>
      <c r="J304" s="29" t="s">
        <v>113</v>
      </c>
      <c r="K304" s="10"/>
      <c r="L304" s="12">
        <f t="shared" si="59"/>
        <v>0</v>
      </c>
      <c r="M304" s="12"/>
      <c r="N304" s="12"/>
      <c r="O304" s="12">
        <f t="shared" si="60"/>
        <v>0</v>
      </c>
      <c r="P304" s="12"/>
      <c r="Q304" s="12"/>
      <c r="R304" s="12">
        <f t="shared" si="61"/>
        <v>0</v>
      </c>
      <c r="S304" s="12"/>
      <c r="T304" s="12"/>
      <c r="U304" s="12">
        <f t="shared" si="62"/>
        <v>225000</v>
      </c>
      <c r="V304" s="12">
        <v>225000</v>
      </c>
      <c r="W304" s="12"/>
      <c r="X304" s="12">
        <f t="shared" si="63"/>
        <v>0</v>
      </c>
      <c r="Y304" s="12"/>
      <c r="Z304" s="12"/>
      <c r="AA304" s="13">
        <f t="shared" si="64"/>
        <v>0</v>
      </c>
      <c r="AB304" s="14">
        <v>46031</v>
      </c>
    </row>
    <row r="305" spans="1:28" ht="15.75" hidden="1" x14ac:dyDescent="0.25">
      <c r="A305" s="65">
        <v>46031</v>
      </c>
      <c r="B305" s="10" t="s">
        <v>50</v>
      </c>
      <c r="C305" s="10"/>
      <c r="D305" s="10" t="s">
        <v>195</v>
      </c>
      <c r="E305" s="10" t="s">
        <v>131</v>
      </c>
      <c r="F305" s="10">
        <v>25</v>
      </c>
      <c r="G305" s="10" t="s">
        <v>36</v>
      </c>
      <c r="H305" s="10">
        <v>120000</v>
      </c>
      <c r="I305" s="10">
        <f t="shared" si="46"/>
        <v>3000000</v>
      </c>
      <c r="J305" s="29" t="s">
        <v>110</v>
      </c>
      <c r="K305" s="95" t="s">
        <v>241</v>
      </c>
      <c r="L305" s="12">
        <f t="shared" si="59"/>
        <v>0</v>
      </c>
      <c r="M305" s="12"/>
      <c r="N305" s="12"/>
      <c r="O305" s="12">
        <f t="shared" si="60"/>
        <v>3000000</v>
      </c>
      <c r="P305" s="12">
        <v>3000000</v>
      </c>
      <c r="Q305" s="12"/>
      <c r="R305" s="12">
        <f t="shared" si="61"/>
        <v>0</v>
      </c>
      <c r="S305" s="12"/>
      <c r="T305" s="12"/>
      <c r="U305" s="12">
        <f t="shared" si="62"/>
        <v>0</v>
      </c>
      <c r="V305" s="12"/>
      <c r="W305" s="12"/>
      <c r="X305" s="12">
        <f t="shared" si="63"/>
        <v>0</v>
      </c>
      <c r="Y305" s="12"/>
      <c r="Z305" s="12"/>
      <c r="AA305" s="13">
        <f t="shared" si="64"/>
        <v>0</v>
      </c>
      <c r="AB305" s="14">
        <v>46043</v>
      </c>
    </row>
    <row r="306" spans="1:28" ht="15.75" hidden="1" x14ac:dyDescent="0.25">
      <c r="A306" s="65">
        <v>46031</v>
      </c>
      <c r="B306" s="10" t="s">
        <v>283</v>
      </c>
      <c r="C306" s="10"/>
      <c r="D306" s="10" t="s">
        <v>195</v>
      </c>
      <c r="E306" s="10" t="s">
        <v>160</v>
      </c>
      <c r="F306" s="10">
        <v>2</v>
      </c>
      <c r="G306" s="10" t="s">
        <v>22</v>
      </c>
      <c r="H306" s="10">
        <v>350000</v>
      </c>
      <c r="I306" s="10">
        <f t="shared" si="46"/>
        <v>700000</v>
      </c>
      <c r="J306" s="29" t="s">
        <v>110</v>
      </c>
      <c r="K306" s="10"/>
      <c r="L306" s="12">
        <f t="shared" si="59"/>
        <v>0</v>
      </c>
      <c r="M306" s="12"/>
      <c r="N306" s="12"/>
      <c r="O306" s="12">
        <f t="shared" si="60"/>
        <v>700000</v>
      </c>
      <c r="P306" s="12">
        <v>700000</v>
      </c>
      <c r="Q306" s="12"/>
      <c r="R306" s="12">
        <f t="shared" si="61"/>
        <v>0</v>
      </c>
      <c r="S306" s="12"/>
      <c r="T306" s="12"/>
      <c r="U306" s="12">
        <f t="shared" si="62"/>
        <v>0</v>
      </c>
      <c r="V306" s="12"/>
      <c r="W306" s="12"/>
      <c r="X306" s="12">
        <f t="shared" si="63"/>
        <v>0</v>
      </c>
      <c r="Y306" s="12"/>
      <c r="Z306" s="12"/>
      <c r="AA306" s="13">
        <f t="shared" si="64"/>
        <v>0</v>
      </c>
      <c r="AB306" s="14">
        <v>46031</v>
      </c>
    </row>
    <row r="307" spans="1:28" ht="15.75" hidden="1" x14ac:dyDescent="0.25">
      <c r="A307" s="65">
        <v>46031</v>
      </c>
      <c r="B307" s="10" t="s">
        <v>283</v>
      </c>
      <c r="C307" s="10"/>
      <c r="D307" s="10" t="s">
        <v>195</v>
      </c>
      <c r="E307" s="10" t="s">
        <v>51</v>
      </c>
      <c r="F307" s="10">
        <v>1</v>
      </c>
      <c r="G307" s="10" t="s">
        <v>22</v>
      </c>
      <c r="H307" s="10">
        <v>350000</v>
      </c>
      <c r="I307" s="10">
        <f t="shared" si="46"/>
        <v>350000</v>
      </c>
      <c r="J307" s="29" t="s">
        <v>110</v>
      </c>
      <c r="K307" s="10"/>
      <c r="L307" s="12">
        <f t="shared" si="59"/>
        <v>0</v>
      </c>
      <c r="M307" s="12"/>
      <c r="N307" s="12"/>
      <c r="O307" s="12">
        <f t="shared" si="60"/>
        <v>350000</v>
      </c>
      <c r="P307" s="12">
        <v>350000</v>
      </c>
      <c r="Q307" s="12"/>
      <c r="R307" s="12">
        <f t="shared" si="61"/>
        <v>0</v>
      </c>
      <c r="S307" s="12"/>
      <c r="T307" s="12"/>
      <c r="U307" s="12">
        <f t="shared" si="62"/>
        <v>0</v>
      </c>
      <c r="V307" s="12"/>
      <c r="W307" s="12"/>
      <c r="X307" s="12">
        <f t="shared" si="63"/>
        <v>0</v>
      </c>
      <c r="Y307" s="12"/>
      <c r="Z307" s="12"/>
      <c r="AA307" s="13">
        <f t="shared" si="64"/>
        <v>0</v>
      </c>
      <c r="AB307" s="14">
        <v>46031</v>
      </c>
    </row>
    <row r="308" spans="1:28" ht="15.75" hidden="1" x14ac:dyDescent="0.25">
      <c r="A308" s="65">
        <v>46031</v>
      </c>
      <c r="B308" s="10" t="s">
        <v>284</v>
      </c>
      <c r="C308" s="10"/>
      <c r="D308" s="10" t="s">
        <v>28</v>
      </c>
      <c r="E308" s="10" t="s">
        <v>98</v>
      </c>
      <c r="F308" s="10">
        <v>3000</v>
      </c>
      <c r="G308" s="10" t="s">
        <v>26</v>
      </c>
      <c r="H308" s="10">
        <v>1825</v>
      </c>
      <c r="I308" s="10">
        <f t="shared" si="46"/>
        <v>5475000</v>
      </c>
      <c r="J308" s="29" t="s">
        <v>110</v>
      </c>
      <c r="K308" s="10" t="s">
        <v>288</v>
      </c>
      <c r="L308" s="12">
        <f t="shared" si="59"/>
        <v>0</v>
      </c>
      <c r="M308" s="12"/>
      <c r="N308" s="12"/>
      <c r="O308" s="12">
        <f t="shared" si="60"/>
        <v>0</v>
      </c>
      <c r="P308" s="12"/>
      <c r="Q308" s="12"/>
      <c r="R308" s="12">
        <f t="shared" si="61"/>
        <v>5475000</v>
      </c>
      <c r="S308" s="12">
        <v>5475000</v>
      </c>
      <c r="T308" s="12"/>
      <c r="U308" s="12">
        <f t="shared" si="62"/>
        <v>0</v>
      </c>
      <c r="V308" s="12"/>
      <c r="W308" s="12"/>
      <c r="X308" s="12">
        <f t="shared" si="63"/>
        <v>0</v>
      </c>
      <c r="Y308" s="12"/>
      <c r="Z308" s="12"/>
      <c r="AA308" s="13">
        <f t="shared" si="64"/>
        <v>0</v>
      </c>
      <c r="AB308" s="14">
        <v>46039</v>
      </c>
    </row>
    <row r="309" spans="1:28" ht="15.75" hidden="1" x14ac:dyDescent="0.25">
      <c r="A309" s="65">
        <v>46031</v>
      </c>
      <c r="B309" s="10" t="s">
        <v>285</v>
      </c>
      <c r="C309" s="10"/>
      <c r="D309" s="10" t="s">
        <v>28</v>
      </c>
      <c r="E309" s="10" t="s">
        <v>114</v>
      </c>
      <c r="F309" s="10">
        <v>10</v>
      </c>
      <c r="G309" s="10" t="s">
        <v>67</v>
      </c>
      <c r="H309" s="10">
        <v>50000</v>
      </c>
      <c r="I309" s="10">
        <f t="shared" si="46"/>
        <v>500000</v>
      </c>
      <c r="J309" s="29" t="s">
        <v>110</v>
      </c>
      <c r="K309" s="10"/>
      <c r="L309" s="12">
        <f t="shared" si="59"/>
        <v>0</v>
      </c>
      <c r="M309" s="12"/>
      <c r="N309" s="12"/>
      <c r="O309" s="12">
        <f t="shared" si="60"/>
        <v>0</v>
      </c>
      <c r="P309" s="12"/>
      <c r="Q309" s="12"/>
      <c r="R309" s="12">
        <f t="shared" si="61"/>
        <v>500000</v>
      </c>
      <c r="S309" s="12">
        <v>500000</v>
      </c>
      <c r="T309" s="12"/>
      <c r="U309" s="12">
        <f t="shared" si="62"/>
        <v>0</v>
      </c>
      <c r="V309" s="12"/>
      <c r="W309" s="12"/>
      <c r="X309" s="12">
        <f t="shared" si="63"/>
        <v>0</v>
      </c>
      <c r="Y309" s="12"/>
      <c r="Z309" s="12"/>
      <c r="AA309" s="13">
        <f t="shared" si="64"/>
        <v>0</v>
      </c>
      <c r="AB309" s="14">
        <v>46031</v>
      </c>
    </row>
    <row r="310" spans="1:28" ht="15.75" hidden="1" x14ac:dyDescent="0.25">
      <c r="A310" s="65">
        <v>46031</v>
      </c>
      <c r="B310" s="10" t="s">
        <v>285</v>
      </c>
      <c r="C310" s="10"/>
      <c r="D310" s="10" t="s">
        <v>28</v>
      </c>
      <c r="E310" s="10" t="s">
        <v>130</v>
      </c>
      <c r="F310" s="10">
        <v>10</v>
      </c>
      <c r="G310" s="10" t="s">
        <v>67</v>
      </c>
      <c r="H310" s="10">
        <v>50000</v>
      </c>
      <c r="I310" s="10">
        <f t="shared" si="46"/>
        <v>500000</v>
      </c>
      <c r="J310" s="29" t="s">
        <v>110</v>
      </c>
      <c r="K310" s="10"/>
      <c r="L310" s="12">
        <f t="shared" si="59"/>
        <v>0</v>
      </c>
      <c r="M310" s="12"/>
      <c r="N310" s="12"/>
      <c r="O310" s="12">
        <f t="shared" si="60"/>
        <v>0</v>
      </c>
      <c r="P310" s="12"/>
      <c r="Q310" s="12"/>
      <c r="R310" s="12">
        <f t="shared" si="61"/>
        <v>500000</v>
      </c>
      <c r="S310" s="12">
        <v>500000</v>
      </c>
      <c r="T310" s="12"/>
      <c r="U310" s="12">
        <f t="shared" si="62"/>
        <v>0</v>
      </c>
      <c r="V310" s="12"/>
      <c r="W310" s="12"/>
      <c r="X310" s="12">
        <f t="shared" si="63"/>
        <v>0</v>
      </c>
      <c r="Y310" s="12"/>
      <c r="Z310" s="12"/>
      <c r="AA310" s="13">
        <f t="shared" si="64"/>
        <v>0</v>
      </c>
      <c r="AB310" s="14">
        <v>46031</v>
      </c>
    </row>
    <row r="311" spans="1:28" ht="15.75" hidden="1" x14ac:dyDescent="0.25">
      <c r="A311" s="65">
        <v>46031</v>
      </c>
      <c r="B311" s="10" t="s">
        <v>234</v>
      </c>
      <c r="C311" s="10"/>
      <c r="D311" s="10" t="s">
        <v>32</v>
      </c>
      <c r="E311" s="10" t="s">
        <v>254</v>
      </c>
      <c r="F311" s="10">
        <v>8</v>
      </c>
      <c r="G311" s="10" t="s">
        <v>192</v>
      </c>
      <c r="H311" s="10">
        <v>900000</v>
      </c>
      <c r="I311" s="10">
        <f t="shared" si="46"/>
        <v>7200000</v>
      </c>
      <c r="J311" s="52" t="s">
        <v>90</v>
      </c>
      <c r="K311" s="88" t="s">
        <v>188</v>
      </c>
      <c r="L311" s="12">
        <f t="shared" si="59"/>
        <v>0</v>
      </c>
      <c r="M311" s="12"/>
      <c r="N311" s="12"/>
      <c r="O311" s="12">
        <f t="shared" si="60"/>
        <v>0</v>
      </c>
      <c r="P311" s="12"/>
      <c r="Q311" s="12"/>
      <c r="R311" s="12">
        <f t="shared" si="61"/>
        <v>0</v>
      </c>
      <c r="S311" s="12"/>
      <c r="T311" s="12"/>
      <c r="U311" s="12">
        <f t="shared" si="62"/>
        <v>0</v>
      </c>
      <c r="V311" s="12"/>
      <c r="W311" s="12"/>
      <c r="X311" s="12">
        <f t="shared" si="63"/>
        <v>0</v>
      </c>
      <c r="Y311" s="12"/>
      <c r="Z311" s="12"/>
      <c r="AA311" s="13">
        <f t="shared" si="64"/>
        <v>7200000</v>
      </c>
      <c r="AB311" s="14"/>
    </row>
    <row r="312" spans="1:28" ht="15.75" hidden="1" x14ac:dyDescent="0.25">
      <c r="A312" s="28">
        <v>46031</v>
      </c>
      <c r="B312" s="10" t="s">
        <v>286</v>
      </c>
      <c r="C312" s="10"/>
      <c r="D312" s="10" t="s">
        <v>195</v>
      </c>
      <c r="E312" s="10" t="s">
        <v>211</v>
      </c>
      <c r="F312" s="10">
        <v>30</v>
      </c>
      <c r="G312" s="10" t="s">
        <v>36</v>
      </c>
      <c r="H312" s="10">
        <v>100000</v>
      </c>
      <c r="I312" s="10">
        <f t="shared" si="46"/>
        <v>3000000</v>
      </c>
      <c r="J312" s="29" t="s">
        <v>110</v>
      </c>
      <c r="K312" s="10"/>
      <c r="L312" s="12">
        <f t="shared" si="59"/>
        <v>0</v>
      </c>
      <c r="M312" s="12"/>
      <c r="N312" s="12"/>
      <c r="O312" s="12">
        <f t="shared" si="60"/>
        <v>3000000</v>
      </c>
      <c r="P312" s="12">
        <v>3000000</v>
      </c>
      <c r="Q312" s="12"/>
      <c r="R312" s="12">
        <f t="shared" si="61"/>
        <v>0</v>
      </c>
      <c r="S312" s="12"/>
      <c r="T312" s="12"/>
      <c r="U312" s="12">
        <f t="shared" si="62"/>
        <v>0</v>
      </c>
      <c r="V312" s="12"/>
      <c r="W312" s="12"/>
      <c r="X312" s="12">
        <f t="shared" si="63"/>
        <v>0</v>
      </c>
      <c r="Y312" s="12"/>
      <c r="Z312" s="12"/>
      <c r="AA312" s="13">
        <f t="shared" si="64"/>
        <v>0</v>
      </c>
      <c r="AB312" s="14">
        <v>46031</v>
      </c>
    </row>
    <row r="313" spans="1:28" ht="16.5" hidden="1" thickBot="1" x14ac:dyDescent="0.3">
      <c r="A313" s="53">
        <v>46031</v>
      </c>
      <c r="B313" s="31" t="s">
        <v>56</v>
      </c>
      <c r="C313" s="31"/>
      <c r="D313" s="31" t="s">
        <v>28</v>
      </c>
      <c r="E313" s="31" t="s">
        <v>191</v>
      </c>
      <c r="F313" s="31">
        <v>1</v>
      </c>
      <c r="G313" s="31" t="s">
        <v>192</v>
      </c>
      <c r="H313" s="31">
        <v>900000</v>
      </c>
      <c r="I313" s="31">
        <f t="shared" si="46"/>
        <v>900000</v>
      </c>
      <c r="J313" s="64" t="s">
        <v>90</v>
      </c>
      <c r="K313" s="89" t="s">
        <v>240</v>
      </c>
      <c r="L313" s="34">
        <f t="shared" ref="L313:L314" si="65">M313+N313</f>
        <v>0</v>
      </c>
      <c r="M313" s="34"/>
      <c r="N313" s="34"/>
      <c r="O313" s="34">
        <f t="shared" ref="O313:O314" si="66">P313+Q313</f>
        <v>0</v>
      </c>
      <c r="P313" s="34"/>
      <c r="Q313" s="34"/>
      <c r="R313" s="34">
        <f t="shared" ref="R313:R314" si="67">S313+T313</f>
        <v>0</v>
      </c>
      <c r="S313" s="34"/>
      <c r="T313" s="34"/>
      <c r="U313" s="34">
        <f t="shared" ref="U313:U314" si="68">V313+W313</f>
        <v>0</v>
      </c>
      <c r="V313" s="34"/>
      <c r="W313" s="34"/>
      <c r="X313" s="34">
        <f t="shared" ref="X313:X314" si="69">Y313+Z313</f>
        <v>0</v>
      </c>
      <c r="Y313" s="34"/>
      <c r="Z313" s="34"/>
      <c r="AA313" s="35">
        <f t="shared" ref="AA313:AA314" si="70">C313+I313-L313-O313-U313-X313-R313</f>
        <v>900000</v>
      </c>
      <c r="AB313" s="36"/>
    </row>
    <row r="314" spans="1:28" ht="15.75" hidden="1" x14ac:dyDescent="0.25">
      <c r="A314" s="65">
        <v>46032</v>
      </c>
      <c r="B314" s="66" t="s">
        <v>169</v>
      </c>
      <c r="C314" s="66"/>
      <c r="D314" s="66" t="s">
        <v>32</v>
      </c>
      <c r="E314" s="66" t="s">
        <v>205</v>
      </c>
      <c r="F314" s="66">
        <v>50</v>
      </c>
      <c r="G314" s="66" t="s">
        <v>36</v>
      </c>
      <c r="H314" s="66">
        <v>60000</v>
      </c>
      <c r="I314" s="10">
        <f t="shared" si="46"/>
        <v>3000000</v>
      </c>
      <c r="J314" s="29" t="s">
        <v>110</v>
      </c>
      <c r="K314" s="66" t="s">
        <v>188</v>
      </c>
      <c r="L314" s="12">
        <f t="shared" si="65"/>
        <v>0</v>
      </c>
      <c r="M314" s="12"/>
      <c r="N314" s="12"/>
      <c r="O314" s="12">
        <f t="shared" si="66"/>
        <v>3000000</v>
      </c>
      <c r="P314" s="12">
        <v>3000000</v>
      </c>
      <c r="Q314" s="12"/>
      <c r="R314" s="12">
        <f t="shared" si="67"/>
        <v>0</v>
      </c>
      <c r="S314" s="12"/>
      <c r="T314" s="12"/>
      <c r="U314" s="12">
        <f t="shared" si="68"/>
        <v>0</v>
      </c>
      <c r="V314" s="12"/>
      <c r="W314" s="12"/>
      <c r="X314" s="12">
        <f t="shared" si="69"/>
        <v>0</v>
      </c>
      <c r="Y314" s="12"/>
      <c r="Z314" s="12"/>
      <c r="AA314" s="13">
        <f t="shared" si="70"/>
        <v>0</v>
      </c>
      <c r="AB314" s="14">
        <v>46035</v>
      </c>
    </row>
    <row r="315" spans="1:28" ht="15.75" hidden="1" x14ac:dyDescent="0.25">
      <c r="A315" s="65">
        <v>46032</v>
      </c>
      <c r="B315" s="10" t="s">
        <v>234</v>
      </c>
      <c r="C315" s="10"/>
      <c r="D315" s="66" t="s">
        <v>32</v>
      </c>
      <c r="E315" s="10" t="s">
        <v>116</v>
      </c>
      <c r="F315" s="10">
        <v>6</v>
      </c>
      <c r="G315" s="10" t="s">
        <v>67</v>
      </c>
      <c r="H315" s="10">
        <v>65000</v>
      </c>
      <c r="I315" s="10">
        <f t="shared" si="46"/>
        <v>390000</v>
      </c>
      <c r="J315" s="52" t="s">
        <v>90</v>
      </c>
      <c r="K315" s="88" t="s">
        <v>202</v>
      </c>
      <c r="L315" s="12">
        <f t="shared" ref="L315:L331" si="71">M315+N315</f>
        <v>0</v>
      </c>
      <c r="M315" s="12"/>
      <c r="N315" s="12"/>
      <c r="O315" s="12">
        <f t="shared" ref="O315:O331" si="72">P315+Q315</f>
        <v>0</v>
      </c>
      <c r="P315" s="12"/>
      <c r="Q315" s="12"/>
      <c r="R315" s="12">
        <f t="shared" ref="R315:R331" si="73">S315+T315</f>
        <v>0</v>
      </c>
      <c r="S315" s="12"/>
      <c r="T315" s="12"/>
      <c r="U315" s="12">
        <f t="shared" ref="U315:U331" si="74">V315+W315</f>
        <v>0</v>
      </c>
      <c r="V315" s="12"/>
      <c r="W315" s="12"/>
      <c r="X315" s="12">
        <f t="shared" ref="X315:X331" si="75">Y315+Z315</f>
        <v>0</v>
      </c>
      <c r="Y315" s="12"/>
      <c r="Z315" s="12"/>
      <c r="AA315" s="13">
        <f t="shared" ref="AA315:AA331" si="76">C315+I315-L315-O315-U315-X315-R315</f>
        <v>390000</v>
      </c>
      <c r="AB315" s="14"/>
    </row>
    <row r="316" spans="1:28" ht="15.75" hidden="1" x14ac:dyDescent="0.25">
      <c r="A316" s="65">
        <v>46032</v>
      </c>
      <c r="B316" s="10" t="s">
        <v>234</v>
      </c>
      <c r="C316" s="10"/>
      <c r="D316" s="66" t="s">
        <v>32</v>
      </c>
      <c r="E316" s="10" t="s">
        <v>78</v>
      </c>
      <c r="F316" s="10">
        <v>3</v>
      </c>
      <c r="G316" s="10" t="s">
        <v>61</v>
      </c>
      <c r="H316" s="10">
        <v>250000</v>
      </c>
      <c r="I316" s="10">
        <f t="shared" si="46"/>
        <v>750000</v>
      </c>
      <c r="J316" s="52" t="s">
        <v>90</v>
      </c>
      <c r="K316" s="88" t="s">
        <v>202</v>
      </c>
      <c r="L316" s="12">
        <f t="shared" si="71"/>
        <v>0</v>
      </c>
      <c r="M316" s="12"/>
      <c r="N316" s="12"/>
      <c r="O316" s="12">
        <f t="shared" si="72"/>
        <v>0</v>
      </c>
      <c r="P316" s="12"/>
      <c r="Q316" s="12"/>
      <c r="R316" s="12">
        <f t="shared" si="73"/>
        <v>0</v>
      </c>
      <c r="S316" s="12"/>
      <c r="T316" s="12"/>
      <c r="U316" s="12">
        <f t="shared" si="74"/>
        <v>0</v>
      </c>
      <c r="V316" s="12"/>
      <c r="W316" s="12"/>
      <c r="X316" s="12">
        <f t="shared" si="75"/>
        <v>0</v>
      </c>
      <c r="Y316" s="12"/>
      <c r="Z316" s="12"/>
      <c r="AA316" s="13">
        <f t="shared" si="76"/>
        <v>750000</v>
      </c>
      <c r="AB316" s="14"/>
    </row>
    <row r="317" spans="1:28" ht="15.75" hidden="1" x14ac:dyDescent="0.25">
      <c r="A317" s="65">
        <v>46032</v>
      </c>
      <c r="B317" s="10" t="s">
        <v>289</v>
      </c>
      <c r="C317" s="10"/>
      <c r="D317" s="66" t="s">
        <v>32</v>
      </c>
      <c r="E317" s="10" t="s">
        <v>104</v>
      </c>
      <c r="F317" s="10">
        <v>1800</v>
      </c>
      <c r="G317" s="10" t="s">
        <v>26</v>
      </c>
      <c r="H317" s="10">
        <v>1800</v>
      </c>
      <c r="I317" s="10">
        <f t="shared" si="46"/>
        <v>3240000</v>
      </c>
      <c r="J317" s="29" t="s">
        <v>110</v>
      </c>
      <c r="K317" s="10" t="s">
        <v>241</v>
      </c>
      <c r="L317" s="12">
        <f t="shared" si="71"/>
        <v>0</v>
      </c>
      <c r="M317" s="12"/>
      <c r="N317" s="12"/>
      <c r="O317" s="12">
        <f t="shared" si="72"/>
        <v>3240000</v>
      </c>
      <c r="P317" s="12">
        <v>3240000</v>
      </c>
      <c r="Q317" s="12"/>
      <c r="R317" s="12">
        <f t="shared" si="73"/>
        <v>0</v>
      </c>
      <c r="S317" s="12"/>
      <c r="T317" s="12"/>
      <c r="U317" s="12">
        <f t="shared" si="74"/>
        <v>0</v>
      </c>
      <c r="V317" s="12"/>
      <c r="W317" s="12"/>
      <c r="X317" s="12">
        <f t="shared" si="75"/>
        <v>0</v>
      </c>
      <c r="Y317" s="12"/>
      <c r="Z317" s="12"/>
      <c r="AA317" s="13">
        <f t="shared" si="76"/>
        <v>0</v>
      </c>
      <c r="AB317" s="14">
        <v>46035</v>
      </c>
    </row>
    <row r="318" spans="1:28" ht="15.75" hidden="1" x14ac:dyDescent="0.25">
      <c r="A318" s="65">
        <v>46032</v>
      </c>
      <c r="B318" s="10" t="s">
        <v>74</v>
      </c>
      <c r="C318" s="10"/>
      <c r="D318" s="66" t="s">
        <v>32</v>
      </c>
      <c r="E318" s="10" t="s">
        <v>173</v>
      </c>
      <c r="F318" s="10">
        <v>25</v>
      </c>
      <c r="G318" s="10" t="s">
        <v>36</v>
      </c>
      <c r="H318" s="10">
        <v>92000</v>
      </c>
      <c r="I318" s="10">
        <f t="shared" si="46"/>
        <v>2300000</v>
      </c>
      <c r="J318" s="52" t="s">
        <v>30</v>
      </c>
      <c r="K318" s="87" t="s">
        <v>241</v>
      </c>
      <c r="L318" s="12">
        <f t="shared" si="71"/>
        <v>0</v>
      </c>
      <c r="M318" s="12"/>
      <c r="N318" s="12"/>
      <c r="O318" s="12">
        <f t="shared" si="72"/>
        <v>0</v>
      </c>
      <c r="P318" s="12"/>
      <c r="Q318" s="12"/>
      <c r="R318" s="12">
        <f t="shared" si="73"/>
        <v>0</v>
      </c>
      <c r="S318" s="12"/>
      <c r="T318" s="12"/>
      <c r="U318" s="12">
        <f t="shared" si="74"/>
        <v>0</v>
      </c>
      <c r="V318" s="12"/>
      <c r="W318" s="12"/>
      <c r="X318" s="12">
        <f t="shared" si="75"/>
        <v>0</v>
      </c>
      <c r="Y318" s="12"/>
      <c r="Z318" s="12"/>
      <c r="AA318" s="13">
        <f t="shared" si="76"/>
        <v>2300000</v>
      </c>
      <c r="AB318" s="14"/>
    </row>
    <row r="319" spans="1:28" ht="15.75" hidden="1" x14ac:dyDescent="0.25">
      <c r="A319" s="65">
        <v>46032</v>
      </c>
      <c r="B319" s="10" t="s">
        <v>109</v>
      </c>
      <c r="C319" s="10"/>
      <c r="D319" s="10" t="s">
        <v>32</v>
      </c>
      <c r="E319" s="10" t="s">
        <v>116</v>
      </c>
      <c r="F319" s="10">
        <v>4</v>
      </c>
      <c r="G319" s="10" t="s">
        <v>67</v>
      </c>
      <c r="H319" s="10">
        <v>55000</v>
      </c>
      <c r="I319" s="10">
        <f t="shared" si="46"/>
        <v>220000</v>
      </c>
      <c r="J319" s="52" t="s">
        <v>30</v>
      </c>
      <c r="K319" s="88" t="s">
        <v>188</v>
      </c>
      <c r="L319" s="12">
        <f t="shared" si="71"/>
        <v>184700</v>
      </c>
      <c r="M319" s="12">
        <v>184700</v>
      </c>
      <c r="N319" s="12"/>
      <c r="O319" s="12">
        <f t="shared" si="72"/>
        <v>0</v>
      </c>
      <c r="P319" s="12"/>
      <c r="Q319" s="12"/>
      <c r="R319" s="12">
        <f t="shared" si="73"/>
        <v>0</v>
      </c>
      <c r="S319" s="12"/>
      <c r="T319" s="12"/>
      <c r="U319" s="12">
        <f t="shared" si="74"/>
        <v>0</v>
      </c>
      <c r="V319" s="12"/>
      <c r="W319" s="12"/>
      <c r="X319" s="12">
        <f t="shared" si="75"/>
        <v>0</v>
      </c>
      <c r="Y319" s="12"/>
      <c r="Z319" s="12"/>
      <c r="AA319" s="13">
        <f t="shared" si="76"/>
        <v>35300</v>
      </c>
      <c r="AB319" s="14">
        <v>46049</v>
      </c>
    </row>
    <row r="320" spans="1:28" ht="15.75" hidden="1" x14ac:dyDescent="0.25">
      <c r="A320" s="65">
        <v>46032</v>
      </c>
      <c r="B320" s="10" t="s">
        <v>109</v>
      </c>
      <c r="C320" s="10"/>
      <c r="D320" s="10" t="s">
        <v>32</v>
      </c>
      <c r="E320" s="10" t="s">
        <v>290</v>
      </c>
      <c r="F320" s="10">
        <v>2</v>
      </c>
      <c r="G320" s="10" t="s">
        <v>39</v>
      </c>
      <c r="H320" s="10">
        <v>25000</v>
      </c>
      <c r="I320" s="10">
        <f t="shared" si="46"/>
        <v>50000</v>
      </c>
      <c r="J320" s="52" t="s">
        <v>90</v>
      </c>
      <c r="K320" s="88" t="s">
        <v>188</v>
      </c>
      <c r="L320" s="12">
        <f t="shared" si="71"/>
        <v>0</v>
      </c>
      <c r="M320" s="12"/>
      <c r="N320" s="12"/>
      <c r="O320" s="12">
        <f t="shared" si="72"/>
        <v>0</v>
      </c>
      <c r="P320" s="12"/>
      <c r="Q320" s="12"/>
      <c r="R320" s="12">
        <f t="shared" si="73"/>
        <v>0</v>
      </c>
      <c r="S320" s="12"/>
      <c r="T320" s="12"/>
      <c r="U320" s="12">
        <f t="shared" si="74"/>
        <v>0</v>
      </c>
      <c r="V320" s="12"/>
      <c r="W320" s="12"/>
      <c r="X320" s="12">
        <f t="shared" si="75"/>
        <v>0</v>
      </c>
      <c r="Y320" s="12"/>
      <c r="Z320" s="12"/>
      <c r="AA320" s="13">
        <f t="shared" si="76"/>
        <v>50000</v>
      </c>
      <c r="AB320" s="14"/>
    </row>
    <row r="321" spans="1:28" ht="15.75" hidden="1" x14ac:dyDescent="0.25">
      <c r="A321" s="65">
        <v>46032</v>
      </c>
      <c r="B321" s="10" t="s">
        <v>109</v>
      </c>
      <c r="C321" s="10"/>
      <c r="D321" s="10" t="s">
        <v>32</v>
      </c>
      <c r="E321" s="10" t="s">
        <v>130</v>
      </c>
      <c r="F321" s="10">
        <v>10</v>
      </c>
      <c r="G321" s="10" t="s">
        <v>67</v>
      </c>
      <c r="H321" s="10">
        <v>50000</v>
      </c>
      <c r="I321" s="10">
        <f t="shared" si="46"/>
        <v>500000</v>
      </c>
      <c r="J321" s="52" t="s">
        <v>90</v>
      </c>
      <c r="K321" s="88" t="s">
        <v>188</v>
      </c>
      <c r="L321" s="12">
        <f t="shared" si="71"/>
        <v>0</v>
      </c>
      <c r="M321" s="12"/>
      <c r="N321" s="12"/>
      <c r="O321" s="12">
        <f t="shared" si="72"/>
        <v>0</v>
      </c>
      <c r="P321" s="12"/>
      <c r="Q321" s="12"/>
      <c r="R321" s="12">
        <f t="shared" si="73"/>
        <v>0</v>
      </c>
      <c r="S321" s="12"/>
      <c r="T321" s="12"/>
      <c r="U321" s="12">
        <f t="shared" si="74"/>
        <v>0</v>
      </c>
      <c r="V321" s="12"/>
      <c r="W321" s="12"/>
      <c r="X321" s="12">
        <f t="shared" si="75"/>
        <v>0</v>
      </c>
      <c r="Y321" s="12"/>
      <c r="Z321" s="12"/>
      <c r="AA321" s="13">
        <f t="shared" si="76"/>
        <v>500000</v>
      </c>
      <c r="AB321" s="14"/>
    </row>
    <row r="322" spans="1:28" ht="15.75" hidden="1" x14ac:dyDescent="0.25">
      <c r="A322" s="65">
        <v>46032</v>
      </c>
      <c r="B322" s="10" t="s">
        <v>109</v>
      </c>
      <c r="C322" s="10"/>
      <c r="D322" s="10" t="s">
        <v>32</v>
      </c>
      <c r="E322" s="10" t="s">
        <v>117</v>
      </c>
      <c r="F322" s="10">
        <v>1</v>
      </c>
      <c r="G322" s="10" t="s">
        <v>36</v>
      </c>
      <c r="H322" s="10">
        <v>70000</v>
      </c>
      <c r="I322" s="10">
        <f t="shared" si="46"/>
        <v>70000</v>
      </c>
      <c r="J322" s="52" t="s">
        <v>90</v>
      </c>
      <c r="K322" s="88" t="s">
        <v>188</v>
      </c>
      <c r="L322" s="12">
        <f t="shared" si="71"/>
        <v>0</v>
      </c>
      <c r="M322" s="12"/>
      <c r="N322" s="12"/>
      <c r="O322" s="12">
        <f t="shared" si="72"/>
        <v>0</v>
      </c>
      <c r="P322" s="12"/>
      <c r="Q322" s="12"/>
      <c r="R322" s="12">
        <f t="shared" si="73"/>
        <v>0</v>
      </c>
      <c r="S322" s="12"/>
      <c r="T322" s="12"/>
      <c r="U322" s="12">
        <f t="shared" si="74"/>
        <v>0</v>
      </c>
      <c r="V322" s="12"/>
      <c r="W322" s="12"/>
      <c r="X322" s="12">
        <f t="shared" si="75"/>
        <v>0</v>
      </c>
      <c r="Y322" s="12"/>
      <c r="Z322" s="12"/>
      <c r="AA322" s="13">
        <f t="shared" si="76"/>
        <v>70000</v>
      </c>
      <c r="AB322" s="14"/>
    </row>
    <row r="323" spans="1:28" ht="15.75" hidden="1" x14ac:dyDescent="0.25">
      <c r="A323" s="65">
        <v>46032</v>
      </c>
      <c r="B323" s="10" t="s">
        <v>109</v>
      </c>
      <c r="C323" s="10"/>
      <c r="D323" s="10" t="s">
        <v>32</v>
      </c>
      <c r="E323" s="10" t="s">
        <v>167</v>
      </c>
      <c r="F323" s="10">
        <v>5</v>
      </c>
      <c r="G323" s="10" t="s">
        <v>36</v>
      </c>
      <c r="H323" s="10">
        <v>90000</v>
      </c>
      <c r="I323" s="10">
        <f t="shared" si="46"/>
        <v>450000</v>
      </c>
      <c r="J323" s="52" t="s">
        <v>90</v>
      </c>
      <c r="K323" s="88" t="s">
        <v>188</v>
      </c>
      <c r="L323" s="12">
        <f t="shared" si="71"/>
        <v>0</v>
      </c>
      <c r="M323" s="12"/>
      <c r="N323" s="12"/>
      <c r="O323" s="12">
        <f t="shared" si="72"/>
        <v>0</v>
      </c>
      <c r="P323" s="12"/>
      <c r="Q323" s="12"/>
      <c r="R323" s="12">
        <f t="shared" si="73"/>
        <v>0</v>
      </c>
      <c r="S323" s="12"/>
      <c r="T323" s="12"/>
      <c r="U323" s="12">
        <f t="shared" si="74"/>
        <v>0</v>
      </c>
      <c r="V323" s="12"/>
      <c r="W323" s="12"/>
      <c r="X323" s="12">
        <f t="shared" si="75"/>
        <v>0</v>
      </c>
      <c r="Y323" s="12"/>
      <c r="Z323" s="12"/>
      <c r="AA323" s="13">
        <f t="shared" si="76"/>
        <v>450000</v>
      </c>
      <c r="AB323" s="14"/>
    </row>
    <row r="324" spans="1:28" ht="15.75" hidden="1" x14ac:dyDescent="0.25">
      <c r="A324" s="65">
        <v>46032</v>
      </c>
      <c r="B324" s="10" t="s">
        <v>109</v>
      </c>
      <c r="C324" s="10"/>
      <c r="D324" s="10" t="s">
        <v>32</v>
      </c>
      <c r="E324" s="10" t="s">
        <v>179</v>
      </c>
      <c r="F324" s="10">
        <v>2.5</v>
      </c>
      <c r="G324" s="10" t="s">
        <v>36</v>
      </c>
      <c r="H324" s="10">
        <v>90000</v>
      </c>
      <c r="I324" s="10">
        <f t="shared" si="46"/>
        <v>225000</v>
      </c>
      <c r="J324" s="52" t="s">
        <v>90</v>
      </c>
      <c r="K324" s="88" t="s">
        <v>188</v>
      </c>
      <c r="L324" s="12">
        <f t="shared" si="71"/>
        <v>0</v>
      </c>
      <c r="M324" s="12"/>
      <c r="N324" s="12"/>
      <c r="O324" s="12">
        <f t="shared" si="72"/>
        <v>0</v>
      </c>
      <c r="P324" s="12"/>
      <c r="Q324" s="12"/>
      <c r="R324" s="12">
        <f t="shared" si="73"/>
        <v>0</v>
      </c>
      <c r="S324" s="12"/>
      <c r="T324" s="12"/>
      <c r="U324" s="12">
        <f t="shared" si="74"/>
        <v>0</v>
      </c>
      <c r="V324" s="12"/>
      <c r="W324" s="12"/>
      <c r="X324" s="12">
        <f t="shared" si="75"/>
        <v>0</v>
      </c>
      <c r="Y324" s="12"/>
      <c r="Z324" s="12"/>
      <c r="AA324" s="13">
        <f t="shared" si="76"/>
        <v>225000</v>
      </c>
      <c r="AB324" s="14"/>
    </row>
    <row r="325" spans="1:28" ht="15.75" hidden="1" x14ac:dyDescent="0.25">
      <c r="A325" s="65">
        <v>46032</v>
      </c>
      <c r="B325" s="10" t="s">
        <v>109</v>
      </c>
      <c r="C325" s="10"/>
      <c r="D325" s="10" t="s">
        <v>32</v>
      </c>
      <c r="E325" s="10" t="s">
        <v>180</v>
      </c>
      <c r="F325" s="10">
        <v>2.5</v>
      </c>
      <c r="G325" s="10" t="s">
        <v>36</v>
      </c>
      <c r="H325" s="10">
        <v>86000</v>
      </c>
      <c r="I325" s="10">
        <f t="shared" si="46"/>
        <v>215000</v>
      </c>
      <c r="J325" s="52" t="s">
        <v>90</v>
      </c>
      <c r="K325" s="88" t="s">
        <v>188</v>
      </c>
      <c r="L325" s="12">
        <f t="shared" si="71"/>
        <v>0</v>
      </c>
      <c r="M325" s="12"/>
      <c r="N325" s="12"/>
      <c r="O325" s="12">
        <f t="shared" si="72"/>
        <v>0</v>
      </c>
      <c r="P325" s="12"/>
      <c r="Q325" s="12"/>
      <c r="R325" s="12">
        <f t="shared" si="73"/>
        <v>0</v>
      </c>
      <c r="S325" s="12"/>
      <c r="T325" s="12"/>
      <c r="U325" s="12">
        <f t="shared" si="74"/>
        <v>0</v>
      </c>
      <c r="V325" s="12"/>
      <c r="W325" s="12"/>
      <c r="X325" s="12">
        <f t="shared" si="75"/>
        <v>0</v>
      </c>
      <c r="Y325" s="12"/>
      <c r="Z325" s="12"/>
      <c r="AA325" s="13">
        <f t="shared" si="76"/>
        <v>215000</v>
      </c>
      <c r="AB325" s="14"/>
    </row>
    <row r="326" spans="1:28" ht="15.75" hidden="1" x14ac:dyDescent="0.25">
      <c r="A326" s="65">
        <v>46032</v>
      </c>
      <c r="B326" s="10" t="s">
        <v>109</v>
      </c>
      <c r="C326" s="10"/>
      <c r="D326" s="10" t="s">
        <v>32</v>
      </c>
      <c r="E326" s="10" t="s">
        <v>291</v>
      </c>
      <c r="F326" s="10">
        <v>2</v>
      </c>
      <c r="G326" s="10" t="s">
        <v>39</v>
      </c>
      <c r="H326" s="10">
        <v>460000</v>
      </c>
      <c r="I326" s="10">
        <f t="shared" si="46"/>
        <v>920000</v>
      </c>
      <c r="J326" s="52" t="s">
        <v>90</v>
      </c>
      <c r="K326" s="88" t="s">
        <v>188</v>
      </c>
      <c r="L326" s="12">
        <f t="shared" si="71"/>
        <v>0</v>
      </c>
      <c r="M326" s="12"/>
      <c r="N326" s="12"/>
      <c r="O326" s="12">
        <f t="shared" si="72"/>
        <v>0</v>
      </c>
      <c r="P326" s="12"/>
      <c r="Q326" s="12"/>
      <c r="R326" s="12">
        <f t="shared" si="73"/>
        <v>0</v>
      </c>
      <c r="S326" s="12"/>
      <c r="T326" s="12"/>
      <c r="U326" s="12">
        <f t="shared" si="74"/>
        <v>0</v>
      </c>
      <c r="V326" s="12"/>
      <c r="W326" s="12"/>
      <c r="X326" s="12">
        <f t="shared" si="75"/>
        <v>0</v>
      </c>
      <c r="Y326" s="12"/>
      <c r="Z326" s="12"/>
      <c r="AA326" s="13">
        <f t="shared" si="76"/>
        <v>920000</v>
      </c>
      <c r="AB326" s="14"/>
    </row>
    <row r="327" spans="1:28" ht="15.75" hidden="1" x14ac:dyDescent="0.25">
      <c r="A327" s="65">
        <v>46032</v>
      </c>
      <c r="B327" s="10" t="s">
        <v>182</v>
      </c>
      <c r="C327" s="10"/>
      <c r="D327" s="10" t="s">
        <v>28</v>
      </c>
      <c r="E327" s="10" t="s">
        <v>183</v>
      </c>
      <c r="F327" s="10">
        <v>100</v>
      </c>
      <c r="G327" s="10" t="s">
        <v>36</v>
      </c>
      <c r="H327" s="10">
        <v>73000</v>
      </c>
      <c r="I327" s="10">
        <f t="shared" ref="I327:I390" si="77">F327*H327</f>
        <v>7300000</v>
      </c>
      <c r="J327" s="52" t="s">
        <v>30</v>
      </c>
      <c r="K327" s="88" t="s">
        <v>202</v>
      </c>
      <c r="L327" s="12">
        <f t="shared" si="71"/>
        <v>0</v>
      </c>
      <c r="M327" s="12"/>
      <c r="N327" s="12"/>
      <c r="O327" s="12">
        <f t="shared" si="72"/>
        <v>0</v>
      </c>
      <c r="P327" s="12"/>
      <c r="Q327" s="12"/>
      <c r="R327" s="12">
        <f t="shared" si="73"/>
        <v>0</v>
      </c>
      <c r="S327" s="12"/>
      <c r="T327" s="12"/>
      <c r="U327" s="12">
        <f t="shared" si="74"/>
        <v>0</v>
      </c>
      <c r="V327" s="12"/>
      <c r="W327" s="12"/>
      <c r="X327" s="12">
        <f t="shared" si="75"/>
        <v>0</v>
      </c>
      <c r="Y327" s="12"/>
      <c r="Z327" s="12"/>
      <c r="AA327" s="13">
        <f t="shared" si="76"/>
        <v>7300000</v>
      </c>
      <c r="AB327" s="14"/>
    </row>
    <row r="328" spans="1:28" ht="15.75" hidden="1" x14ac:dyDescent="0.25">
      <c r="A328" s="65">
        <v>46032</v>
      </c>
      <c r="B328" s="10" t="s">
        <v>292</v>
      </c>
      <c r="C328" s="10"/>
      <c r="D328" s="10" t="s">
        <v>28</v>
      </c>
      <c r="E328" s="10" t="s">
        <v>160</v>
      </c>
      <c r="F328" s="10">
        <v>1</v>
      </c>
      <c r="G328" s="10" t="s">
        <v>22</v>
      </c>
      <c r="H328" s="10">
        <v>400000</v>
      </c>
      <c r="I328" s="10">
        <f t="shared" si="77"/>
        <v>400000</v>
      </c>
      <c r="J328" s="29" t="s">
        <v>110</v>
      </c>
      <c r="K328" s="10" t="s">
        <v>293</v>
      </c>
      <c r="L328" s="12">
        <f t="shared" si="71"/>
        <v>0</v>
      </c>
      <c r="M328" s="12"/>
      <c r="N328" s="12"/>
      <c r="O328" s="12">
        <f t="shared" si="72"/>
        <v>0</v>
      </c>
      <c r="P328" s="12"/>
      <c r="Q328" s="12"/>
      <c r="R328" s="12">
        <f t="shared" si="73"/>
        <v>400000</v>
      </c>
      <c r="S328" s="12">
        <v>400000</v>
      </c>
      <c r="T328" s="12"/>
      <c r="U328" s="12">
        <f t="shared" si="74"/>
        <v>0</v>
      </c>
      <c r="V328" s="12"/>
      <c r="W328" s="12"/>
      <c r="X328" s="12">
        <f t="shared" si="75"/>
        <v>0</v>
      </c>
      <c r="Y328" s="12"/>
      <c r="Z328" s="12"/>
      <c r="AA328" s="13">
        <f t="shared" si="76"/>
        <v>0</v>
      </c>
      <c r="AB328" s="14">
        <v>46035</v>
      </c>
    </row>
    <row r="329" spans="1:28" ht="15.75" hidden="1" x14ac:dyDescent="0.25">
      <c r="A329" s="65">
        <v>46032</v>
      </c>
      <c r="B329" s="10" t="s">
        <v>292</v>
      </c>
      <c r="C329" s="10"/>
      <c r="D329" s="10" t="s">
        <v>28</v>
      </c>
      <c r="E329" s="10" t="s">
        <v>38</v>
      </c>
      <c r="F329" s="10">
        <v>2</v>
      </c>
      <c r="G329" s="10" t="s">
        <v>39</v>
      </c>
      <c r="H329" s="10">
        <v>45000</v>
      </c>
      <c r="I329" s="10">
        <f t="shared" si="77"/>
        <v>90000</v>
      </c>
      <c r="J329" s="29" t="s">
        <v>110</v>
      </c>
      <c r="K329" s="10" t="s">
        <v>293</v>
      </c>
      <c r="L329" s="12">
        <f t="shared" si="71"/>
        <v>0</v>
      </c>
      <c r="M329" s="12"/>
      <c r="N329" s="12"/>
      <c r="O329" s="12">
        <f t="shared" si="72"/>
        <v>0</v>
      </c>
      <c r="P329" s="12"/>
      <c r="Q329" s="12"/>
      <c r="R329" s="12">
        <f t="shared" si="73"/>
        <v>90000</v>
      </c>
      <c r="S329" s="12">
        <v>90000</v>
      </c>
      <c r="T329" s="12"/>
      <c r="U329" s="12">
        <f t="shared" si="74"/>
        <v>0</v>
      </c>
      <c r="V329" s="12"/>
      <c r="W329" s="12"/>
      <c r="X329" s="12">
        <f t="shared" si="75"/>
        <v>0</v>
      </c>
      <c r="Y329" s="12"/>
      <c r="Z329" s="12"/>
      <c r="AA329" s="13">
        <f t="shared" si="76"/>
        <v>0</v>
      </c>
      <c r="AB329" s="14">
        <v>46035</v>
      </c>
    </row>
    <row r="330" spans="1:28" ht="16.5" hidden="1" thickBot="1" x14ac:dyDescent="0.3">
      <c r="A330" s="53">
        <v>46032</v>
      </c>
      <c r="B330" s="31" t="s">
        <v>158</v>
      </c>
      <c r="C330" s="31"/>
      <c r="D330" s="31" t="s">
        <v>32</v>
      </c>
      <c r="E330" s="31" t="s">
        <v>38</v>
      </c>
      <c r="F330" s="31">
        <v>3</v>
      </c>
      <c r="G330" s="31" t="s">
        <v>39</v>
      </c>
      <c r="H330" s="31">
        <v>45000</v>
      </c>
      <c r="I330" s="31">
        <f t="shared" si="77"/>
        <v>135000</v>
      </c>
      <c r="J330" s="51" t="s">
        <v>110</v>
      </c>
      <c r="K330" s="31" t="s">
        <v>241</v>
      </c>
      <c r="L330" s="34">
        <f t="shared" si="71"/>
        <v>0</v>
      </c>
      <c r="M330" s="34"/>
      <c r="N330" s="34"/>
      <c r="O330" s="34">
        <f t="shared" si="72"/>
        <v>0</v>
      </c>
      <c r="P330" s="34"/>
      <c r="Q330" s="34"/>
      <c r="R330" s="34">
        <f t="shared" si="73"/>
        <v>135000</v>
      </c>
      <c r="S330" s="34">
        <v>135000</v>
      </c>
      <c r="T330" s="34"/>
      <c r="U330" s="34">
        <f t="shared" si="74"/>
        <v>0</v>
      </c>
      <c r="V330" s="34"/>
      <c r="W330" s="34"/>
      <c r="X330" s="34">
        <f t="shared" si="75"/>
        <v>0</v>
      </c>
      <c r="Y330" s="34"/>
      <c r="Z330" s="34"/>
      <c r="AA330" s="35">
        <f t="shared" si="76"/>
        <v>0</v>
      </c>
      <c r="AB330" s="36">
        <v>46035</v>
      </c>
    </row>
    <row r="331" spans="1:28" ht="15.75" hidden="1" x14ac:dyDescent="0.25">
      <c r="A331" s="65">
        <v>46034</v>
      </c>
      <c r="B331" s="66" t="s">
        <v>285</v>
      </c>
      <c r="C331" s="66"/>
      <c r="D331" s="66" t="s">
        <v>28</v>
      </c>
      <c r="E331" s="66" t="s">
        <v>98</v>
      </c>
      <c r="F331" s="66">
        <v>10400</v>
      </c>
      <c r="G331" s="66" t="s">
        <v>26</v>
      </c>
      <c r="H331" s="66">
        <v>1800</v>
      </c>
      <c r="I331" s="10">
        <f t="shared" si="77"/>
        <v>18720000</v>
      </c>
      <c r="J331" s="29" t="s">
        <v>110</v>
      </c>
      <c r="K331" s="66" t="s">
        <v>241</v>
      </c>
      <c r="L331" s="12">
        <f t="shared" si="71"/>
        <v>0</v>
      </c>
      <c r="M331" s="12"/>
      <c r="N331" s="12"/>
      <c r="O331" s="12">
        <f t="shared" si="72"/>
        <v>18720000</v>
      </c>
      <c r="P331" s="12">
        <v>18720000</v>
      </c>
      <c r="Q331" s="12"/>
      <c r="R331" s="12">
        <f t="shared" si="73"/>
        <v>0</v>
      </c>
      <c r="S331" s="12"/>
      <c r="T331" s="12"/>
      <c r="U331" s="12">
        <f t="shared" si="74"/>
        <v>0</v>
      </c>
      <c r="V331" s="12"/>
      <c r="W331" s="12"/>
      <c r="X331" s="12">
        <f t="shared" si="75"/>
        <v>0</v>
      </c>
      <c r="Y331" s="12"/>
      <c r="Z331" s="12"/>
      <c r="AA331" s="13">
        <f t="shared" si="76"/>
        <v>0</v>
      </c>
      <c r="AB331" s="14">
        <v>46036</v>
      </c>
    </row>
    <row r="332" spans="1:28" ht="15.75" hidden="1" x14ac:dyDescent="0.25">
      <c r="A332" s="65">
        <v>46034</v>
      </c>
      <c r="B332" s="10" t="s">
        <v>294</v>
      </c>
      <c r="C332" s="10"/>
      <c r="D332" s="10" t="s">
        <v>195</v>
      </c>
      <c r="E332" s="10" t="s">
        <v>107</v>
      </c>
      <c r="F332" s="10">
        <v>20</v>
      </c>
      <c r="G332" s="10" t="s">
        <v>36</v>
      </c>
      <c r="H332" s="10">
        <v>57000</v>
      </c>
      <c r="I332" s="10">
        <f t="shared" si="77"/>
        <v>1140000</v>
      </c>
      <c r="J332" s="29" t="s">
        <v>113</v>
      </c>
      <c r="K332" s="10"/>
      <c r="L332" s="12">
        <f t="shared" ref="L332:L350" si="78">M332+N332</f>
        <v>0</v>
      </c>
      <c r="M332" s="12"/>
      <c r="N332" s="12"/>
      <c r="O332" s="12">
        <f t="shared" ref="O332:O350" si="79">P332+Q332</f>
        <v>0</v>
      </c>
      <c r="P332" s="12"/>
      <c r="Q332" s="12"/>
      <c r="R332" s="12">
        <f t="shared" ref="R332:R350" si="80">S332+T332</f>
        <v>0</v>
      </c>
      <c r="S332" s="12"/>
      <c r="T332" s="12"/>
      <c r="U332" s="12">
        <f t="shared" ref="U332:U350" si="81">V332+W332</f>
        <v>1140000</v>
      </c>
      <c r="V332" s="12">
        <v>1140000</v>
      </c>
      <c r="W332" s="12"/>
      <c r="X332" s="12">
        <f t="shared" ref="X332:X350" si="82">Y332+Z332</f>
        <v>0</v>
      </c>
      <c r="Y332" s="12"/>
      <c r="Z332" s="12"/>
      <c r="AA332" s="13">
        <f t="shared" ref="AA332:AA350" si="83">C332+I332-L332-O332-U332-X332-R332</f>
        <v>0</v>
      </c>
      <c r="AB332" s="14">
        <v>46034</v>
      </c>
    </row>
    <row r="333" spans="1:28" ht="15.75" hidden="1" x14ac:dyDescent="0.25">
      <c r="A333" s="65">
        <v>46034</v>
      </c>
      <c r="B333" s="10" t="s">
        <v>295</v>
      </c>
      <c r="C333" s="10"/>
      <c r="D333" s="10" t="s">
        <v>195</v>
      </c>
      <c r="E333" s="10" t="s">
        <v>209</v>
      </c>
      <c r="F333" s="10">
        <v>1</v>
      </c>
      <c r="G333" s="10" t="s">
        <v>61</v>
      </c>
      <c r="H333" s="10">
        <v>230000</v>
      </c>
      <c r="I333" s="10">
        <f t="shared" si="77"/>
        <v>230000</v>
      </c>
      <c r="J333" s="29" t="s">
        <v>113</v>
      </c>
      <c r="K333" s="10"/>
      <c r="L333" s="12">
        <f t="shared" si="78"/>
        <v>0</v>
      </c>
      <c r="M333" s="12"/>
      <c r="N333" s="12"/>
      <c r="O333" s="12">
        <f t="shared" si="79"/>
        <v>0</v>
      </c>
      <c r="P333" s="12"/>
      <c r="Q333" s="12"/>
      <c r="R333" s="12">
        <f t="shared" si="80"/>
        <v>0</v>
      </c>
      <c r="S333" s="12"/>
      <c r="T333" s="12"/>
      <c r="U333" s="12">
        <f t="shared" si="81"/>
        <v>230000</v>
      </c>
      <c r="V333" s="12">
        <v>230000</v>
      </c>
      <c r="W333" s="12"/>
      <c r="X333" s="12">
        <f t="shared" si="82"/>
        <v>0</v>
      </c>
      <c r="Y333" s="12"/>
      <c r="Z333" s="12"/>
      <c r="AA333" s="13">
        <f t="shared" si="83"/>
        <v>0</v>
      </c>
      <c r="AB333" s="14">
        <v>46034</v>
      </c>
    </row>
    <row r="334" spans="1:28" ht="15.75" hidden="1" x14ac:dyDescent="0.25">
      <c r="A334" s="65">
        <v>46034</v>
      </c>
      <c r="B334" s="10" t="s">
        <v>230</v>
      </c>
      <c r="C334" s="10"/>
      <c r="D334" s="10" t="s">
        <v>206</v>
      </c>
      <c r="E334" s="10" t="s">
        <v>98</v>
      </c>
      <c r="F334" s="10">
        <v>1200</v>
      </c>
      <c r="G334" s="10" t="s">
        <v>26</v>
      </c>
      <c r="H334" s="10">
        <v>1800</v>
      </c>
      <c r="I334" s="10">
        <f t="shared" si="77"/>
        <v>2160000</v>
      </c>
      <c r="J334" s="29" t="s">
        <v>110</v>
      </c>
      <c r="K334" s="10"/>
      <c r="L334" s="12">
        <f t="shared" si="78"/>
        <v>0</v>
      </c>
      <c r="M334" s="12"/>
      <c r="N334" s="12"/>
      <c r="O334" s="12">
        <f t="shared" si="79"/>
        <v>0</v>
      </c>
      <c r="P334" s="12"/>
      <c r="Q334" s="12"/>
      <c r="R334" s="12">
        <f t="shared" si="80"/>
        <v>2160000</v>
      </c>
      <c r="S334" s="12">
        <v>2160000</v>
      </c>
      <c r="T334" s="12"/>
      <c r="U334" s="12">
        <f t="shared" si="81"/>
        <v>0</v>
      </c>
      <c r="V334" s="12"/>
      <c r="W334" s="12"/>
      <c r="X334" s="12">
        <f t="shared" si="82"/>
        <v>0</v>
      </c>
      <c r="Y334" s="12"/>
      <c r="Z334" s="12"/>
      <c r="AA334" s="13">
        <f t="shared" si="83"/>
        <v>0</v>
      </c>
      <c r="AB334" s="14">
        <v>46034</v>
      </c>
    </row>
    <row r="335" spans="1:28" ht="15.75" hidden="1" x14ac:dyDescent="0.25">
      <c r="A335" s="65">
        <v>46034</v>
      </c>
      <c r="B335" s="10" t="s">
        <v>296</v>
      </c>
      <c r="C335" s="10"/>
      <c r="D335" s="10" t="s">
        <v>195</v>
      </c>
      <c r="E335" s="10" t="s">
        <v>104</v>
      </c>
      <c r="F335" s="10">
        <v>200</v>
      </c>
      <c r="G335" s="10" t="s">
        <v>26</v>
      </c>
      <c r="H335" s="10">
        <v>2000</v>
      </c>
      <c r="I335" s="10">
        <f t="shared" si="77"/>
        <v>400000</v>
      </c>
      <c r="J335" s="29" t="s">
        <v>110</v>
      </c>
      <c r="K335" s="10" t="s">
        <v>241</v>
      </c>
      <c r="L335" s="12">
        <f t="shared" si="78"/>
        <v>0</v>
      </c>
      <c r="M335" s="12"/>
      <c r="N335" s="12"/>
      <c r="O335" s="12">
        <f t="shared" si="79"/>
        <v>400000</v>
      </c>
      <c r="P335" s="12">
        <v>400000</v>
      </c>
      <c r="Q335" s="12"/>
      <c r="R335" s="12">
        <f t="shared" si="80"/>
        <v>0</v>
      </c>
      <c r="S335" s="12"/>
      <c r="T335" s="12"/>
      <c r="U335" s="12">
        <f t="shared" si="81"/>
        <v>0</v>
      </c>
      <c r="V335" s="12"/>
      <c r="W335" s="12"/>
      <c r="X335" s="12">
        <f t="shared" si="82"/>
        <v>0</v>
      </c>
      <c r="Y335" s="12"/>
      <c r="Z335" s="12"/>
      <c r="AA335" s="13">
        <f t="shared" si="83"/>
        <v>0</v>
      </c>
      <c r="AB335" s="14">
        <v>46035</v>
      </c>
    </row>
    <row r="336" spans="1:28" ht="15.75" hidden="1" x14ac:dyDescent="0.25">
      <c r="A336" s="65">
        <v>46034</v>
      </c>
      <c r="B336" s="10" t="s">
        <v>296</v>
      </c>
      <c r="C336" s="10"/>
      <c r="D336" s="10" t="s">
        <v>195</v>
      </c>
      <c r="E336" s="10" t="s">
        <v>170</v>
      </c>
      <c r="F336" s="10">
        <v>1125</v>
      </c>
      <c r="G336" s="10" t="s">
        <v>26</v>
      </c>
      <c r="H336" s="10">
        <v>2630</v>
      </c>
      <c r="I336" s="10">
        <f t="shared" si="77"/>
        <v>2958750</v>
      </c>
      <c r="J336" s="29" t="s">
        <v>110</v>
      </c>
      <c r="K336" s="10" t="s">
        <v>241</v>
      </c>
      <c r="L336" s="12">
        <f t="shared" si="78"/>
        <v>0</v>
      </c>
      <c r="M336" s="12"/>
      <c r="N336" s="12"/>
      <c r="O336" s="12">
        <f t="shared" si="79"/>
        <v>2958750</v>
      </c>
      <c r="P336" s="12">
        <v>2958750</v>
      </c>
      <c r="Q336" s="12"/>
      <c r="R336" s="12">
        <f t="shared" si="80"/>
        <v>0</v>
      </c>
      <c r="S336" s="12"/>
      <c r="T336" s="12"/>
      <c r="U336" s="12">
        <f t="shared" si="81"/>
        <v>0</v>
      </c>
      <c r="V336" s="12"/>
      <c r="W336" s="12"/>
      <c r="X336" s="12">
        <f t="shared" si="82"/>
        <v>0</v>
      </c>
      <c r="Y336" s="12"/>
      <c r="Z336" s="12"/>
      <c r="AA336" s="13">
        <f t="shared" si="83"/>
        <v>0</v>
      </c>
      <c r="AB336" s="14">
        <v>46035</v>
      </c>
    </row>
    <row r="337" spans="1:28" ht="15.75" hidden="1" x14ac:dyDescent="0.25">
      <c r="A337" s="65">
        <v>46034</v>
      </c>
      <c r="B337" s="10" t="s">
        <v>253</v>
      </c>
      <c r="C337" s="10"/>
      <c r="D337" s="10" t="s">
        <v>28</v>
      </c>
      <c r="E337" s="10" t="s">
        <v>104</v>
      </c>
      <c r="F337" s="10">
        <v>1000</v>
      </c>
      <c r="G337" s="10" t="s">
        <v>26</v>
      </c>
      <c r="H337" s="10">
        <v>1900</v>
      </c>
      <c r="I337" s="10">
        <f t="shared" si="77"/>
        <v>1900000</v>
      </c>
      <c r="J337" s="29" t="s">
        <v>110</v>
      </c>
      <c r="K337" s="10"/>
      <c r="L337" s="12">
        <f t="shared" si="78"/>
        <v>0</v>
      </c>
      <c r="M337" s="12"/>
      <c r="N337" s="12"/>
      <c r="O337" s="12">
        <f t="shared" si="79"/>
        <v>0</v>
      </c>
      <c r="P337" s="12"/>
      <c r="Q337" s="12"/>
      <c r="R337" s="12">
        <f t="shared" si="80"/>
        <v>1900000</v>
      </c>
      <c r="S337" s="12">
        <v>1900000</v>
      </c>
      <c r="T337" s="12"/>
      <c r="U337" s="12">
        <f t="shared" si="81"/>
        <v>0</v>
      </c>
      <c r="V337" s="12"/>
      <c r="W337" s="12"/>
      <c r="X337" s="12">
        <f t="shared" si="82"/>
        <v>0</v>
      </c>
      <c r="Y337" s="12"/>
      <c r="Z337" s="12"/>
      <c r="AA337" s="13">
        <f t="shared" si="83"/>
        <v>0</v>
      </c>
      <c r="AB337" s="14">
        <v>46034</v>
      </c>
    </row>
    <row r="338" spans="1:28" ht="15.75" hidden="1" x14ac:dyDescent="0.25">
      <c r="A338" s="65">
        <v>46034</v>
      </c>
      <c r="B338" s="10" t="s">
        <v>297</v>
      </c>
      <c r="C338" s="10"/>
      <c r="D338" s="10" t="s">
        <v>28</v>
      </c>
      <c r="E338" s="10" t="s">
        <v>119</v>
      </c>
      <c r="F338" s="10">
        <v>25</v>
      </c>
      <c r="G338" s="10" t="s">
        <v>36</v>
      </c>
      <c r="H338" s="10">
        <v>180000</v>
      </c>
      <c r="I338" s="10">
        <f t="shared" si="77"/>
        <v>4500000</v>
      </c>
      <c r="J338" s="29" t="s">
        <v>113</v>
      </c>
      <c r="K338" s="10" t="s">
        <v>301</v>
      </c>
      <c r="L338" s="12">
        <f t="shared" si="78"/>
        <v>0</v>
      </c>
      <c r="M338" s="12"/>
      <c r="N338" s="12"/>
      <c r="O338" s="12">
        <f t="shared" si="79"/>
        <v>0</v>
      </c>
      <c r="P338" s="12"/>
      <c r="Q338" s="12"/>
      <c r="R338" s="12">
        <f t="shared" si="80"/>
        <v>0</v>
      </c>
      <c r="S338" s="12"/>
      <c r="T338" s="12"/>
      <c r="U338" s="12">
        <f t="shared" si="81"/>
        <v>4500000</v>
      </c>
      <c r="V338" s="12">
        <v>4500000</v>
      </c>
      <c r="W338" s="12"/>
      <c r="X338" s="12">
        <f t="shared" si="82"/>
        <v>0</v>
      </c>
      <c r="Y338" s="12"/>
      <c r="Z338" s="12"/>
      <c r="AA338" s="13">
        <f t="shared" si="83"/>
        <v>0</v>
      </c>
      <c r="AB338" s="14">
        <v>46055</v>
      </c>
    </row>
    <row r="339" spans="1:28" ht="15.75" hidden="1" x14ac:dyDescent="0.25">
      <c r="A339" s="65">
        <v>46034</v>
      </c>
      <c r="B339" s="10" t="s">
        <v>297</v>
      </c>
      <c r="C339" s="10"/>
      <c r="D339" s="10" t="s">
        <v>28</v>
      </c>
      <c r="E339" s="10" t="s">
        <v>131</v>
      </c>
      <c r="F339" s="10">
        <v>25</v>
      </c>
      <c r="G339" s="10" t="s">
        <v>36</v>
      </c>
      <c r="H339" s="10">
        <v>103000</v>
      </c>
      <c r="I339" s="10">
        <f t="shared" si="77"/>
        <v>2575000</v>
      </c>
      <c r="J339" s="52" t="s">
        <v>30</v>
      </c>
      <c r="K339" s="87" t="s">
        <v>301</v>
      </c>
      <c r="L339" s="12">
        <f t="shared" si="78"/>
        <v>0</v>
      </c>
      <c r="M339" s="12"/>
      <c r="N339" s="12"/>
      <c r="O339" s="12">
        <f t="shared" si="79"/>
        <v>0</v>
      </c>
      <c r="P339" s="12"/>
      <c r="Q339" s="12"/>
      <c r="R339" s="12">
        <f t="shared" si="80"/>
        <v>0</v>
      </c>
      <c r="S339" s="12"/>
      <c r="T339" s="12"/>
      <c r="U339" s="12">
        <f t="shared" si="81"/>
        <v>2500000</v>
      </c>
      <c r="V339" s="12">
        <v>2500000</v>
      </c>
      <c r="W339" s="12"/>
      <c r="X339" s="12">
        <f t="shared" si="82"/>
        <v>0</v>
      </c>
      <c r="Y339" s="12"/>
      <c r="Z339" s="12"/>
      <c r="AA339" s="13">
        <f t="shared" si="83"/>
        <v>75000</v>
      </c>
      <c r="AB339" s="14">
        <v>46055</v>
      </c>
    </row>
    <row r="340" spans="1:28" ht="15.75" hidden="1" x14ac:dyDescent="0.25">
      <c r="A340" s="65">
        <v>46034</v>
      </c>
      <c r="B340" s="10" t="s">
        <v>297</v>
      </c>
      <c r="C340" s="10"/>
      <c r="D340" s="10" t="s">
        <v>28</v>
      </c>
      <c r="E340" s="10" t="s">
        <v>88</v>
      </c>
      <c r="F340" s="10">
        <v>25</v>
      </c>
      <c r="G340" s="10" t="s">
        <v>36</v>
      </c>
      <c r="H340" s="10">
        <v>103000</v>
      </c>
      <c r="I340" s="10">
        <f t="shared" si="77"/>
        <v>2575000</v>
      </c>
      <c r="J340" s="52" t="s">
        <v>30</v>
      </c>
      <c r="K340" s="87" t="s">
        <v>301</v>
      </c>
      <c r="L340" s="12">
        <f t="shared" si="78"/>
        <v>0</v>
      </c>
      <c r="M340" s="12"/>
      <c r="N340" s="12"/>
      <c r="O340" s="12">
        <f t="shared" si="79"/>
        <v>0</v>
      </c>
      <c r="P340" s="12"/>
      <c r="Q340" s="12"/>
      <c r="R340" s="12">
        <f t="shared" si="80"/>
        <v>0</v>
      </c>
      <c r="S340" s="12"/>
      <c r="T340" s="12"/>
      <c r="U340" s="12">
        <f t="shared" si="81"/>
        <v>0</v>
      </c>
      <c r="V340" s="12"/>
      <c r="W340" s="12"/>
      <c r="X340" s="12">
        <f t="shared" si="82"/>
        <v>0</v>
      </c>
      <c r="Y340" s="12"/>
      <c r="Z340" s="12"/>
      <c r="AA340" s="13">
        <f t="shared" si="83"/>
        <v>2575000</v>
      </c>
      <c r="AB340" s="14"/>
    </row>
    <row r="341" spans="1:28" ht="15.75" hidden="1" x14ac:dyDescent="0.25">
      <c r="A341" s="65">
        <v>46034</v>
      </c>
      <c r="B341" s="10" t="s">
        <v>280</v>
      </c>
      <c r="C341" s="10"/>
      <c r="D341" s="10" t="s">
        <v>195</v>
      </c>
      <c r="E341" s="10" t="s">
        <v>300</v>
      </c>
      <c r="F341" s="10">
        <v>2</v>
      </c>
      <c r="G341" s="10" t="s">
        <v>61</v>
      </c>
      <c r="H341" s="10">
        <v>145000</v>
      </c>
      <c r="I341" s="10">
        <f t="shared" si="77"/>
        <v>290000</v>
      </c>
      <c r="J341" s="29" t="s">
        <v>113</v>
      </c>
      <c r="K341" s="10"/>
      <c r="L341" s="12">
        <f t="shared" si="78"/>
        <v>0</v>
      </c>
      <c r="M341" s="12"/>
      <c r="N341" s="12"/>
      <c r="O341" s="12">
        <f t="shared" si="79"/>
        <v>0</v>
      </c>
      <c r="P341" s="12"/>
      <c r="Q341" s="12"/>
      <c r="R341" s="12">
        <f t="shared" si="80"/>
        <v>0</v>
      </c>
      <c r="S341" s="12"/>
      <c r="T341" s="12"/>
      <c r="U341" s="12">
        <f t="shared" si="81"/>
        <v>290000</v>
      </c>
      <c r="V341" s="12">
        <v>290000</v>
      </c>
      <c r="W341" s="12"/>
      <c r="X341" s="12">
        <f t="shared" si="82"/>
        <v>0</v>
      </c>
      <c r="Y341" s="12"/>
      <c r="Z341" s="12"/>
      <c r="AA341" s="13">
        <f t="shared" si="83"/>
        <v>0</v>
      </c>
      <c r="AB341" s="14">
        <v>46034</v>
      </c>
    </row>
    <row r="342" spans="1:28" ht="15.75" hidden="1" x14ac:dyDescent="0.25">
      <c r="A342" s="65">
        <v>46034</v>
      </c>
      <c r="B342" s="10" t="s">
        <v>280</v>
      </c>
      <c r="C342" s="10"/>
      <c r="D342" s="10" t="s">
        <v>195</v>
      </c>
      <c r="E342" s="10" t="s">
        <v>161</v>
      </c>
      <c r="F342" s="10">
        <v>1</v>
      </c>
      <c r="G342" s="10" t="s">
        <v>61</v>
      </c>
      <c r="H342" s="10">
        <v>230000</v>
      </c>
      <c r="I342" s="10">
        <f t="shared" si="77"/>
        <v>230000</v>
      </c>
      <c r="J342" s="29" t="s">
        <v>113</v>
      </c>
      <c r="K342" s="10"/>
      <c r="L342" s="12">
        <f t="shared" si="78"/>
        <v>0</v>
      </c>
      <c r="M342" s="12"/>
      <c r="N342" s="12"/>
      <c r="O342" s="12">
        <f t="shared" si="79"/>
        <v>0</v>
      </c>
      <c r="P342" s="12"/>
      <c r="Q342" s="12"/>
      <c r="R342" s="12">
        <f t="shared" si="80"/>
        <v>0</v>
      </c>
      <c r="S342" s="12"/>
      <c r="T342" s="12"/>
      <c r="U342" s="12">
        <f t="shared" si="81"/>
        <v>230000</v>
      </c>
      <c r="V342" s="12">
        <v>230000</v>
      </c>
      <c r="W342" s="12"/>
      <c r="X342" s="12">
        <f t="shared" si="82"/>
        <v>0</v>
      </c>
      <c r="Y342" s="12"/>
      <c r="Z342" s="12"/>
      <c r="AA342" s="13">
        <f t="shared" si="83"/>
        <v>0</v>
      </c>
      <c r="AB342" s="14">
        <v>46034</v>
      </c>
    </row>
    <row r="343" spans="1:28" ht="15.75" hidden="1" x14ac:dyDescent="0.25">
      <c r="A343" s="65">
        <v>46034</v>
      </c>
      <c r="B343" s="10" t="s">
        <v>176</v>
      </c>
      <c r="C343" s="10"/>
      <c r="D343" s="10" t="s">
        <v>195</v>
      </c>
      <c r="E343" s="10" t="s">
        <v>175</v>
      </c>
      <c r="F343" s="10">
        <v>5000</v>
      </c>
      <c r="G343" s="10" t="s">
        <v>26</v>
      </c>
      <c r="H343" s="10">
        <v>875</v>
      </c>
      <c r="I343" s="10">
        <f t="shared" si="77"/>
        <v>4375000</v>
      </c>
      <c r="J343" s="52" t="s">
        <v>30</v>
      </c>
      <c r="K343" s="88" t="s">
        <v>188</v>
      </c>
      <c r="L343" s="12">
        <f t="shared" si="78"/>
        <v>0</v>
      </c>
      <c r="M343" s="12"/>
      <c r="N343" s="12"/>
      <c r="O343" s="12">
        <f t="shared" si="79"/>
        <v>0</v>
      </c>
      <c r="P343" s="12"/>
      <c r="Q343" s="12"/>
      <c r="R343" s="12">
        <f t="shared" si="80"/>
        <v>0</v>
      </c>
      <c r="S343" s="12"/>
      <c r="T343" s="12"/>
      <c r="U343" s="12">
        <f t="shared" si="81"/>
        <v>0</v>
      </c>
      <c r="V343" s="12"/>
      <c r="W343" s="12"/>
      <c r="X343" s="12">
        <f t="shared" si="82"/>
        <v>0</v>
      </c>
      <c r="Y343" s="12"/>
      <c r="Z343" s="12"/>
      <c r="AA343" s="13">
        <f t="shared" si="83"/>
        <v>4375000</v>
      </c>
      <c r="AB343" s="14"/>
    </row>
    <row r="344" spans="1:28" ht="15.75" hidden="1" x14ac:dyDescent="0.25">
      <c r="A344" s="65">
        <v>46034</v>
      </c>
      <c r="B344" s="10" t="s">
        <v>176</v>
      </c>
      <c r="C344" s="10"/>
      <c r="D344" s="10" t="s">
        <v>195</v>
      </c>
      <c r="E344" s="10" t="s">
        <v>80</v>
      </c>
      <c r="F344" s="10">
        <v>44.9</v>
      </c>
      <c r="G344" s="10" t="s">
        <v>36</v>
      </c>
      <c r="H344" s="10">
        <v>43000</v>
      </c>
      <c r="I344" s="10">
        <f t="shared" si="77"/>
        <v>1930700</v>
      </c>
      <c r="J344" s="52" t="s">
        <v>30</v>
      </c>
      <c r="K344" s="88" t="s">
        <v>188</v>
      </c>
      <c r="L344" s="12">
        <f t="shared" si="78"/>
        <v>0</v>
      </c>
      <c r="M344" s="12"/>
      <c r="N344" s="12"/>
      <c r="O344" s="12">
        <f t="shared" si="79"/>
        <v>0</v>
      </c>
      <c r="P344" s="12"/>
      <c r="Q344" s="12"/>
      <c r="R344" s="12">
        <f t="shared" si="80"/>
        <v>0</v>
      </c>
      <c r="S344" s="12"/>
      <c r="T344" s="12"/>
      <c r="U344" s="12">
        <f t="shared" si="81"/>
        <v>0</v>
      </c>
      <c r="V344" s="12"/>
      <c r="W344" s="12"/>
      <c r="X344" s="12">
        <f t="shared" si="82"/>
        <v>0</v>
      </c>
      <c r="Y344" s="12"/>
      <c r="Z344" s="12"/>
      <c r="AA344" s="13">
        <f t="shared" si="83"/>
        <v>1930700</v>
      </c>
      <c r="AB344" s="14"/>
    </row>
    <row r="345" spans="1:28" ht="15.75" hidden="1" x14ac:dyDescent="0.25">
      <c r="A345" s="65">
        <v>46034</v>
      </c>
      <c r="B345" s="10" t="s">
        <v>176</v>
      </c>
      <c r="C345" s="10"/>
      <c r="D345" s="10" t="s">
        <v>195</v>
      </c>
      <c r="E345" s="10" t="s">
        <v>117</v>
      </c>
      <c r="F345" s="10">
        <v>4</v>
      </c>
      <c r="G345" s="10" t="s">
        <v>36</v>
      </c>
      <c r="H345" s="10">
        <v>70000</v>
      </c>
      <c r="I345" s="10">
        <f t="shared" si="77"/>
        <v>280000</v>
      </c>
      <c r="J345" s="52" t="s">
        <v>30</v>
      </c>
      <c r="K345" s="88" t="s">
        <v>188</v>
      </c>
      <c r="L345" s="12">
        <f t="shared" si="78"/>
        <v>0</v>
      </c>
      <c r="M345" s="12"/>
      <c r="N345" s="12"/>
      <c r="O345" s="12">
        <f t="shared" si="79"/>
        <v>0</v>
      </c>
      <c r="P345" s="12"/>
      <c r="Q345" s="12"/>
      <c r="R345" s="12">
        <f t="shared" si="80"/>
        <v>0</v>
      </c>
      <c r="S345" s="12"/>
      <c r="T345" s="12"/>
      <c r="U345" s="12">
        <f t="shared" si="81"/>
        <v>0</v>
      </c>
      <c r="V345" s="12"/>
      <c r="W345" s="12"/>
      <c r="X345" s="12">
        <f t="shared" si="82"/>
        <v>0</v>
      </c>
      <c r="Y345" s="12"/>
      <c r="Z345" s="12"/>
      <c r="AA345" s="13">
        <f t="shared" si="83"/>
        <v>280000</v>
      </c>
      <c r="AB345" s="14"/>
    </row>
    <row r="346" spans="1:28" ht="15.75" hidden="1" x14ac:dyDescent="0.25">
      <c r="A346" s="65">
        <v>46034</v>
      </c>
      <c r="B346" s="10" t="s">
        <v>176</v>
      </c>
      <c r="C346" s="10"/>
      <c r="D346" s="10" t="s">
        <v>195</v>
      </c>
      <c r="E346" s="10" t="s">
        <v>116</v>
      </c>
      <c r="F346" s="10">
        <v>8</v>
      </c>
      <c r="G346" s="10" t="s">
        <v>67</v>
      </c>
      <c r="H346" s="10">
        <v>65000</v>
      </c>
      <c r="I346" s="10">
        <f t="shared" si="77"/>
        <v>520000</v>
      </c>
      <c r="J346" s="52" t="s">
        <v>30</v>
      </c>
      <c r="K346" s="88" t="s">
        <v>188</v>
      </c>
      <c r="L346" s="12">
        <f t="shared" si="78"/>
        <v>0</v>
      </c>
      <c r="M346" s="12"/>
      <c r="N346" s="12"/>
      <c r="O346" s="12">
        <f t="shared" si="79"/>
        <v>0</v>
      </c>
      <c r="P346" s="12"/>
      <c r="Q346" s="12"/>
      <c r="R346" s="12">
        <f t="shared" si="80"/>
        <v>0</v>
      </c>
      <c r="S346" s="12"/>
      <c r="T346" s="12"/>
      <c r="U346" s="12">
        <f t="shared" si="81"/>
        <v>0</v>
      </c>
      <c r="V346" s="12"/>
      <c r="W346" s="12"/>
      <c r="X346" s="12">
        <f t="shared" si="82"/>
        <v>0</v>
      </c>
      <c r="Y346" s="12"/>
      <c r="Z346" s="12"/>
      <c r="AA346" s="13">
        <f t="shared" si="83"/>
        <v>520000</v>
      </c>
      <c r="AB346" s="14"/>
    </row>
    <row r="347" spans="1:28" ht="15.75" hidden="1" x14ac:dyDescent="0.25">
      <c r="A347" s="28">
        <v>46034</v>
      </c>
      <c r="B347" s="10" t="s">
        <v>176</v>
      </c>
      <c r="C347" s="10"/>
      <c r="D347" s="10" t="s">
        <v>195</v>
      </c>
      <c r="E347" s="10" t="s">
        <v>60</v>
      </c>
      <c r="F347" s="10">
        <v>8</v>
      </c>
      <c r="G347" s="10" t="s">
        <v>61</v>
      </c>
      <c r="H347" s="10">
        <v>150000</v>
      </c>
      <c r="I347" s="10">
        <f t="shared" si="77"/>
        <v>1200000</v>
      </c>
      <c r="J347" s="52" t="s">
        <v>30</v>
      </c>
      <c r="K347" s="88" t="s">
        <v>188</v>
      </c>
      <c r="L347" s="12">
        <f t="shared" si="78"/>
        <v>0</v>
      </c>
      <c r="M347" s="12"/>
      <c r="N347" s="12"/>
      <c r="O347" s="12">
        <f t="shared" si="79"/>
        <v>0</v>
      </c>
      <c r="P347" s="12"/>
      <c r="Q347" s="12"/>
      <c r="R347" s="12">
        <f t="shared" si="80"/>
        <v>0</v>
      </c>
      <c r="S347" s="12"/>
      <c r="T347" s="12"/>
      <c r="U347" s="12">
        <f t="shared" si="81"/>
        <v>0</v>
      </c>
      <c r="V347" s="12"/>
      <c r="W347" s="12"/>
      <c r="X347" s="12">
        <f t="shared" si="82"/>
        <v>0</v>
      </c>
      <c r="Y347" s="12"/>
      <c r="Z347" s="12"/>
      <c r="AA347" s="13">
        <f t="shared" si="83"/>
        <v>1200000</v>
      </c>
      <c r="AB347" s="14"/>
    </row>
    <row r="348" spans="1:28" ht="15.75" hidden="1" x14ac:dyDescent="0.25">
      <c r="A348" s="65">
        <v>46034</v>
      </c>
      <c r="B348" s="10" t="s">
        <v>176</v>
      </c>
      <c r="C348" s="10"/>
      <c r="D348" s="10" t="s">
        <v>195</v>
      </c>
      <c r="E348" s="10" t="s">
        <v>298</v>
      </c>
      <c r="F348" s="10">
        <v>2</v>
      </c>
      <c r="G348" s="10" t="s">
        <v>61</v>
      </c>
      <c r="H348" s="10">
        <v>230000</v>
      </c>
      <c r="I348" s="10">
        <f t="shared" si="77"/>
        <v>460000</v>
      </c>
      <c r="J348" s="52" t="s">
        <v>30</v>
      </c>
      <c r="K348" s="88" t="s">
        <v>188</v>
      </c>
      <c r="L348" s="12">
        <f t="shared" si="78"/>
        <v>0</v>
      </c>
      <c r="M348" s="12"/>
      <c r="N348" s="12"/>
      <c r="O348" s="12">
        <f t="shared" si="79"/>
        <v>0</v>
      </c>
      <c r="P348" s="12"/>
      <c r="Q348" s="12"/>
      <c r="R348" s="12">
        <f t="shared" si="80"/>
        <v>0</v>
      </c>
      <c r="S348" s="12"/>
      <c r="T348" s="12"/>
      <c r="U348" s="12">
        <f t="shared" si="81"/>
        <v>0</v>
      </c>
      <c r="V348" s="12"/>
      <c r="W348" s="12"/>
      <c r="X348" s="12">
        <f t="shared" si="82"/>
        <v>0</v>
      </c>
      <c r="Y348" s="12"/>
      <c r="Z348" s="12"/>
      <c r="AA348" s="13">
        <f t="shared" si="83"/>
        <v>460000</v>
      </c>
      <c r="AB348" s="14"/>
    </row>
    <row r="349" spans="1:28" ht="15.75" hidden="1" x14ac:dyDescent="0.25">
      <c r="A349" s="65">
        <v>46034</v>
      </c>
      <c r="B349" s="10" t="s">
        <v>299</v>
      </c>
      <c r="C349" s="10"/>
      <c r="D349" s="10" t="s">
        <v>195</v>
      </c>
      <c r="E349" s="10" t="s">
        <v>205</v>
      </c>
      <c r="F349" s="10">
        <v>25</v>
      </c>
      <c r="G349" s="10" t="s">
        <v>36</v>
      </c>
      <c r="H349" s="10">
        <v>60000</v>
      </c>
      <c r="I349" s="10">
        <f t="shared" si="77"/>
        <v>1500000</v>
      </c>
      <c r="J349" s="52" t="s">
        <v>90</v>
      </c>
      <c r="K349" s="87" t="s">
        <v>241</v>
      </c>
      <c r="L349" s="12">
        <f t="shared" si="78"/>
        <v>0</v>
      </c>
      <c r="M349" s="12"/>
      <c r="N349" s="12"/>
      <c r="O349" s="12">
        <f t="shared" si="79"/>
        <v>0</v>
      </c>
      <c r="P349" s="12"/>
      <c r="Q349" s="12"/>
      <c r="R349" s="12">
        <f t="shared" si="80"/>
        <v>0</v>
      </c>
      <c r="S349" s="12"/>
      <c r="T349" s="12"/>
      <c r="U349" s="12">
        <f t="shared" si="81"/>
        <v>0</v>
      </c>
      <c r="V349" s="12"/>
      <c r="W349" s="12"/>
      <c r="X349" s="12">
        <f t="shared" si="82"/>
        <v>0</v>
      </c>
      <c r="Y349" s="12"/>
      <c r="Z349" s="12"/>
      <c r="AA349" s="13">
        <f t="shared" si="83"/>
        <v>1500000</v>
      </c>
      <c r="AB349" s="14"/>
    </row>
    <row r="350" spans="1:28" ht="16.5" hidden="1" thickBot="1" x14ac:dyDescent="0.3">
      <c r="A350" s="53">
        <v>46034</v>
      </c>
      <c r="B350" s="31" t="s">
        <v>249</v>
      </c>
      <c r="C350" s="31"/>
      <c r="D350" s="31" t="s">
        <v>28</v>
      </c>
      <c r="E350" s="31" t="s">
        <v>250</v>
      </c>
      <c r="F350" s="31">
        <v>145.5</v>
      </c>
      <c r="G350" s="31" t="s">
        <v>36</v>
      </c>
      <c r="H350" s="31">
        <v>100000</v>
      </c>
      <c r="I350" s="31">
        <f t="shared" si="77"/>
        <v>14550000</v>
      </c>
      <c r="J350" s="51" t="s">
        <v>110</v>
      </c>
      <c r="K350" s="31" t="s">
        <v>188</v>
      </c>
      <c r="L350" s="34">
        <f t="shared" si="78"/>
        <v>0</v>
      </c>
      <c r="M350" s="34"/>
      <c r="N350" s="34"/>
      <c r="O350" s="34">
        <f t="shared" si="79"/>
        <v>14550000</v>
      </c>
      <c r="P350" s="34">
        <v>780000</v>
      </c>
      <c r="Q350" s="34">
        <v>13770000</v>
      </c>
      <c r="R350" s="34">
        <f t="shared" si="80"/>
        <v>0</v>
      </c>
      <c r="S350" s="34"/>
      <c r="T350" s="34"/>
      <c r="U350" s="34">
        <f t="shared" si="81"/>
        <v>0</v>
      </c>
      <c r="V350" s="34"/>
      <c r="W350" s="34"/>
      <c r="X350" s="34">
        <f t="shared" si="82"/>
        <v>0</v>
      </c>
      <c r="Y350" s="34"/>
      <c r="Z350" s="34"/>
      <c r="AA350" s="35">
        <f t="shared" si="83"/>
        <v>0</v>
      </c>
      <c r="AB350" s="36">
        <v>46041</v>
      </c>
    </row>
    <row r="351" spans="1:28" ht="15.75" hidden="1" x14ac:dyDescent="0.25">
      <c r="A351" s="65">
        <v>46035</v>
      </c>
      <c r="B351" s="66" t="s">
        <v>302</v>
      </c>
      <c r="C351" s="66"/>
      <c r="D351" s="66" t="s">
        <v>32</v>
      </c>
      <c r="E351" s="66" t="s">
        <v>65</v>
      </c>
      <c r="F351" s="66">
        <v>2500</v>
      </c>
      <c r="G351" s="66" t="s">
        <v>26</v>
      </c>
      <c r="H351" s="66">
        <v>3800</v>
      </c>
      <c r="I351" s="10">
        <f t="shared" si="77"/>
        <v>9500000</v>
      </c>
      <c r="J351" s="29" t="s">
        <v>110</v>
      </c>
      <c r="K351" s="66" t="s">
        <v>241</v>
      </c>
      <c r="L351" s="12">
        <f t="shared" ref="L351" si="84">M351+N351</f>
        <v>0</v>
      </c>
      <c r="M351" s="12"/>
      <c r="N351" s="12"/>
      <c r="O351" s="12">
        <f t="shared" ref="O351" si="85">P351+Q351</f>
        <v>9500000</v>
      </c>
      <c r="P351" s="12">
        <v>9500000</v>
      </c>
      <c r="Q351" s="12"/>
      <c r="R351" s="12">
        <f t="shared" ref="R351" si="86">S351+T351</f>
        <v>0</v>
      </c>
      <c r="S351" s="12"/>
      <c r="T351" s="12"/>
      <c r="U351" s="12">
        <f t="shared" ref="U351" si="87">V351+W351</f>
        <v>0</v>
      </c>
      <c r="V351" s="12"/>
      <c r="W351" s="12"/>
      <c r="X351" s="12">
        <f t="shared" ref="X351" si="88">Y351+Z351</f>
        <v>0</v>
      </c>
      <c r="Y351" s="12"/>
      <c r="Z351" s="12"/>
      <c r="AA351" s="13">
        <f t="shared" ref="AA351" si="89">C351+I351-L351-O351-U351-X351-R351</f>
        <v>0</v>
      </c>
      <c r="AB351" s="14">
        <v>46036</v>
      </c>
    </row>
    <row r="352" spans="1:28" ht="15.75" hidden="1" x14ac:dyDescent="0.25">
      <c r="A352" s="65">
        <v>46035</v>
      </c>
      <c r="B352" s="10" t="s">
        <v>274</v>
      </c>
      <c r="C352" s="10"/>
      <c r="D352" s="66" t="s">
        <v>32</v>
      </c>
      <c r="E352" s="10" t="s">
        <v>129</v>
      </c>
      <c r="F352" s="10">
        <v>1000</v>
      </c>
      <c r="G352" s="66" t="s">
        <v>26</v>
      </c>
      <c r="H352" s="10">
        <v>3800</v>
      </c>
      <c r="I352" s="10">
        <f t="shared" si="77"/>
        <v>3800000</v>
      </c>
      <c r="J352" s="29" t="s">
        <v>113</v>
      </c>
      <c r="K352" s="10"/>
      <c r="L352" s="12">
        <f t="shared" ref="L352:L378" si="90">M352+N352</f>
        <v>3800000</v>
      </c>
      <c r="M352" s="12">
        <v>3800000</v>
      </c>
      <c r="N352" s="12"/>
      <c r="O352" s="12">
        <f t="shared" ref="O352:O378" si="91">P352+Q352</f>
        <v>0</v>
      </c>
      <c r="P352" s="12"/>
      <c r="Q352" s="12"/>
      <c r="R352" s="12">
        <f t="shared" ref="R352:R378" si="92">S352+T352</f>
        <v>0</v>
      </c>
      <c r="S352" s="12"/>
      <c r="T352" s="12"/>
      <c r="U352" s="12">
        <f t="shared" ref="U352:U378" si="93">V352+W352</f>
        <v>0</v>
      </c>
      <c r="V352" s="12"/>
      <c r="W352" s="12"/>
      <c r="X352" s="12">
        <f t="shared" ref="X352:X378" si="94">Y352+Z352</f>
        <v>0</v>
      </c>
      <c r="Y352" s="12"/>
      <c r="Z352" s="12"/>
      <c r="AA352" s="13">
        <f t="shared" ref="AA352:AA378" si="95">C352+I352-L352-O352-U352-X352-R352</f>
        <v>0</v>
      </c>
      <c r="AB352" s="14">
        <v>46035</v>
      </c>
    </row>
    <row r="353" spans="1:28" ht="15.75" hidden="1" x14ac:dyDescent="0.25">
      <c r="A353" s="65">
        <v>46035</v>
      </c>
      <c r="B353" s="10" t="s">
        <v>274</v>
      </c>
      <c r="C353" s="10"/>
      <c r="D353" s="66" t="s">
        <v>32</v>
      </c>
      <c r="E353" s="10" t="s">
        <v>114</v>
      </c>
      <c r="F353" s="10">
        <v>10</v>
      </c>
      <c r="G353" s="10" t="s">
        <v>67</v>
      </c>
      <c r="H353" s="10">
        <v>50000</v>
      </c>
      <c r="I353" s="10">
        <f t="shared" si="77"/>
        <v>500000</v>
      </c>
      <c r="J353" s="29" t="s">
        <v>113</v>
      </c>
      <c r="K353" s="10"/>
      <c r="L353" s="12">
        <f t="shared" si="90"/>
        <v>500000</v>
      </c>
      <c r="M353" s="12">
        <v>500000</v>
      </c>
      <c r="N353" s="12"/>
      <c r="O353" s="12">
        <f t="shared" si="91"/>
        <v>0</v>
      </c>
      <c r="P353" s="12"/>
      <c r="Q353" s="12"/>
      <c r="R353" s="12">
        <f t="shared" si="92"/>
        <v>0</v>
      </c>
      <c r="S353" s="12"/>
      <c r="T353" s="12"/>
      <c r="U353" s="12">
        <f t="shared" si="93"/>
        <v>0</v>
      </c>
      <c r="V353" s="12"/>
      <c r="W353" s="12"/>
      <c r="X353" s="12">
        <f t="shared" si="94"/>
        <v>0</v>
      </c>
      <c r="Y353" s="12"/>
      <c r="Z353" s="12"/>
      <c r="AA353" s="13">
        <f t="shared" si="95"/>
        <v>0</v>
      </c>
      <c r="AB353" s="14">
        <v>46035</v>
      </c>
    </row>
    <row r="354" spans="1:28" ht="15.75" hidden="1" x14ac:dyDescent="0.25">
      <c r="A354" s="65">
        <v>46035</v>
      </c>
      <c r="B354" s="10" t="s">
        <v>234</v>
      </c>
      <c r="C354" s="10"/>
      <c r="D354" s="66" t="s">
        <v>32</v>
      </c>
      <c r="E354" s="10" t="s">
        <v>78</v>
      </c>
      <c r="F354" s="10">
        <v>2</v>
      </c>
      <c r="G354" s="10" t="s">
        <v>61</v>
      </c>
      <c r="H354" s="10">
        <v>230000</v>
      </c>
      <c r="I354" s="10">
        <f t="shared" si="77"/>
        <v>460000</v>
      </c>
      <c r="J354" s="52" t="s">
        <v>90</v>
      </c>
      <c r="K354" s="88" t="s">
        <v>188</v>
      </c>
      <c r="L354" s="12">
        <f t="shared" si="90"/>
        <v>0</v>
      </c>
      <c r="M354" s="12"/>
      <c r="N354" s="12"/>
      <c r="O354" s="12">
        <f t="shared" si="91"/>
        <v>0</v>
      </c>
      <c r="P354" s="12"/>
      <c r="Q354" s="12"/>
      <c r="R354" s="12">
        <f t="shared" si="92"/>
        <v>0</v>
      </c>
      <c r="S354" s="12"/>
      <c r="T354" s="12"/>
      <c r="U354" s="12">
        <f t="shared" si="93"/>
        <v>0</v>
      </c>
      <c r="V354" s="12"/>
      <c r="W354" s="12"/>
      <c r="X354" s="12">
        <f t="shared" si="94"/>
        <v>0</v>
      </c>
      <c r="Y354" s="12"/>
      <c r="Z354" s="12"/>
      <c r="AA354" s="13">
        <f t="shared" si="95"/>
        <v>460000</v>
      </c>
      <c r="AB354" s="14"/>
    </row>
    <row r="355" spans="1:28" ht="15.75" hidden="1" x14ac:dyDescent="0.25">
      <c r="A355" s="65">
        <v>46035</v>
      </c>
      <c r="B355" s="10" t="s">
        <v>303</v>
      </c>
      <c r="C355" s="10"/>
      <c r="D355" s="10" t="s">
        <v>28</v>
      </c>
      <c r="E355" s="10" t="s">
        <v>114</v>
      </c>
      <c r="F355" s="10">
        <v>20</v>
      </c>
      <c r="G355" s="10" t="s">
        <v>67</v>
      </c>
      <c r="H355" s="10">
        <v>50000</v>
      </c>
      <c r="I355" s="10">
        <f t="shared" si="77"/>
        <v>1000000</v>
      </c>
      <c r="J355" s="52" t="s">
        <v>90</v>
      </c>
      <c r="K355" s="88" t="s">
        <v>188</v>
      </c>
      <c r="L355" s="12">
        <f t="shared" si="90"/>
        <v>0</v>
      </c>
      <c r="M355" s="12"/>
      <c r="N355" s="12"/>
      <c r="O355" s="12">
        <f t="shared" si="91"/>
        <v>0</v>
      </c>
      <c r="P355" s="12"/>
      <c r="Q355" s="12"/>
      <c r="R355" s="12">
        <f t="shared" si="92"/>
        <v>0</v>
      </c>
      <c r="S355" s="12"/>
      <c r="T355" s="12"/>
      <c r="U355" s="12">
        <f t="shared" si="93"/>
        <v>0</v>
      </c>
      <c r="V355" s="12"/>
      <c r="W355" s="12"/>
      <c r="X355" s="12">
        <f t="shared" si="94"/>
        <v>0</v>
      </c>
      <c r="Y355" s="12"/>
      <c r="Z355" s="12"/>
      <c r="AA355" s="13">
        <f t="shared" si="95"/>
        <v>1000000</v>
      </c>
      <c r="AB355" s="14"/>
    </row>
    <row r="356" spans="1:28" ht="15.75" hidden="1" x14ac:dyDescent="0.25">
      <c r="A356" s="65">
        <v>46035</v>
      </c>
      <c r="B356" s="10" t="s">
        <v>303</v>
      </c>
      <c r="C356" s="10"/>
      <c r="D356" s="10" t="s">
        <v>28</v>
      </c>
      <c r="E356" s="10" t="s">
        <v>116</v>
      </c>
      <c r="F356" s="10">
        <v>2</v>
      </c>
      <c r="G356" s="10" t="s">
        <v>67</v>
      </c>
      <c r="H356" s="10">
        <v>65000</v>
      </c>
      <c r="I356" s="10">
        <f t="shared" si="77"/>
        <v>130000</v>
      </c>
      <c r="J356" s="52" t="s">
        <v>90</v>
      </c>
      <c r="K356" s="88" t="s">
        <v>188</v>
      </c>
      <c r="L356" s="12">
        <f t="shared" si="90"/>
        <v>0</v>
      </c>
      <c r="M356" s="12"/>
      <c r="N356" s="12"/>
      <c r="O356" s="12">
        <f t="shared" si="91"/>
        <v>0</v>
      </c>
      <c r="P356" s="12"/>
      <c r="Q356" s="12"/>
      <c r="R356" s="12">
        <f t="shared" si="92"/>
        <v>0</v>
      </c>
      <c r="S356" s="12"/>
      <c r="T356" s="12"/>
      <c r="U356" s="12">
        <f t="shared" si="93"/>
        <v>0</v>
      </c>
      <c r="V356" s="12"/>
      <c r="W356" s="12"/>
      <c r="X356" s="12">
        <f t="shared" si="94"/>
        <v>0</v>
      </c>
      <c r="Y356" s="12"/>
      <c r="Z356" s="12"/>
      <c r="AA356" s="13">
        <f t="shared" si="95"/>
        <v>130000</v>
      </c>
      <c r="AB356" s="14"/>
    </row>
    <row r="357" spans="1:28" ht="15.75" hidden="1" x14ac:dyDescent="0.25">
      <c r="A357" s="65">
        <v>46035</v>
      </c>
      <c r="B357" s="10" t="s">
        <v>232</v>
      </c>
      <c r="C357" s="10"/>
      <c r="D357" s="10" t="s">
        <v>206</v>
      </c>
      <c r="E357" s="10" t="s">
        <v>104</v>
      </c>
      <c r="F357" s="10">
        <v>3000</v>
      </c>
      <c r="G357" s="10" t="s">
        <v>26</v>
      </c>
      <c r="H357" s="10">
        <v>1900</v>
      </c>
      <c r="I357" s="10">
        <f t="shared" si="77"/>
        <v>5700000</v>
      </c>
      <c r="J357" s="29" t="s">
        <v>113</v>
      </c>
      <c r="K357" s="10"/>
      <c r="L357" s="12">
        <f t="shared" si="90"/>
        <v>5700000</v>
      </c>
      <c r="M357" s="12">
        <v>5700000</v>
      </c>
      <c r="N357" s="12"/>
      <c r="O357" s="12">
        <f t="shared" si="91"/>
        <v>0</v>
      </c>
      <c r="P357" s="12"/>
      <c r="Q357" s="12"/>
      <c r="R357" s="12">
        <f t="shared" si="92"/>
        <v>0</v>
      </c>
      <c r="S357" s="12"/>
      <c r="T357" s="12"/>
      <c r="U357" s="12">
        <f t="shared" si="93"/>
        <v>0</v>
      </c>
      <c r="V357" s="12"/>
      <c r="W357" s="12"/>
      <c r="X357" s="12">
        <f t="shared" si="94"/>
        <v>0</v>
      </c>
      <c r="Y357" s="12"/>
      <c r="Z357" s="12"/>
      <c r="AA357" s="13">
        <f t="shared" si="95"/>
        <v>0</v>
      </c>
      <c r="AB357" s="14">
        <v>46035</v>
      </c>
    </row>
    <row r="358" spans="1:28" ht="15.75" hidden="1" x14ac:dyDescent="0.25">
      <c r="A358" s="65">
        <v>46035</v>
      </c>
      <c r="B358" s="10" t="s">
        <v>81</v>
      </c>
      <c r="C358" s="10"/>
      <c r="D358" s="10" t="s">
        <v>32</v>
      </c>
      <c r="E358" s="10" t="s">
        <v>138</v>
      </c>
      <c r="F358" s="10">
        <v>1</v>
      </c>
      <c r="G358" s="10" t="s">
        <v>61</v>
      </c>
      <c r="H358" s="10">
        <v>290000</v>
      </c>
      <c r="I358" s="10">
        <f t="shared" si="77"/>
        <v>290000</v>
      </c>
      <c r="J358" s="29" t="s">
        <v>113</v>
      </c>
      <c r="K358" s="10"/>
      <c r="L358" s="12">
        <f t="shared" si="90"/>
        <v>0</v>
      </c>
      <c r="M358" s="12"/>
      <c r="N358" s="12"/>
      <c r="O358" s="12">
        <f t="shared" si="91"/>
        <v>0</v>
      </c>
      <c r="P358" s="12"/>
      <c r="Q358" s="12"/>
      <c r="R358" s="12">
        <f t="shared" si="92"/>
        <v>0</v>
      </c>
      <c r="S358" s="12"/>
      <c r="T358" s="12"/>
      <c r="U358" s="12">
        <f t="shared" si="93"/>
        <v>290000</v>
      </c>
      <c r="V358" s="12">
        <v>290000</v>
      </c>
      <c r="W358" s="12"/>
      <c r="X358" s="12">
        <f t="shared" si="94"/>
        <v>0</v>
      </c>
      <c r="Y358" s="12"/>
      <c r="Z358" s="12"/>
      <c r="AA358" s="13">
        <f t="shared" si="95"/>
        <v>0</v>
      </c>
      <c r="AB358" s="14">
        <v>46035</v>
      </c>
    </row>
    <row r="359" spans="1:28" ht="15.75" hidden="1" x14ac:dyDescent="0.25">
      <c r="A359" s="65">
        <v>46035</v>
      </c>
      <c r="B359" s="10" t="s">
        <v>64</v>
      </c>
      <c r="C359" s="10"/>
      <c r="D359" s="10" t="s">
        <v>32</v>
      </c>
      <c r="E359" s="10" t="s">
        <v>129</v>
      </c>
      <c r="F359" s="10">
        <v>5200</v>
      </c>
      <c r="G359" s="10" t="s">
        <v>26</v>
      </c>
      <c r="H359" s="10">
        <v>3700</v>
      </c>
      <c r="I359" s="10">
        <f t="shared" si="77"/>
        <v>19240000</v>
      </c>
      <c r="J359" s="52" t="s">
        <v>90</v>
      </c>
      <c r="K359" s="10" t="s">
        <v>311</v>
      </c>
      <c r="L359" s="12">
        <f t="shared" si="90"/>
        <v>0</v>
      </c>
      <c r="M359" s="12"/>
      <c r="N359" s="12"/>
      <c r="O359" s="12">
        <f t="shared" si="91"/>
        <v>0</v>
      </c>
      <c r="P359" s="12"/>
      <c r="Q359" s="12"/>
      <c r="R359" s="12">
        <f t="shared" si="92"/>
        <v>0</v>
      </c>
      <c r="S359" s="12"/>
      <c r="T359" s="12"/>
      <c r="U359" s="12">
        <f t="shared" si="93"/>
        <v>0</v>
      </c>
      <c r="V359" s="12"/>
      <c r="W359" s="12"/>
      <c r="X359" s="12">
        <f t="shared" si="94"/>
        <v>0</v>
      </c>
      <c r="Y359" s="12"/>
      <c r="Z359" s="12"/>
      <c r="AA359" s="13">
        <f t="shared" si="95"/>
        <v>19240000</v>
      </c>
      <c r="AB359" s="14"/>
    </row>
    <row r="360" spans="1:28" ht="15.75" hidden="1" x14ac:dyDescent="0.25">
      <c r="A360" s="65">
        <v>46035</v>
      </c>
      <c r="B360" s="10" t="s">
        <v>283</v>
      </c>
      <c r="C360" s="10"/>
      <c r="D360" s="10" t="s">
        <v>32</v>
      </c>
      <c r="E360" s="10" t="s">
        <v>116</v>
      </c>
      <c r="F360" s="10">
        <v>8</v>
      </c>
      <c r="G360" s="10" t="s">
        <v>67</v>
      </c>
      <c r="H360" s="10">
        <v>65000</v>
      </c>
      <c r="I360" s="10">
        <f t="shared" si="77"/>
        <v>520000</v>
      </c>
      <c r="J360" s="52" t="s">
        <v>90</v>
      </c>
      <c r="K360" s="87" t="s">
        <v>241</v>
      </c>
      <c r="L360" s="12">
        <f t="shared" si="90"/>
        <v>0</v>
      </c>
      <c r="M360" s="12"/>
      <c r="N360" s="12"/>
      <c r="O360" s="12">
        <f t="shared" si="91"/>
        <v>0</v>
      </c>
      <c r="P360" s="12"/>
      <c r="Q360" s="12"/>
      <c r="R360" s="12">
        <f t="shared" si="92"/>
        <v>0</v>
      </c>
      <c r="S360" s="12"/>
      <c r="T360" s="12"/>
      <c r="U360" s="12">
        <f t="shared" si="93"/>
        <v>0</v>
      </c>
      <c r="V360" s="12"/>
      <c r="W360" s="12"/>
      <c r="X360" s="12">
        <f t="shared" si="94"/>
        <v>0</v>
      </c>
      <c r="Y360" s="12"/>
      <c r="Z360" s="12"/>
      <c r="AA360" s="13">
        <f t="shared" si="95"/>
        <v>520000</v>
      </c>
      <c r="AB360" s="14"/>
    </row>
    <row r="361" spans="1:28" ht="15.75" hidden="1" x14ac:dyDescent="0.25">
      <c r="A361" s="65">
        <v>46035</v>
      </c>
      <c r="B361" s="10" t="s">
        <v>281</v>
      </c>
      <c r="C361" s="10"/>
      <c r="D361" s="10" t="s">
        <v>195</v>
      </c>
      <c r="E361" s="10" t="s">
        <v>107</v>
      </c>
      <c r="F361" s="10">
        <v>20</v>
      </c>
      <c r="G361" s="10" t="s">
        <v>36</v>
      </c>
      <c r="H361" s="10">
        <v>60000</v>
      </c>
      <c r="I361" s="10">
        <f t="shared" si="77"/>
        <v>1200000</v>
      </c>
      <c r="J361" s="29" t="s">
        <v>110</v>
      </c>
      <c r="K361" s="10"/>
      <c r="L361" s="12">
        <f t="shared" si="90"/>
        <v>0</v>
      </c>
      <c r="M361" s="12"/>
      <c r="N361" s="12"/>
      <c r="O361" s="12">
        <f t="shared" si="91"/>
        <v>1200000</v>
      </c>
      <c r="P361" s="12">
        <v>1200000</v>
      </c>
      <c r="Q361" s="12"/>
      <c r="R361" s="12">
        <f t="shared" si="92"/>
        <v>0</v>
      </c>
      <c r="S361" s="12"/>
      <c r="T361" s="12"/>
      <c r="U361" s="12">
        <f t="shared" si="93"/>
        <v>0</v>
      </c>
      <c r="V361" s="12"/>
      <c r="W361" s="12"/>
      <c r="X361" s="12">
        <f t="shared" si="94"/>
        <v>0</v>
      </c>
      <c r="Y361" s="12"/>
      <c r="Z361" s="12"/>
      <c r="AA361" s="13">
        <f t="shared" si="95"/>
        <v>0</v>
      </c>
      <c r="AB361" s="14">
        <v>46035</v>
      </c>
    </row>
    <row r="362" spans="1:28" ht="15.75" hidden="1" x14ac:dyDescent="0.25">
      <c r="A362" s="65">
        <v>46035</v>
      </c>
      <c r="B362" s="10" t="s">
        <v>281</v>
      </c>
      <c r="C362" s="10"/>
      <c r="D362" s="10" t="s">
        <v>195</v>
      </c>
      <c r="E362" s="10" t="s">
        <v>276</v>
      </c>
      <c r="F362" s="10">
        <v>25</v>
      </c>
      <c r="G362" s="10" t="s">
        <v>36</v>
      </c>
      <c r="H362" s="10">
        <v>55000</v>
      </c>
      <c r="I362" s="10">
        <f t="shared" si="77"/>
        <v>1375000</v>
      </c>
      <c r="J362" s="29" t="s">
        <v>110</v>
      </c>
      <c r="K362" s="10"/>
      <c r="L362" s="12">
        <f t="shared" si="90"/>
        <v>0</v>
      </c>
      <c r="M362" s="12"/>
      <c r="N362" s="12"/>
      <c r="O362" s="12">
        <f t="shared" si="91"/>
        <v>1375000</v>
      </c>
      <c r="P362" s="12">
        <v>1375000</v>
      </c>
      <c r="Q362" s="12"/>
      <c r="R362" s="12">
        <f t="shared" si="92"/>
        <v>0</v>
      </c>
      <c r="S362" s="12"/>
      <c r="T362" s="12"/>
      <c r="U362" s="12">
        <f t="shared" si="93"/>
        <v>0</v>
      </c>
      <c r="V362" s="12"/>
      <c r="W362" s="12"/>
      <c r="X362" s="12">
        <f t="shared" si="94"/>
        <v>0</v>
      </c>
      <c r="Y362" s="12"/>
      <c r="Z362" s="12"/>
      <c r="AA362" s="13">
        <f t="shared" si="95"/>
        <v>0</v>
      </c>
      <c r="AB362" s="14">
        <v>46035</v>
      </c>
    </row>
    <row r="363" spans="1:28" ht="15.75" hidden="1" x14ac:dyDescent="0.25">
      <c r="A363" s="65">
        <v>46035</v>
      </c>
      <c r="B363" s="10" t="s">
        <v>272</v>
      </c>
      <c r="C363" s="10"/>
      <c r="D363" s="10"/>
      <c r="E363" s="10" t="s">
        <v>265</v>
      </c>
      <c r="F363" s="10">
        <v>44.7</v>
      </c>
      <c r="G363" s="10" t="s">
        <v>36</v>
      </c>
      <c r="H363" s="10"/>
      <c r="I363" s="10">
        <f t="shared" si="77"/>
        <v>0</v>
      </c>
      <c r="J363" s="86" t="s">
        <v>76</v>
      </c>
      <c r="K363" s="10"/>
      <c r="L363" s="12">
        <f t="shared" si="90"/>
        <v>0</v>
      </c>
      <c r="M363" s="12"/>
      <c r="N363" s="12"/>
      <c r="O363" s="12">
        <f t="shared" si="91"/>
        <v>0</v>
      </c>
      <c r="P363" s="12"/>
      <c r="Q363" s="12"/>
      <c r="R363" s="12">
        <f t="shared" si="92"/>
        <v>0</v>
      </c>
      <c r="S363" s="12"/>
      <c r="T363" s="12"/>
      <c r="U363" s="12">
        <f t="shared" si="93"/>
        <v>0</v>
      </c>
      <c r="V363" s="12"/>
      <c r="W363" s="12"/>
      <c r="X363" s="12">
        <f t="shared" si="94"/>
        <v>0</v>
      </c>
      <c r="Y363" s="12"/>
      <c r="Z363" s="12"/>
      <c r="AA363" s="13">
        <f t="shared" si="95"/>
        <v>0</v>
      </c>
      <c r="AB363" s="14"/>
    </row>
    <row r="364" spans="1:28" ht="15.75" hidden="1" x14ac:dyDescent="0.25">
      <c r="A364" s="65">
        <v>46035</v>
      </c>
      <c r="B364" s="10" t="s">
        <v>272</v>
      </c>
      <c r="C364" s="10"/>
      <c r="D364" s="10"/>
      <c r="E364" s="10" t="s">
        <v>136</v>
      </c>
      <c r="F364" s="10">
        <v>46.4</v>
      </c>
      <c r="G364" s="10" t="s">
        <v>36</v>
      </c>
      <c r="H364" s="10"/>
      <c r="I364" s="10">
        <f t="shared" si="77"/>
        <v>0</v>
      </c>
      <c r="J364" s="86" t="s">
        <v>76</v>
      </c>
      <c r="K364" s="10"/>
      <c r="L364" s="12">
        <f t="shared" si="90"/>
        <v>0</v>
      </c>
      <c r="M364" s="12"/>
      <c r="N364" s="12"/>
      <c r="O364" s="12">
        <f t="shared" si="91"/>
        <v>0</v>
      </c>
      <c r="P364" s="12"/>
      <c r="Q364" s="12"/>
      <c r="R364" s="12">
        <f t="shared" si="92"/>
        <v>0</v>
      </c>
      <c r="S364" s="12"/>
      <c r="T364" s="12"/>
      <c r="U364" s="12">
        <f t="shared" si="93"/>
        <v>0</v>
      </c>
      <c r="V364" s="12"/>
      <c r="W364" s="12"/>
      <c r="X364" s="12">
        <f t="shared" si="94"/>
        <v>0</v>
      </c>
      <c r="Y364" s="12"/>
      <c r="Z364" s="12"/>
      <c r="AA364" s="13">
        <f t="shared" si="95"/>
        <v>0</v>
      </c>
      <c r="AB364" s="14"/>
    </row>
    <row r="365" spans="1:28" ht="15.75" hidden="1" x14ac:dyDescent="0.25">
      <c r="A365" s="65">
        <v>46035</v>
      </c>
      <c r="B365" s="10" t="s">
        <v>272</v>
      </c>
      <c r="C365" s="10"/>
      <c r="D365" s="10"/>
      <c r="E365" s="10" t="s">
        <v>84</v>
      </c>
      <c r="F365" s="10">
        <v>34</v>
      </c>
      <c r="G365" s="10" t="s">
        <v>36</v>
      </c>
      <c r="H365" s="10"/>
      <c r="I365" s="10">
        <f t="shared" si="77"/>
        <v>0</v>
      </c>
      <c r="J365" s="86" t="s">
        <v>76</v>
      </c>
      <c r="K365" s="10"/>
      <c r="L365" s="12">
        <f t="shared" si="90"/>
        <v>0</v>
      </c>
      <c r="M365" s="12"/>
      <c r="N365" s="12"/>
      <c r="O365" s="12">
        <f t="shared" si="91"/>
        <v>0</v>
      </c>
      <c r="P365" s="12"/>
      <c r="Q365" s="12"/>
      <c r="R365" s="12">
        <f t="shared" si="92"/>
        <v>0</v>
      </c>
      <c r="S365" s="12"/>
      <c r="T365" s="12"/>
      <c r="U365" s="12">
        <f t="shared" si="93"/>
        <v>0</v>
      </c>
      <c r="V365" s="12"/>
      <c r="W365" s="12"/>
      <c r="X365" s="12">
        <f t="shared" si="94"/>
        <v>0</v>
      </c>
      <c r="Y365" s="12"/>
      <c r="Z365" s="12"/>
      <c r="AA365" s="13">
        <f t="shared" si="95"/>
        <v>0</v>
      </c>
      <c r="AB365" s="14"/>
    </row>
    <row r="366" spans="1:28" ht="15.75" hidden="1" x14ac:dyDescent="0.25">
      <c r="A366" s="65">
        <v>46035</v>
      </c>
      <c r="B366" s="10" t="s">
        <v>272</v>
      </c>
      <c r="C366" s="10"/>
      <c r="D366" s="10"/>
      <c r="E366" s="10" t="s">
        <v>304</v>
      </c>
      <c r="F366" s="10">
        <v>36.200000000000003</v>
      </c>
      <c r="G366" s="10" t="s">
        <v>36</v>
      </c>
      <c r="H366" s="10"/>
      <c r="I366" s="10">
        <f t="shared" si="77"/>
        <v>0</v>
      </c>
      <c r="J366" s="86" t="s">
        <v>76</v>
      </c>
      <c r="K366" s="10"/>
      <c r="L366" s="12">
        <f t="shared" si="90"/>
        <v>0</v>
      </c>
      <c r="M366" s="12"/>
      <c r="N366" s="12"/>
      <c r="O366" s="12">
        <f t="shared" si="91"/>
        <v>0</v>
      </c>
      <c r="P366" s="12"/>
      <c r="Q366" s="12"/>
      <c r="R366" s="12">
        <f t="shared" si="92"/>
        <v>0</v>
      </c>
      <c r="S366" s="12"/>
      <c r="T366" s="12"/>
      <c r="U366" s="12">
        <f t="shared" si="93"/>
        <v>0</v>
      </c>
      <c r="V366" s="12"/>
      <c r="W366" s="12"/>
      <c r="X366" s="12">
        <f t="shared" si="94"/>
        <v>0</v>
      </c>
      <c r="Y366" s="12"/>
      <c r="Z366" s="12"/>
      <c r="AA366" s="13">
        <f t="shared" si="95"/>
        <v>0</v>
      </c>
      <c r="AB366" s="14"/>
    </row>
    <row r="367" spans="1:28" ht="15.75" hidden="1" x14ac:dyDescent="0.25">
      <c r="A367" s="65">
        <v>46035</v>
      </c>
      <c r="B367" s="10" t="s">
        <v>272</v>
      </c>
      <c r="C367" s="10"/>
      <c r="D367" s="10"/>
      <c r="E367" s="10" t="s">
        <v>305</v>
      </c>
      <c r="F367" s="10">
        <v>42.5</v>
      </c>
      <c r="G367" s="10" t="s">
        <v>36</v>
      </c>
      <c r="H367" s="10"/>
      <c r="I367" s="10">
        <f t="shared" si="77"/>
        <v>0</v>
      </c>
      <c r="J367" s="86" t="s">
        <v>76</v>
      </c>
      <c r="K367" s="10"/>
      <c r="L367" s="12">
        <f t="shared" si="90"/>
        <v>0</v>
      </c>
      <c r="M367" s="12"/>
      <c r="N367" s="12"/>
      <c r="O367" s="12">
        <f t="shared" si="91"/>
        <v>0</v>
      </c>
      <c r="P367" s="12"/>
      <c r="Q367" s="12"/>
      <c r="R367" s="12">
        <f t="shared" si="92"/>
        <v>0</v>
      </c>
      <c r="S367" s="12"/>
      <c r="T367" s="12"/>
      <c r="U367" s="12">
        <f t="shared" si="93"/>
        <v>0</v>
      </c>
      <c r="V367" s="12"/>
      <c r="W367" s="12"/>
      <c r="X367" s="12">
        <f t="shared" si="94"/>
        <v>0</v>
      </c>
      <c r="Y367" s="12"/>
      <c r="Z367" s="12"/>
      <c r="AA367" s="13">
        <f t="shared" si="95"/>
        <v>0</v>
      </c>
      <c r="AB367" s="14"/>
    </row>
    <row r="368" spans="1:28" ht="15.75" hidden="1" x14ac:dyDescent="0.25">
      <c r="A368" s="65">
        <v>46035</v>
      </c>
      <c r="B368" s="10" t="s">
        <v>272</v>
      </c>
      <c r="C368" s="10"/>
      <c r="D368" s="10"/>
      <c r="E368" s="10" t="s">
        <v>184</v>
      </c>
      <c r="F368" s="10">
        <v>19.2</v>
      </c>
      <c r="G368" s="10" t="s">
        <v>36</v>
      </c>
      <c r="H368" s="10"/>
      <c r="I368" s="10">
        <f t="shared" si="77"/>
        <v>0</v>
      </c>
      <c r="J368" s="86" t="s">
        <v>76</v>
      </c>
      <c r="K368" s="10"/>
      <c r="L368" s="12">
        <f t="shared" si="90"/>
        <v>0</v>
      </c>
      <c r="M368" s="12"/>
      <c r="N368" s="12"/>
      <c r="O368" s="12">
        <f t="shared" si="91"/>
        <v>0</v>
      </c>
      <c r="P368" s="12"/>
      <c r="Q368" s="12"/>
      <c r="R368" s="12">
        <f t="shared" si="92"/>
        <v>0</v>
      </c>
      <c r="S368" s="12"/>
      <c r="T368" s="12"/>
      <c r="U368" s="12">
        <f t="shared" si="93"/>
        <v>0</v>
      </c>
      <c r="V368" s="12"/>
      <c r="W368" s="12"/>
      <c r="X368" s="12">
        <f t="shared" si="94"/>
        <v>0</v>
      </c>
      <c r="Y368" s="12"/>
      <c r="Z368" s="12"/>
      <c r="AA368" s="13">
        <f t="shared" si="95"/>
        <v>0</v>
      </c>
      <c r="AB368" s="14"/>
    </row>
    <row r="369" spans="1:28" ht="15.75" hidden="1" x14ac:dyDescent="0.25">
      <c r="A369" s="65">
        <v>46035</v>
      </c>
      <c r="B369" s="10" t="s">
        <v>272</v>
      </c>
      <c r="C369" s="10"/>
      <c r="D369" s="10"/>
      <c r="E369" s="10" t="s">
        <v>80</v>
      </c>
      <c r="F369" s="10">
        <v>22.4</v>
      </c>
      <c r="G369" s="10" t="s">
        <v>36</v>
      </c>
      <c r="H369" s="10"/>
      <c r="I369" s="10">
        <f t="shared" si="77"/>
        <v>0</v>
      </c>
      <c r="J369" s="86" t="s">
        <v>76</v>
      </c>
      <c r="K369" s="10"/>
      <c r="L369" s="12">
        <f t="shared" si="90"/>
        <v>0</v>
      </c>
      <c r="M369" s="12"/>
      <c r="N369" s="12"/>
      <c r="O369" s="12">
        <f t="shared" si="91"/>
        <v>0</v>
      </c>
      <c r="P369" s="12"/>
      <c r="Q369" s="12"/>
      <c r="R369" s="12">
        <f t="shared" si="92"/>
        <v>0</v>
      </c>
      <c r="S369" s="12"/>
      <c r="T369" s="12"/>
      <c r="U369" s="12">
        <f t="shared" si="93"/>
        <v>0</v>
      </c>
      <c r="V369" s="12"/>
      <c r="W369" s="12"/>
      <c r="X369" s="12">
        <f t="shared" si="94"/>
        <v>0</v>
      </c>
      <c r="Y369" s="12"/>
      <c r="Z369" s="12"/>
      <c r="AA369" s="13">
        <f t="shared" si="95"/>
        <v>0</v>
      </c>
      <c r="AB369" s="14"/>
    </row>
    <row r="370" spans="1:28" ht="15.75" hidden="1" x14ac:dyDescent="0.25">
      <c r="A370" s="65">
        <v>46035</v>
      </c>
      <c r="B370" s="10" t="s">
        <v>272</v>
      </c>
      <c r="C370" s="10"/>
      <c r="D370" s="10"/>
      <c r="E370" s="10" t="s">
        <v>306</v>
      </c>
      <c r="F370" s="10">
        <v>110.1</v>
      </c>
      <c r="G370" s="10" t="s">
        <v>36</v>
      </c>
      <c r="H370" s="10"/>
      <c r="I370" s="10">
        <f t="shared" si="77"/>
        <v>0</v>
      </c>
      <c r="J370" s="86" t="s">
        <v>76</v>
      </c>
      <c r="K370" s="10"/>
      <c r="L370" s="12">
        <f t="shared" si="90"/>
        <v>0</v>
      </c>
      <c r="M370" s="12"/>
      <c r="N370" s="12"/>
      <c r="O370" s="12">
        <f t="shared" si="91"/>
        <v>0</v>
      </c>
      <c r="P370" s="12"/>
      <c r="Q370" s="12"/>
      <c r="R370" s="12">
        <f t="shared" si="92"/>
        <v>0</v>
      </c>
      <c r="S370" s="12"/>
      <c r="T370" s="12"/>
      <c r="U370" s="12">
        <f t="shared" si="93"/>
        <v>0</v>
      </c>
      <c r="V370" s="12"/>
      <c r="W370" s="12"/>
      <c r="X370" s="12">
        <f t="shared" si="94"/>
        <v>0</v>
      </c>
      <c r="Y370" s="12"/>
      <c r="Z370" s="12"/>
      <c r="AA370" s="13">
        <f t="shared" si="95"/>
        <v>0</v>
      </c>
      <c r="AB370" s="14"/>
    </row>
    <row r="371" spans="1:28" ht="15.75" hidden="1" x14ac:dyDescent="0.25">
      <c r="A371" s="65">
        <v>46035</v>
      </c>
      <c r="B371" s="10" t="s">
        <v>272</v>
      </c>
      <c r="C371" s="10"/>
      <c r="D371" s="10"/>
      <c r="E371" s="10" t="s">
        <v>168</v>
      </c>
      <c r="F371" s="10">
        <v>31.4</v>
      </c>
      <c r="G371" s="10" t="s">
        <v>36</v>
      </c>
      <c r="H371" s="10"/>
      <c r="I371" s="10">
        <f t="shared" si="77"/>
        <v>0</v>
      </c>
      <c r="J371" s="86" t="s">
        <v>76</v>
      </c>
      <c r="K371" s="10"/>
      <c r="L371" s="12">
        <f t="shared" si="90"/>
        <v>0</v>
      </c>
      <c r="M371" s="12"/>
      <c r="N371" s="12"/>
      <c r="O371" s="12">
        <f t="shared" si="91"/>
        <v>0</v>
      </c>
      <c r="P371" s="12"/>
      <c r="Q371" s="12"/>
      <c r="R371" s="12">
        <f t="shared" si="92"/>
        <v>0</v>
      </c>
      <c r="S371" s="12"/>
      <c r="T371" s="12"/>
      <c r="U371" s="12">
        <f t="shared" si="93"/>
        <v>0</v>
      </c>
      <c r="V371" s="12"/>
      <c r="W371" s="12"/>
      <c r="X371" s="12">
        <f t="shared" si="94"/>
        <v>0</v>
      </c>
      <c r="Y371" s="12"/>
      <c r="Z371" s="12"/>
      <c r="AA371" s="13">
        <f t="shared" si="95"/>
        <v>0</v>
      </c>
      <c r="AB371" s="14"/>
    </row>
    <row r="372" spans="1:28" ht="15.75" hidden="1" x14ac:dyDescent="0.25">
      <c r="A372" s="65">
        <v>46035</v>
      </c>
      <c r="B372" s="10" t="s">
        <v>272</v>
      </c>
      <c r="C372" s="10"/>
      <c r="D372" s="10"/>
      <c r="E372" s="10" t="s">
        <v>307</v>
      </c>
      <c r="F372" s="10">
        <v>27.7</v>
      </c>
      <c r="G372" s="10" t="s">
        <v>36</v>
      </c>
      <c r="H372" s="10"/>
      <c r="I372" s="10">
        <f t="shared" si="77"/>
        <v>0</v>
      </c>
      <c r="J372" s="86" t="s">
        <v>76</v>
      </c>
      <c r="K372" s="10"/>
      <c r="L372" s="12">
        <f t="shared" si="90"/>
        <v>0</v>
      </c>
      <c r="M372" s="12"/>
      <c r="N372" s="12"/>
      <c r="O372" s="12">
        <f t="shared" si="91"/>
        <v>0</v>
      </c>
      <c r="P372" s="12"/>
      <c r="Q372" s="12"/>
      <c r="R372" s="12">
        <f t="shared" si="92"/>
        <v>0</v>
      </c>
      <c r="S372" s="12"/>
      <c r="T372" s="12"/>
      <c r="U372" s="12">
        <f t="shared" si="93"/>
        <v>0</v>
      </c>
      <c r="V372" s="12"/>
      <c r="W372" s="12"/>
      <c r="X372" s="12">
        <f t="shared" si="94"/>
        <v>0</v>
      </c>
      <c r="Y372" s="12"/>
      <c r="Z372" s="12"/>
      <c r="AA372" s="13">
        <f t="shared" si="95"/>
        <v>0</v>
      </c>
      <c r="AB372" s="14"/>
    </row>
    <row r="373" spans="1:28" ht="15.75" hidden="1" x14ac:dyDescent="0.25">
      <c r="A373" s="28">
        <v>46035</v>
      </c>
      <c r="B373" s="10" t="s">
        <v>270</v>
      </c>
      <c r="C373" s="10"/>
      <c r="D373" s="10" t="s">
        <v>28</v>
      </c>
      <c r="E373" s="10" t="s">
        <v>104</v>
      </c>
      <c r="F373" s="10">
        <v>800</v>
      </c>
      <c r="G373" s="10" t="s">
        <v>26</v>
      </c>
      <c r="H373" s="10">
        <v>2000</v>
      </c>
      <c r="I373" s="10">
        <f t="shared" si="77"/>
        <v>1600000</v>
      </c>
      <c r="J373" s="29" t="s">
        <v>110</v>
      </c>
      <c r="K373" s="10" t="s">
        <v>241</v>
      </c>
      <c r="L373" s="12">
        <f t="shared" si="90"/>
        <v>0</v>
      </c>
      <c r="M373" s="12"/>
      <c r="N373" s="12"/>
      <c r="O373" s="12">
        <f t="shared" si="91"/>
        <v>1600000</v>
      </c>
      <c r="P373" s="12">
        <v>1600000</v>
      </c>
      <c r="Q373" s="12"/>
      <c r="R373" s="12">
        <f t="shared" si="92"/>
        <v>0</v>
      </c>
      <c r="S373" s="12"/>
      <c r="T373" s="12"/>
      <c r="U373" s="12">
        <f t="shared" si="93"/>
        <v>0</v>
      </c>
      <c r="V373" s="12"/>
      <c r="W373" s="12"/>
      <c r="X373" s="12">
        <f t="shared" si="94"/>
        <v>0</v>
      </c>
      <c r="Y373" s="12"/>
      <c r="Z373" s="12"/>
      <c r="AA373" s="13">
        <f t="shared" si="95"/>
        <v>0</v>
      </c>
      <c r="AB373" s="14">
        <v>46036</v>
      </c>
    </row>
    <row r="374" spans="1:28" ht="15.75" hidden="1" x14ac:dyDescent="0.25">
      <c r="A374" s="65">
        <v>46035</v>
      </c>
      <c r="B374" s="10" t="s">
        <v>308</v>
      </c>
      <c r="C374" s="10"/>
      <c r="D374" s="10" t="s">
        <v>28</v>
      </c>
      <c r="E374" s="10" t="s">
        <v>134</v>
      </c>
      <c r="F374" s="10">
        <v>2</v>
      </c>
      <c r="G374" s="10" t="s">
        <v>39</v>
      </c>
      <c r="H374" s="10">
        <v>75000</v>
      </c>
      <c r="I374" s="10">
        <f t="shared" si="77"/>
        <v>150000</v>
      </c>
      <c r="J374" s="29" t="s">
        <v>110</v>
      </c>
      <c r="K374" s="95" t="s">
        <v>241</v>
      </c>
      <c r="L374" s="12">
        <f t="shared" si="90"/>
        <v>0</v>
      </c>
      <c r="M374" s="12"/>
      <c r="N374" s="12"/>
      <c r="O374" s="12">
        <f t="shared" si="91"/>
        <v>0</v>
      </c>
      <c r="P374" s="12"/>
      <c r="Q374" s="12"/>
      <c r="R374" s="12">
        <f t="shared" si="92"/>
        <v>150000</v>
      </c>
      <c r="S374" s="12">
        <v>150000</v>
      </c>
      <c r="T374" s="12"/>
      <c r="U374" s="12">
        <f t="shared" si="93"/>
        <v>0</v>
      </c>
      <c r="V374" s="12"/>
      <c r="W374" s="12"/>
      <c r="X374" s="12">
        <f t="shared" si="94"/>
        <v>0</v>
      </c>
      <c r="Y374" s="12"/>
      <c r="Z374" s="12"/>
      <c r="AA374" s="13">
        <f t="shared" si="95"/>
        <v>0</v>
      </c>
      <c r="AB374" s="14">
        <v>46042</v>
      </c>
    </row>
    <row r="375" spans="1:28" ht="15.75" hidden="1" x14ac:dyDescent="0.25">
      <c r="A375" s="65">
        <v>46035</v>
      </c>
      <c r="B375" s="10" t="s">
        <v>308</v>
      </c>
      <c r="C375" s="10"/>
      <c r="D375" s="10" t="s">
        <v>28</v>
      </c>
      <c r="E375" s="10" t="s">
        <v>112</v>
      </c>
      <c r="F375" s="10">
        <v>4</v>
      </c>
      <c r="G375" s="10" t="s">
        <v>39</v>
      </c>
      <c r="H375" s="10">
        <v>95000</v>
      </c>
      <c r="I375" s="10">
        <f t="shared" si="77"/>
        <v>380000</v>
      </c>
      <c r="J375" s="29" t="s">
        <v>110</v>
      </c>
      <c r="K375" s="95" t="s">
        <v>241</v>
      </c>
      <c r="L375" s="12">
        <f t="shared" si="90"/>
        <v>0</v>
      </c>
      <c r="M375" s="12"/>
      <c r="N375" s="12"/>
      <c r="O375" s="12">
        <f t="shared" si="91"/>
        <v>0</v>
      </c>
      <c r="P375" s="12"/>
      <c r="Q375" s="12"/>
      <c r="R375" s="12">
        <f t="shared" si="92"/>
        <v>380000</v>
      </c>
      <c r="S375" s="12">
        <v>380000</v>
      </c>
      <c r="T375" s="12"/>
      <c r="U375" s="12">
        <f t="shared" si="93"/>
        <v>0</v>
      </c>
      <c r="V375" s="12"/>
      <c r="W375" s="12"/>
      <c r="X375" s="12">
        <f t="shared" si="94"/>
        <v>0</v>
      </c>
      <c r="Y375" s="12"/>
      <c r="Z375" s="12"/>
      <c r="AA375" s="13">
        <f t="shared" si="95"/>
        <v>0</v>
      </c>
      <c r="AB375" s="14">
        <v>46042</v>
      </c>
    </row>
    <row r="376" spans="1:28" ht="15.75" hidden="1" x14ac:dyDescent="0.25">
      <c r="A376" s="65">
        <v>46035</v>
      </c>
      <c r="B376" s="10" t="s">
        <v>222</v>
      </c>
      <c r="C376" s="10"/>
      <c r="D376" s="10" t="s">
        <v>195</v>
      </c>
      <c r="E376" s="10" t="s">
        <v>104</v>
      </c>
      <c r="F376" s="10">
        <v>1200</v>
      </c>
      <c r="G376" s="10" t="s">
        <v>26</v>
      </c>
      <c r="H376" s="10">
        <v>1900</v>
      </c>
      <c r="I376" s="10">
        <f t="shared" si="77"/>
        <v>2280000</v>
      </c>
      <c r="J376" s="29" t="s">
        <v>110</v>
      </c>
      <c r="K376" s="10" t="s">
        <v>241</v>
      </c>
      <c r="L376" s="12">
        <f t="shared" si="90"/>
        <v>0</v>
      </c>
      <c r="M376" s="12"/>
      <c r="N376" s="12"/>
      <c r="O376" s="12">
        <f t="shared" si="91"/>
        <v>2280000</v>
      </c>
      <c r="P376" s="12">
        <v>2280000</v>
      </c>
      <c r="Q376" s="12"/>
      <c r="R376" s="12">
        <f t="shared" si="92"/>
        <v>0</v>
      </c>
      <c r="S376" s="12"/>
      <c r="T376" s="12"/>
      <c r="U376" s="12">
        <f t="shared" si="93"/>
        <v>0</v>
      </c>
      <c r="V376" s="12"/>
      <c r="W376" s="12"/>
      <c r="X376" s="12">
        <f t="shared" si="94"/>
        <v>0</v>
      </c>
      <c r="Y376" s="12"/>
      <c r="Z376" s="12"/>
      <c r="AA376" s="13">
        <f t="shared" si="95"/>
        <v>0</v>
      </c>
      <c r="AB376" s="14">
        <v>46036</v>
      </c>
    </row>
    <row r="377" spans="1:28" ht="15.75" hidden="1" x14ac:dyDescent="0.25">
      <c r="A377" s="65">
        <v>46035</v>
      </c>
      <c r="B377" s="10" t="s">
        <v>296</v>
      </c>
      <c r="C377" s="10"/>
      <c r="D377" s="10" t="s">
        <v>206</v>
      </c>
      <c r="E377" s="10" t="s">
        <v>104</v>
      </c>
      <c r="F377" s="10">
        <v>1400</v>
      </c>
      <c r="G377" s="10" t="s">
        <v>26</v>
      </c>
      <c r="H377" s="10">
        <v>2000</v>
      </c>
      <c r="I377" s="10">
        <f t="shared" si="77"/>
        <v>2800000</v>
      </c>
      <c r="J377" s="29" t="s">
        <v>110</v>
      </c>
      <c r="K377" s="10"/>
      <c r="L377" s="12">
        <f t="shared" si="90"/>
        <v>0</v>
      </c>
      <c r="M377" s="12"/>
      <c r="N377" s="12"/>
      <c r="O377" s="12">
        <f t="shared" si="91"/>
        <v>2800000</v>
      </c>
      <c r="P377" s="12">
        <v>2800000</v>
      </c>
      <c r="Q377" s="12"/>
      <c r="R377" s="12">
        <f t="shared" si="92"/>
        <v>0</v>
      </c>
      <c r="S377" s="12"/>
      <c r="T377" s="12"/>
      <c r="U377" s="12">
        <f t="shared" si="93"/>
        <v>0</v>
      </c>
      <c r="V377" s="12"/>
      <c r="W377" s="12"/>
      <c r="X377" s="12">
        <f t="shared" si="94"/>
        <v>0</v>
      </c>
      <c r="Y377" s="12"/>
      <c r="Z377" s="12"/>
      <c r="AA377" s="13">
        <f t="shared" si="95"/>
        <v>0</v>
      </c>
      <c r="AB377" s="14">
        <v>46035</v>
      </c>
    </row>
    <row r="378" spans="1:28" ht="16.5" hidden="1" thickBot="1" x14ac:dyDescent="0.3">
      <c r="A378" s="53">
        <v>46035</v>
      </c>
      <c r="B378" s="31" t="s">
        <v>309</v>
      </c>
      <c r="C378" s="31"/>
      <c r="D378" s="31" t="s">
        <v>195</v>
      </c>
      <c r="E378" s="31" t="s">
        <v>310</v>
      </c>
      <c r="F378" s="31">
        <v>2</v>
      </c>
      <c r="G378" s="31" t="s">
        <v>39</v>
      </c>
      <c r="H378" s="31">
        <v>250000</v>
      </c>
      <c r="I378" s="31">
        <f t="shared" si="77"/>
        <v>500000</v>
      </c>
      <c r="J378" s="51" t="s">
        <v>110</v>
      </c>
      <c r="K378" s="101" t="s">
        <v>241</v>
      </c>
      <c r="L378" s="34">
        <f t="shared" si="90"/>
        <v>0</v>
      </c>
      <c r="M378" s="34"/>
      <c r="N378" s="34"/>
      <c r="O378" s="34">
        <f t="shared" si="91"/>
        <v>500000</v>
      </c>
      <c r="P378" s="34">
        <v>500000</v>
      </c>
      <c r="Q378" s="34"/>
      <c r="R378" s="34">
        <f t="shared" si="92"/>
        <v>0</v>
      </c>
      <c r="S378" s="34"/>
      <c r="T378" s="34"/>
      <c r="U378" s="34">
        <f t="shared" si="93"/>
        <v>0</v>
      </c>
      <c r="V378" s="34"/>
      <c r="W378" s="34"/>
      <c r="X378" s="34">
        <f t="shared" si="94"/>
        <v>0</v>
      </c>
      <c r="Y378" s="34"/>
      <c r="Z378" s="34"/>
      <c r="AA378" s="35">
        <f t="shared" si="95"/>
        <v>0</v>
      </c>
      <c r="AB378" s="36">
        <v>46042</v>
      </c>
    </row>
    <row r="379" spans="1:28" ht="15.75" hidden="1" x14ac:dyDescent="0.25">
      <c r="A379" s="65">
        <v>46036</v>
      </c>
      <c r="B379" s="66" t="s">
        <v>294</v>
      </c>
      <c r="C379" s="66"/>
      <c r="D379" s="66" t="s">
        <v>206</v>
      </c>
      <c r="E379" s="66" t="s">
        <v>167</v>
      </c>
      <c r="F379" s="93">
        <v>5</v>
      </c>
      <c r="G379" s="66" t="s">
        <v>36</v>
      </c>
      <c r="H379" s="66">
        <v>90000</v>
      </c>
      <c r="I379" s="10">
        <f t="shared" si="77"/>
        <v>450000</v>
      </c>
      <c r="J379" s="29" t="s">
        <v>113</v>
      </c>
      <c r="K379" s="66"/>
      <c r="L379" s="12">
        <f t="shared" ref="L379" si="96">M379+N379</f>
        <v>0</v>
      </c>
      <c r="M379" s="12"/>
      <c r="N379" s="12"/>
      <c r="O379" s="12">
        <f t="shared" ref="O379" si="97">P379+Q379</f>
        <v>0</v>
      </c>
      <c r="P379" s="12"/>
      <c r="Q379" s="12"/>
      <c r="R379" s="12">
        <f t="shared" ref="R379" si="98">S379+T379</f>
        <v>0</v>
      </c>
      <c r="S379" s="12"/>
      <c r="T379" s="12"/>
      <c r="U379" s="12">
        <f t="shared" ref="U379" si="99">V379+W379</f>
        <v>450000</v>
      </c>
      <c r="V379" s="12">
        <v>450000</v>
      </c>
      <c r="W379" s="12"/>
      <c r="X379" s="12">
        <f t="shared" ref="X379" si="100">Y379+Z379</f>
        <v>0</v>
      </c>
      <c r="Y379" s="12"/>
      <c r="Z379" s="12"/>
      <c r="AA379" s="13">
        <f t="shared" ref="AA379" si="101">C379+I379-L379-O379-U379-X379-R379</f>
        <v>0</v>
      </c>
      <c r="AB379" s="14">
        <v>46036</v>
      </c>
    </row>
    <row r="380" spans="1:28" ht="15.75" hidden="1" x14ac:dyDescent="0.25">
      <c r="A380" s="65">
        <v>46036</v>
      </c>
      <c r="B380" s="10" t="s">
        <v>234</v>
      </c>
      <c r="C380" s="10"/>
      <c r="D380" s="10" t="s">
        <v>32</v>
      </c>
      <c r="E380" s="10" t="s">
        <v>175</v>
      </c>
      <c r="F380" s="10">
        <v>20800</v>
      </c>
      <c r="G380" s="10" t="s">
        <v>26</v>
      </c>
      <c r="H380" s="10">
        <v>900</v>
      </c>
      <c r="I380" s="10">
        <f t="shared" si="77"/>
        <v>18720000</v>
      </c>
      <c r="J380" s="52" t="s">
        <v>90</v>
      </c>
      <c r="K380" s="87" t="s">
        <v>251</v>
      </c>
      <c r="L380" s="12">
        <f t="shared" ref="L380:L400" si="102">M380+N380</f>
        <v>0</v>
      </c>
      <c r="M380" s="12"/>
      <c r="N380" s="12"/>
      <c r="O380" s="12">
        <f t="shared" ref="O380:O400" si="103">P380+Q380</f>
        <v>0</v>
      </c>
      <c r="P380" s="12"/>
      <c r="Q380" s="12"/>
      <c r="R380" s="12">
        <f t="shared" ref="R380:R400" si="104">S380+T380</f>
        <v>0</v>
      </c>
      <c r="S380" s="12"/>
      <c r="T380" s="12"/>
      <c r="U380" s="12">
        <f t="shared" ref="U380:U400" si="105">V380+W380</f>
        <v>0</v>
      </c>
      <c r="V380" s="12"/>
      <c r="W380" s="12"/>
      <c r="X380" s="12">
        <f t="shared" ref="X380:X400" si="106">Y380+Z380</f>
        <v>0</v>
      </c>
      <c r="Y380" s="12"/>
      <c r="Z380" s="12"/>
      <c r="AA380" s="13">
        <f t="shared" ref="AA380:AA400" si="107">C380+I380-L380-O380-U380-X380-R380</f>
        <v>18720000</v>
      </c>
      <c r="AB380" s="14"/>
    </row>
    <row r="381" spans="1:28" ht="15.75" hidden="1" x14ac:dyDescent="0.25">
      <c r="A381" s="65">
        <v>46036</v>
      </c>
      <c r="B381" s="10" t="s">
        <v>234</v>
      </c>
      <c r="C381" s="10"/>
      <c r="D381" s="10" t="s">
        <v>32</v>
      </c>
      <c r="E381" s="10" t="s">
        <v>104</v>
      </c>
      <c r="F381" s="10">
        <v>10400</v>
      </c>
      <c r="G381" s="10" t="s">
        <v>26</v>
      </c>
      <c r="H381" s="10">
        <v>1800</v>
      </c>
      <c r="I381" s="10">
        <f t="shared" si="77"/>
        <v>18720000</v>
      </c>
      <c r="J381" s="52" t="s">
        <v>90</v>
      </c>
      <c r="K381" s="87" t="s">
        <v>251</v>
      </c>
      <c r="L381" s="12">
        <f t="shared" si="102"/>
        <v>0</v>
      </c>
      <c r="M381" s="12"/>
      <c r="N381" s="12"/>
      <c r="O381" s="12">
        <f t="shared" si="103"/>
        <v>0</v>
      </c>
      <c r="P381" s="12"/>
      <c r="Q381" s="12"/>
      <c r="R381" s="12">
        <f t="shared" si="104"/>
        <v>0</v>
      </c>
      <c r="S381" s="12"/>
      <c r="T381" s="12"/>
      <c r="U381" s="12">
        <f t="shared" si="105"/>
        <v>0</v>
      </c>
      <c r="V381" s="12"/>
      <c r="W381" s="12"/>
      <c r="X381" s="12">
        <f t="shared" si="106"/>
        <v>0</v>
      </c>
      <c r="Y381" s="12"/>
      <c r="Z381" s="12"/>
      <c r="AA381" s="13">
        <f t="shared" si="107"/>
        <v>18720000</v>
      </c>
      <c r="AB381" s="14"/>
    </row>
    <row r="382" spans="1:28" ht="15.75" hidden="1" x14ac:dyDescent="0.25">
      <c r="A382" s="65">
        <v>46036</v>
      </c>
      <c r="B382" s="10" t="s">
        <v>234</v>
      </c>
      <c r="C382" s="10"/>
      <c r="D382" s="10" t="s">
        <v>32</v>
      </c>
      <c r="E382" s="10" t="s">
        <v>264</v>
      </c>
      <c r="F382" s="10">
        <v>2</v>
      </c>
      <c r="G382" s="10" t="s">
        <v>192</v>
      </c>
      <c r="H382" s="10">
        <v>900000</v>
      </c>
      <c r="I382" s="10">
        <f t="shared" si="77"/>
        <v>1800000</v>
      </c>
      <c r="J382" s="52" t="s">
        <v>90</v>
      </c>
      <c r="K382" s="87" t="s">
        <v>251</v>
      </c>
      <c r="L382" s="12">
        <f t="shared" si="102"/>
        <v>0</v>
      </c>
      <c r="M382" s="12"/>
      <c r="N382" s="12"/>
      <c r="O382" s="12">
        <f t="shared" si="103"/>
        <v>0</v>
      </c>
      <c r="P382" s="12"/>
      <c r="Q382" s="12"/>
      <c r="R382" s="12">
        <f t="shared" si="104"/>
        <v>0</v>
      </c>
      <c r="S382" s="12"/>
      <c r="T382" s="12"/>
      <c r="U382" s="12">
        <f t="shared" si="105"/>
        <v>0</v>
      </c>
      <c r="V382" s="12"/>
      <c r="W382" s="12"/>
      <c r="X382" s="12">
        <f t="shared" si="106"/>
        <v>0</v>
      </c>
      <c r="Y382" s="12"/>
      <c r="Z382" s="12"/>
      <c r="AA382" s="13">
        <f t="shared" si="107"/>
        <v>1800000</v>
      </c>
      <c r="AB382" s="14"/>
    </row>
    <row r="383" spans="1:28" ht="15.75" hidden="1" x14ac:dyDescent="0.25">
      <c r="A383" s="65">
        <v>46036</v>
      </c>
      <c r="B383" s="10" t="s">
        <v>256</v>
      </c>
      <c r="C383" s="10"/>
      <c r="D383" s="10" t="s">
        <v>28</v>
      </c>
      <c r="E383" s="10" t="s">
        <v>180</v>
      </c>
      <c r="F383" s="10">
        <v>5</v>
      </c>
      <c r="G383" s="10" t="s">
        <v>36</v>
      </c>
      <c r="H383" s="10">
        <v>86000</v>
      </c>
      <c r="I383" s="10">
        <f t="shared" si="77"/>
        <v>430000</v>
      </c>
      <c r="J383" s="29" t="s">
        <v>110</v>
      </c>
      <c r="K383" s="10" t="s">
        <v>326</v>
      </c>
      <c r="L383" s="12">
        <f t="shared" si="102"/>
        <v>0</v>
      </c>
      <c r="M383" s="12"/>
      <c r="N383" s="12"/>
      <c r="O383" s="12">
        <f t="shared" si="103"/>
        <v>0</v>
      </c>
      <c r="P383" s="12"/>
      <c r="Q383" s="12"/>
      <c r="R383" s="12">
        <f t="shared" si="104"/>
        <v>430000</v>
      </c>
      <c r="S383" s="12">
        <v>430000</v>
      </c>
      <c r="T383" s="12"/>
      <c r="U383" s="12">
        <f t="shared" si="105"/>
        <v>0</v>
      </c>
      <c r="V383" s="12"/>
      <c r="W383" s="12"/>
      <c r="X383" s="12">
        <f t="shared" si="106"/>
        <v>0</v>
      </c>
      <c r="Y383" s="12"/>
      <c r="Z383" s="12"/>
      <c r="AA383" s="13">
        <f t="shared" si="107"/>
        <v>0</v>
      </c>
      <c r="AB383" s="14">
        <v>46038</v>
      </c>
    </row>
    <row r="384" spans="1:28" ht="15.75" hidden="1" x14ac:dyDescent="0.25">
      <c r="A384" s="65">
        <v>46036</v>
      </c>
      <c r="B384" s="10" t="s">
        <v>256</v>
      </c>
      <c r="C384" s="10"/>
      <c r="D384" s="10" t="s">
        <v>28</v>
      </c>
      <c r="E384" s="10" t="s">
        <v>114</v>
      </c>
      <c r="F384" s="10">
        <v>20</v>
      </c>
      <c r="G384" s="10" t="s">
        <v>67</v>
      </c>
      <c r="H384" s="10">
        <v>50000</v>
      </c>
      <c r="I384" s="10">
        <f t="shared" si="77"/>
        <v>1000000</v>
      </c>
      <c r="J384" s="29" t="s">
        <v>110</v>
      </c>
      <c r="K384" s="10" t="s">
        <v>326</v>
      </c>
      <c r="L384" s="12">
        <f t="shared" si="102"/>
        <v>0</v>
      </c>
      <c r="M384" s="12"/>
      <c r="N384" s="12"/>
      <c r="O384" s="12">
        <f t="shared" si="103"/>
        <v>0</v>
      </c>
      <c r="P384" s="12"/>
      <c r="Q384" s="12"/>
      <c r="R384" s="12">
        <f t="shared" si="104"/>
        <v>1000000</v>
      </c>
      <c r="S384" s="12">
        <v>1000000</v>
      </c>
      <c r="T384" s="12"/>
      <c r="U384" s="12">
        <f t="shared" si="105"/>
        <v>0</v>
      </c>
      <c r="V384" s="12"/>
      <c r="W384" s="12"/>
      <c r="X384" s="12">
        <f t="shared" si="106"/>
        <v>0</v>
      </c>
      <c r="Y384" s="12"/>
      <c r="Z384" s="12"/>
      <c r="AA384" s="13">
        <f t="shared" si="107"/>
        <v>0</v>
      </c>
      <c r="AB384" s="14">
        <v>46038</v>
      </c>
    </row>
    <row r="385" spans="1:28" ht="15.75" hidden="1" x14ac:dyDescent="0.25">
      <c r="A385" s="65">
        <v>46036</v>
      </c>
      <c r="B385" s="10" t="s">
        <v>204</v>
      </c>
      <c r="C385" s="10"/>
      <c r="D385" s="10" t="s">
        <v>195</v>
      </c>
      <c r="E385" s="10" t="s">
        <v>98</v>
      </c>
      <c r="F385" s="10">
        <v>2400</v>
      </c>
      <c r="G385" s="10" t="s">
        <v>26</v>
      </c>
      <c r="H385" s="10">
        <v>1900</v>
      </c>
      <c r="I385" s="10">
        <f t="shared" si="77"/>
        <v>4560000</v>
      </c>
      <c r="J385" s="29" t="s">
        <v>110</v>
      </c>
      <c r="K385" s="10"/>
      <c r="L385" s="12">
        <f t="shared" si="102"/>
        <v>0</v>
      </c>
      <c r="M385" s="12"/>
      <c r="N385" s="12"/>
      <c r="O385" s="12">
        <f t="shared" si="103"/>
        <v>4560000</v>
      </c>
      <c r="P385" s="12">
        <v>4560000</v>
      </c>
      <c r="Q385" s="12"/>
      <c r="R385" s="12">
        <f t="shared" si="104"/>
        <v>0</v>
      </c>
      <c r="S385" s="12"/>
      <c r="T385" s="12"/>
      <c r="U385" s="12">
        <f t="shared" si="105"/>
        <v>0</v>
      </c>
      <c r="V385" s="12"/>
      <c r="W385" s="12"/>
      <c r="X385" s="12">
        <f t="shared" si="106"/>
        <v>0</v>
      </c>
      <c r="Y385" s="12"/>
      <c r="Z385" s="12"/>
      <c r="AA385" s="13">
        <f t="shared" si="107"/>
        <v>0</v>
      </c>
      <c r="AB385" s="14">
        <v>46036</v>
      </c>
    </row>
    <row r="386" spans="1:28" ht="15.75" hidden="1" x14ac:dyDescent="0.25">
      <c r="A386" s="65">
        <v>46036</v>
      </c>
      <c r="B386" s="10" t="s">
        <v>312</v>
      </c>
      <c r="C386" s="10"/>
      <c r="D386" s="10" t="s">
        <v>28</v>
      </c>
      <c r="E386" s="10" t="s">
        <v>313</v>
      </c>
      <c r="F386" s="10">
        <v>2000</v>
      </c>
      <c r="G386" s="10" t="s">
        <v>26</v>
      </c>
      <c r="H386" s="10">
        <v>5400</v>
      </c>
      <c r="I386" s="10">
        <f t="shared" si="77"/>
        <v>10800000</v>
      </c>
      <c r="J386" s="29" t="s">
        <v>110</v>
      </c>
      <c r="K386" s="10"/>
      <c r="L386" s="12">
        <f t="shared" si="102"/>
        <v>0</v>
      </c>
      <c r="M386" s="12"/>
      <c r="N386" s="12"/>
      <c r="O386" s="12">
        <f t="shared" si="103"/>
        <v>10800000</v>
      </c>
      <c r="P386" s="12">
        <v>10800000</v>
      </c>
      <c r="Q386" s="12"/>
      <c r="R386" s="12">
        <f t="shared" si="104"/>
        <v>0</v>
      </c>
      <c r="S386" s="12"/>
      <c r="T386" s="12"/>
      <c r="U386" s="12">
        <f t="shared" si="105"/>
        <v>0</v>
      </c>
      <c r="V386" s="12"/>
      <c r="W386" s="12"/>
      <c r="X386" s="12">
        <f t="shared" si="106"/>
        <v>0</v>
      </c>
      <c r="Y386" s="12"/>
      <c r="Z386" s="12"/>
      <c r="AA386" s="13">
        <f t="shared" si="107"/>
        <v>0</v>
      </c>
      <c r="AB386" s="14">
        <v>46036</v>
      </c>
    </row>
    <row r="387" spans="1:28" ht="15.75" hidden="1" x14ac:dyDescent="0.25">
      <c r="A387" s="65">
        <v>46036</v>
      </c>
      <c r="B387" s="10" t="s">
        <v>303</v>
      </c>
      <c r="C387" s="10"/>
      <c r="D387" s="10" t="s">
        <v>28</v>
      </c>
      <c r="E387" s="10" t="s">
        <v>65</v>
      </c>
      <c r="F387" s="10">
        <v>500</v>
      </c>
      <c r="G387" s="10" t="s">
        <v>26</v>
      </c>
      <c r="H387" s="10">
        <v>3700</v>
      </c>
      <c r="I387" s="10">
        <f t="shared" si="77"/>
        <v>1850000</v>
      </c>
      <c r="J387" s="29" t="s">
        <v>110</v>
      </c>
      <c r="K387" s="10"/>
      <c r="L387" s="12">
        <f t="shared" si="102"/>
        <v>0</v>
      </c>
      <c r="M387" s="12"/>
      <c r="N387" s="12"/>
      <c r="O387" s="12">
        <f t="shared" si="103"/>
        <v>1850000</v>
      </c>
      <c r="P387" s="12">
        <v>1850000</v>
      </c>
      <c r="Q387" s="12"/>
      <c r="R387" s="12">
        <f t="shared" si="104"/>
        <v>0</v>
      </c>
      <c r="S387" s="12"/>
      <c r="T387" s="12"/>
      <c r="U387" s="12">
        <f t="shared" si="105"/>
        <v>0</v>
      </c>
      <c r="V387" s="12"/>
      <c r="W387" s="12"/>
      <c r="X387" s="12">
        <f t="shared" si="106"/>
        <v>0</v>
      </c>
      <c r="Y387" s="12"/>
      <c r="Z387" s="12"/>
      <c r="AA387" s="13">
        <f t="shared" si="107"/>
        <v>0</v>
      </c>
      <c r="AB387" s="14">
        <v>46036</v>
      </c>
    </row>
    <row r="388" spans="1:28" ht="15.75" hidden="1" x14ac:dyDescent="0.25">
      <c r="A388" s="65">
        <v>46036</v>
      </c>
      <c r="B388" s="10" t="s">
        <v>303</v>
      </c>
      <c r="C388" s="10"/>
      <c r="D388" s="10" t="s">
        <v>28</v>
      </c>
      <c r="E388" s="10" t="s">
        <v>129</v>
      </c>
      <c r="F388" s="94">
        <v>500</v>
      </c>
      <c r="G388" s="10" t="s">
        <v>26</v>
      </c>
      <c r="H388" s="10">
        <v>3700</v>
      </c>
      <c r="I388" s="10">
        <f t="shared" si="77"/>
        <v>1850000</v>
      </c>
      <c r="J388" s="29" t="s">
        <v>110</v>
      </c>
      <c r="K388" s="10"/>
      <c r="L388" s="12">
        <f t="shared" si="102"/>
        <v>0</v>
      </c>
      <c r="M388" s="12"/>
      <c r="N388" s="12"/>
      <c r="O388" s="12">
        <f t="shared" si="103"/>
        <v>1850000</v>
      </c>
      <c r="P388" s="12">
        <v>1850000</v>
      </c>
      <c r="Q388" s="12"/>
      <c r="R388" s="12">
        <f t="shared" si="104"/>
        <v>0</v>
      </c>
      <c r="S388" s="12"/>
      <c r="T388" s="12"/>
      <c r="U388" s="12">
        <f t="shared" si="105"/>
        <v>0</v>
      </c>
      <c r="V388" s="12"/>
      <c r="W388" s="12"/>
      <c r="X388" s="12">
        <f t="shared" si="106"/>
        <v>0</v>
      </c>
      <c r="Y388" s="12"/>
      <c r="Z388" s="12"/>
      <c r="AA388" s="13">
        <f t="shared" si="107"/>
        <v>0</v>
      </c>
      <c r="AB388" s="14">
        <v>46036</v>
      </c>
    </row>
    <row r="389" spans="1:28" ht="15.75" hidden="1" x14ac:dyDescent="0.25">
      <c r="A389" s="65">
        <v>46036</v>
      </c>
      <c r="B389" s="10" t="s">
        <v>83</v>
      </c>
      <c r="C389" s="10"/>
      <c r="D389" s="10" t="s">
        <v>206</v>
      </c>
      <c r="E389" s="10" t="s">
        <v>88</v>
      </c>
      <c r="F389" s="10">
        <v>25</v>
      </c>
      <c r="G389" s="10" t="s">
        <v>36</v>
      </c>
      <c r="H389" s="10">
        <v>120000</v>
      </c>
      <c r="I389" s="10">
        <f t="shared" si="77"/>
        <v>3000000</v>
      </c>
      <c r="J389" s="29" t="s">
        <v>113</v>
      </c>
      <c r="K389" s="10"/>
      <c r="L389" s="12">
        <f t="shared" si="102"/>
        <v>0</v>
      </c>
      <c r="M389" s="12"/>
      <c r="N389" s="12"/>
      <c r="O389" s="12">
        <f t="shared" si="103"/>
        <v>0</v>
      </c>
      <c r="P389" s="12"/>
      <c r="Q389" s="12"/>
      <c r="R389" s="12">
        <f t="shared" si="104"/>
        <v>0</v>
      </c>
      <c r="S389" s="12"/>
      <c r="T389" s="12"/>
      <c r="U389" s="12">
        <f t="shared" si="105"/>
        <v>3000000</v>
      </c>
      <c r="V389" s="12">
        <v>3000000</v>
      </c>
      <c r="W389" s="12"/>
      <c r="X389" s="12">
        <f t="shared" si="106"/>
        <v>0</v>
      </c>
      <c r="Y389" s="12"/>
      <c r="Z389" s="12"/>
      <c r="AA389" s="13">
        <f t="shared" si="107"/>
        <v>0</v>
      </c>
      <c r="AB389" s="14">
        <v>46036</v>
      </c>
    </row>
    <row r="390" spans="1:28" ht="15.75" hidden="1" x14ac:dyDescent="0.25">
      <c r="A390" s="65">
        <v>46036</v>
      </c>
      <c r="B390" s="10" t="s">
        <v>278</v>
      </c>
      <c r="C390" s="10"/>
      <c r="D390" s="10" t="s">
        <v>195</v>
      </c>
      <c r="E390" s="10" t="s">
        <v>86</v>
      </c>
      <c r="F390" s="10">
        <v>176.6</v>
      </c>
      <c r="G390" s="10" t="s">
        <v>36</v>
      </c>
      <c r="H390" s="10">
        <v>41500</v>
      </c>
      <c r="I390" s="10">
        <f t="shared" si="77"/>
        <v>7328900</v>
      </c>
      <c r="J390" s="52" t="s">
        <v>90</v>
      </c>
      <c r="K390" s="87" t="s">
        <v>288</v>
      </c>
      <c r="L390" s="12">
        <f t="shared" si="102"/>
        <v>0</v>
      </c>
      <c r="M390" s="12"/>
      <c r="N390" s="12"/>
      <c r="O390" s="12">
        <f t="shared" si="103"/>
        <v>0</v>
      </c>
      <c r="P390" s="12"/>
      <c r="Q390" s="12"/>
      <c r="R390" s="12">
        <f t="shared" si="104"/>
        <v>0</v>
      </c>
      <c r="S390" s="12"/>
      <c r="T390" s="12"/>
      <c r="U390" s="12">
        <f t="shared" si="105"/>
        <v>0</v>
      </c>
      <c r="V390" s="12"/>
      <c r="W390" s="12"/>
      <c r="X390" s="12">
        <f t="shared" si="106"/>
        <v>0</v>
      </c>
      <c r="Y390" s="12"/>
      <c r="Z390" s="12"/>
      <c r="AA390" s="13">
        <f t="shared" si="107"/>
        <v>7328900</v>
      </c>
      <c r="AB390" s="14"/>
    </row>
    <row r="391" spans="1:28" ht="15.75" hidden="1" x14ac:dyDescent="0.25">
      <c r="A391" s="65">
        <v>46036</v>
      </c>
      <c r="B391" s="10" t="s">
        <v>278</v>
      </c>
      <c r="C391" s="10"/>
      <c r="D391" s="10" t="s">
        <v>195</v>
      </c>
      <c r="E391" s="10" t="s">
        <v>118</v>
      </c>
      <c r="F391" s="10">
        <v>2</v>
      </c>
      <c r="G391" s="10" t="s">
        <v>22</v>
      </c>
      <c r="H391" s="10">
        <v>400000</v>
      </c>
      <c r="I391" s="10">
        <f t="shared" ref="I391:I456" si="108">F391*H391</f>
        <v>800000</v>
      </c>
      <c r="J391" s="52" t="s">
        <v>90</v>
      </c>
      <c r="K391" s="87" t="s">
        <v>288</v>
      </c>
      <c r="L391" s="12">
        <f t="shared" si="102"/>
        <v>0</v>
      </c>
      <c r="M391" s="12"/>
      <c r="N391" s="12"/>
      <c r="O391" s="12">
        <f t="shared" si="103"/>
        <v>0</v>
      </c>
      <c r="P391" s="12"/>
      <c r="Q391" s="12"/>
      <c r="R391" s="12">
        <f t="shared" si="104"/>
        <v>0</v>
      </c>
      <c r="S391" s="12"/>
      <c r="T391" s="12"/>
      <c r="U391" s="12">
        <f t="shared" si="105"/>
        <v>0</v>
      </c>
      <c r="V391" s="12"/>
      <c r="W391" s="12"/>
      <c r="X391" s="12">
        <f t="shared" si="106"/>
        <v>0</v>
      </c>
      <c r="Y391" s="12"/>
      <c r="Z391" s="12"/>
      <c r="AA391" s="13">
        <f t="shared" si="107"/>
        <v>800000</v>
      </c>
      <c r="AB391" s="14"/>
    </row>
    <row r="392" spans="1:28" ht="15.75" hidden="1" x14ac:dyDescent="0.25">
      <c r="A392" s="65">
        <v>46036</v>
      </c>
      <c r="B392" s="10" t="s">
        <v>278</v>
      </c>
      <c r="C392" s="10"/>
      <c r="D392" s="10" t="s">
        <v>195</v>
      </c>
      <c r="E392" s="10" t="s">
        <v>314</v>
      </c>
      <c r="F392" s="10">
        <v>2</v>
      </c>
      <c r="G392" s="10" t="s">
        <v>22</v>
      </c>
      <c r="H392" s="10">
        <v>400000</v>
      </c>
      <c r="I392" s="10">
        <f t="shared" si="108"/>
        <v>800000</v>
      </c>
      <c r="J392" s="52" t="s">
        <v>90</v>
      </c>
      <c r="K392" s="87" t="s">
        <v>288</v>
      </c>
      <c r="L392" s="12">
        <f t="shared" si="102"/>
        <v>0</v>
      </c>
      <c r="M392" s="12"/>
      <c r="N392" s="12"/>
      <c r="O392" s="12">
        <f t="shared" si="103"/>
        <v>0</v>
      </c>
      <c r="P392" s="12"/>
      <c r="Q392" s="12"/>
      <c r="R392" s="12">
        <f t="shared" si="104"/>
        <v>0</v>
      </c>
      <c r="S392" s="12"/>
      <c r="T392" s="12"/>
      <c r="U392" s="12">
        <f t="shared" si="105"/>
        <v>0</v>
      </c>
      <c r="V392" s="12"/>
      <c r="W392" s="12"/>
      <c r="X392" s="12">
        <f t="shared" si="106"/>
        <v>0</v>
      </c>
      <c r="Y392" s="12"/>
      <c r="Z392" s="12"/>
      <c r="AA392" s="13">
        <f t="shared" si="107"/>
        <v>800000</v>
      </c>
      <c r="AB392" s="14"/>
    </row>
    <row r="393" spans="1:28" ht="15.75" hidden="1" x14ac:dyDescent="0.25">
      <c r="A393" s="65">
        <v>46036</v>
      </c>
      <c r="B393" s="10" t="s">
        <v>222</v>
      </c>
      <c r="C393" s="10"/>
      <c r="D393" s="10" t="s">
        <v>195</v>
      </c>
      <c r="E393" s="10" t="s">
        <v>315</v>
      </c>
      <c r="F393" s="10">
        <v>26.9</v>
      </c>
      <c r="G393" s="10" t="s">
        <v>36</v>
      </c>
      <c r="H393" s="10">
        <v>43000</v>
      </c>
      <c r="I393" s="10">
        <f t="shared" si="108"/>
        <v>1156700</v>
      </c>
      <c r="J393" s="29" t="s">
        <v>110</v>
      </c>
      <c r="K393" s="10"/>
      <c r="L393" s="12">
        <f t="shared" si="102"/>
        <v>0</v>
      </c>
      <c r="M393" s="12"/>
      <c r="N393" s="12"/>
      <c r="O393" s="12">
        <f t="shared" si="103"/>
        <v>1156700</v>
      </c>
      <c r="P393" s="12">
        <v>1156700</v>
      </c>
      <c r="Q393" s="12"/>
      <c r="R393" s="12">
        <f t="shared" si="104"/>
        <v>0</v>
      </c>
      <c r="S393" s="12"/>
      <c r="T393" s="12"/>
      <c r="U393" s="12">
        <f t="shared" si="105"/>
        <v>0</v>
      </c>
      <c r="V393" s="12"/>
      <c r="W393" s="12"/>
      <c r="X393" s="12">
        <f t="shared" si="106"/>
        <v>0</v>
      </c>
      <c r="Y393" s="12"/>
      <c r="Z393" s="12"/>
      <c r="AA393" s="13">
        <f t="shared" si="107"/>
        <v>0</v>
      </c>
      <c r="AB393" s="14">
        <v>46037</v>
      </c>
    </row>
    <row r="394" spans="1:28" ht="15.75" hidden="1" x14ac:dyDescent="0.25">
      <c r="A394" s="65">
        <v>46036</v>
      </c>
      <c r="B394" s="10" t="s">
        <v>222</v>
      </c>
      <c r="C394" s="10"/>
      <c r="D394" s="10" t="s">
        <v>195</v>
      </c>
      <c r="E394" s="10" t="s">
        <v>136</v>
      </c>
      <c r="F394" s="10">
        <v>23.9</v>
      </c>
      <c r="G394" s="10" t="s">
        <v>36</v>
      </c>
      <c r="H394" s="10">
        <v>43000</v>
      </c>
      <c r="I394" s="10">
        <f t="shared" si="108"/>
        <v>1027699.9999999999</v>
      </c>
      <c r="J394" s="29" t="s">
        <v>110</v>
      </c>
      <c r="K394" s="10"/>
      <c r="L394" s="12">
        <f t="shared" si="102"/>
        <v>0</v>
      </c>
      <c r="M394" s="12"/>
      <c r="N394" s="12"/>
      <c r="O394" s="12">
        <f t="shared" si="103"/>
        <v>1027700</v>
      </c>
      <c r="P394" s="12">
        <v>1027700</v>
      </c>
      <c r="Q394" s="12"/>
      <c r="R394" s="12">
        <f t="shared" si="104"/>
        <v>0</v>
      </c>
      <c r="S394" s="12"/>
      <c r="T394" s="12"/>
      <c r="U394" s="12">
        <f t="shared" si="105"/>
        <v>0</v>
      </c>
      <c r="V394" s="12"/>
      <c r="W394" s="12"/>
      <c r="X394" s="12">
        <f t="shared" si="106"/>
        <v>0</v>
      </c>
      <c r="Y394" s="12"/>
      <c r="Z394" s="12"/>
      <c r="AA394" s="13">
        <f t="shared" si="107"/>
        <v>-1.1641532182693481E-10</v>
      </c>
      <c r="AB394" s="14">
        <v>46037</v>
      </c>
    </row>
    <row r="395" spans="1:28" ht="15.75" hidden="1" x14ac:dyDescent="0.25">
      <c r="A395" s="65">
        <v>46036</v>
      </c>
      <c r="B395" s="10" t="s">
        <v>316</v>
      </c>
      <c r="C395" s="10"/>
      <c r="D395" s="10" t="s">
        <v>206</v>
      </c>
      <c r="E395" s="10" t="s">
        <v>88</v>
      </c>
      <c r="F395" s="10">
        <v>25</v>
      </c>
      <c r="G395" s="10" t="s">
        <v>36</v>
      </c>
      <c r="H395" s="10">
        <v>120000</v>
      </c>
      <c r="I395" s="10">
        <f t="shared" si="108"/>
        <v>3000000</v>
      </c>
      <c r="J395" s="29" t="s">
        <v>113</v>
      </c>
      <c r="K395" s="10"/>
      <c r="L395" s="12">
        <f t="shared" si="102"/>
        <v>3000000</v>
      </c>
      <c r="M395" s="12">
        <v>3000000</v>
      </c>
      <c r="N395" s="12"/>
      <c r="O395" s="12">
        <f t="shared" si="103"/>
        <v>0</v>
      </c>
      <c r="P395" s="12"/>
      <c r="Q395" s="12"/>
      <c r="R395" s="12">
        <f t="shared" si="104"/>
        <v>0</v>
      </c>
      <c r="S395" s="12"/>
      <c r="T395" s="12"/>
      <c r="U395" s="12">
        <f t="shared" si="105"/>
        <v>0</v>
      </c>
      <c r="V395" s="12"/>
      <c r="W395" s="12"/>
      <c r="X395" s="12">
        <f t="shared" si="106"/>
        <v>0</v>
      </c>
      <c r="Y395" s="12"/>
      <c r="Z395" s="12"/>
      <c r="AA395" s="13">
        <f t="shared" si="107"/>
        <v>0</v>
      </c>
      <c r="AB395" s="14">
        <v>46036</v>
      </c>
    </row>
    <row r="396" spans="1:28" ht="15.75" hidden="1" x14ac:dyDescent="0.25">
      <c r="A396" s="65">
        <v>46036</v>
      </c>
      <c r="B396" s="10" t="s">
        <v>316</v>
      </c>
      <c r="C396" s="10"/>
      <c r="D396" s="10" t="s">
        <v>206</v>
      </c>
      <c r="E396" s="10" t="s">
        <v>114</v>
      </c>
      <c r="F396" s="10">
        <v>10</v>
      </c>
      <c r="G396" s="10" t="s">
        <v>67</v>
      </c>
      <c r="H396" s="10">
        <v>50000</v>
      </c>
      <c r="I396" s="10">
        <f t="shared" si="108"/>
        <v>500000</v>
      </c>
      <c r="J396" s="29" t="s">
        <v>113</v>
      </c>
      <c r="K396" s="10"/>
      <c r="L396" s="12">
        <f t="shared" si="102"/>
        <v>500000</v>
      </c>
      <c r="M396" s="12">
        <v>500000</v>
      </c>
      <c r="N396" s="12"/>
      <c r="O396" s="12">
        <f t="shared" si="103"/>
        <v>0</v>
      </c>
      <c r="P396" s="12"/>
      <c r="Q396" s="12"/>
      <c r="R396" s="12">
        <f t="shared" si="104"/>
        <v>0</v>
      </c>
      <c r="S396" s="12"/>
      <c r="T396" s="12"/>
      <c r="U396" s="12">
        <f t="shared" si="105"/>
        <v>0</v>
      </c>
      <c r="V396" s="12"/>
      <c r="W396" s="12"/>
      <c r="X396" s="12">
        <f t="shared" si="106"/>
        <v>0</v>
      </c>
      <c r="Y396" s="12"/>
      <c r="Z396" s="12"/>
      <c r="AA396" s="13">
        <f t="shared" si="107"/>
        <v>0</v>
      </c>
      <c r="AB396" s="14">
        <v>46036</v>
      </c>
    </row>
    <row r="397" spans="1:28" ht="15.75" hidden="1" x14ac:dyDescent="0.25">
      <c r="A397" s="28">
        <v>46036</v>
      </c>
      <c r="B397" s="10" t="s">
        <v>69</v>
      </c>
      <c r="C397" s="10"/>
      <c r="D397" s="10" t="s">
        <v>28</v>
      </c>
      <c r="E397" s="10" t="s">
        <v>138</v>
      </c>
      <c r="F397" s="10">
        <v>2</v>
      </c>
      <c r="G397" s="10" t="s">
        <v>61</v>
      </c>
      <c r="H397" s="10">
        <v>290000</v>
      </c>
      <c r="I397" s="10">
        <f t="shared" si="108"/>
        <v>580000</v>
      </c>
      <c r="J397" s="29" t="s">
        <v>110</v>
      </c>
      <c r="K397" s="95" t="s">
        <v>288</v>
      </c>
      <c r="L397" s="12">
        <f t="shared" si="102"/>
        <v>0</v>
      </c>
      <c r="M397" s="12"/>
      <c r="N397" s="12"/>
      <c r="O397" s="12">
        <f t="shared" si="103"/>
        <v>580000</v>
      </c>
      <c r="P397" s="12">
        <v>580000</v>
      </c>
      <c r="Q397" s="12"/>
      <c r="R397" s="12">
        <f t="shared" si="104"/>
        <v>0</v>
      </c>
      <c r="S397" s="12"/>
      <c r="T397" s="12"/>
      <c r="U397" s="12">
        <f t="shared" si="105"/>
        <v>0</v>
      </c>
      <c r="V397" s="12"/>
      <c r="W397" s="12"/>
      <c r="X397" s="12">
        <f t="shared" si="106"/>
        <v>0</v>
      </c>
      <c r="Y397" s="12"/>
      <c r="Z397" s="12"/>
      <c r="AA397" s="13">
        <f t="shared" si="107"/>
        <v>0</v>
      </c>
      <c r="AB397" s="14">
        <v>46043</v>
      </c>
    </row>
    <row r="398" spans="1:28" ht="15.75" hidden="1" x14ac:dyDescent="0.25">
      <c r="A398" s="65">
        <v>46036</v>
      </c>
      <c r="B398" s="10" t="s">
        <v>317</v>
      </c>
      <c r="C398" s="10"/>
      <c r="D398" s="10" t="s">
        <v>206</v>
      </c>
      <c r="E398" s="10" t="s">
        <v>209</v>
      </c>
      <c r="F398" s="10">
        <v>4</v>
      </c>
      <c r="G398" s="10" t="s">
        <v>61</v>
      </c>
      <c r="H398" s="10">
        <v>230000</v>
      </c>
      <c r="I398" s="10">
        <f t="shared" si="108"/>
        <v>920000</v>
      </c>
      <c r="J398" s="29" t="s">
        <v>113</v>
      </c>
      <c r="K398" s="10"/>
      <c r="L398" s="12">
        <f t="shared" si="102"/>
        <v>0</v>
      </c>
      <c r="M398" s="12"/>
      <c r="N398" s="12"/>
      <c r="O398" s="12">
        <f t="shared" si="103"/>
        <v>0</v>
      </c>
      <c r="P398" s="12"/>
      <c r="Q398" s="12"/>
      <c r="R398" s="12">
        <f t="shared" si="104"/>
        <v>0</v>
      </c>
      <c r="S398" s="12"/>
      <c r="T398" s="12"/>
      <c r="U398" s="12">
        <f t="shared" si="105"/>
        <v>920000</v>
      </c>
      <c r="V398" s="12">
        <v>920000</v>
      </c>
      <c r="W398" s="12"/>
      <c r="X398" s="12">
        <f t="shared" si="106"/>
        <v>0</v>
      </c>
      <c r="Y398" s="12"/>
      <c r="Z398" s="12"/>
      <c r="AA398" s="13">
        <f t="shared" si="107"/>
        <v>0</v>
      </c>
      <c r="AB398" s="14">
        <v>46036</v>
      </c>
    </row>
    <row r="399" spans="1:28" ht="16.5" hidden="1" thickBot="1" x14ac:dyDescent="0.3">
      <c r="A399" s="53">
        <v>46036</v>
      </c>
      <c r="B399" s="31" t="s">
        <v>318</v>
      </c>
      <c r="C399" s="31"/>
      <c r="D399" s="31" t="s">
        <v>206</v>
      </c>
      <c r="E399" s="31" t="s">
        <v>66</v>
      </c>
      <c r="F399" s="31">
        <v>20</v>
      </c>
      <c r="G399" s="31" t="s">
        <v>67</v>
      </c>
      <c r="H399" s="31">
        <v>50000</v>
      </c>
      <c r="I399" s="31">
        <f t="shared" si="108"/>
        <v>1000000</v>
      </c>
      <c r="J399" s="51" t="s">
        <v>110</v>
      </c>
      <c r="K399" s="31"/>
      <c r="L399" s="34">
        <f t="shared" si="102"/>
        <v>0</v>
      </c>
      <c r="M399" s="34"/>
      <c r="N399" s="34"/>
      <c r="O399" s="34">
        <f t="shared" si="103"/>
        <v>1000000</v>
      </c>
      <c r="P399" s="34">
        <v>1000000</v>
      </c>
      <c r="Q399" s="34"/>
      <c r="R399" s="34">
        <f t="shared" si="104"/>
        <v>0</v>
      </c>
      <c r="S399" s="34"/>
      <c r="T399" s="34"/>
      <c r="U399" s="34">
        <f t="shared" si="105"/>
        <v>0</v>
      </c>
      <c r="V399" s="34"/>
      <c r="W399" s="34"/>
      <c r="X399" s="34">
        <f t="shared" si="106"/>
        <v>0</v>
      </c>
      <c r="Y399" s="34"/>
      <c r="Z399" s="34"/>
      <c r="AA399" s="35">
        <f t="shared" si="107"/>
        <v>0</v>
      </c>
      <c r="AB399" s="36">
        <v>46036</v>
      </c>
    </row>
    <row r="400" spans="1:28" ht="15.75" hidden="1" x14ac:dyDescent="0.25">
      <c r="A400" s="65">
        <v>46037</v>
      </c>
      <c r="B400" s="66" t="s">
        <v>55</v>
      </c>
      <c r="C400" s="66"/>
      <c r="D400" s="66" t="s">
        <v>195</v>
      </c>
      <c r="E400" s="66" t="s">
        <v>98</v>
      </c>
      <c r="F400" s="66">
        <v>2000</v>
      </c>
      <c r="G400" s="66" t="s">
        <v>26</v>
      </c>
      <c r="H400" s="66">
        <v>1900</v>
      </c>
      <c r="I400" s="10">
        <f t="shared" si="108"/>
        <v>3800000</v>
      </c>
      <c r="J400" s="52" t="s">
        <v>90</v>
      </c>
      <c r="K400" s="102" t="s">
        <v>202</v>
      </c>
      <c r="L400" s="12">
        <f t="shared" si="102"/>
        <v>0</v>
      </c>
      <c r="M400" s="12"/>
      <c r="N400" s="12"/>
      <c r="O400" s="12">
        <f t="shared" si="103"/>
        <v>0</v>
      </c>
      <c r="P400" s="12"/>
      <c r="Q400" s="12"/>
      <c r="R400" s="12">
        <f t="shared" si="104"/>
        <v>0</v>
      </c>
      <c r="S400" s="12"/>
      <c r="T400" s="12"/>
      <c r="U400" s="12">
        <f t="shared" si="105"/>
        <v>0</v>
      </c>
      <c r="V400" s="12"/>
      <c r="W400" s="12"/>
      <c r="X400" s="12">
        <f t="shared" si="106"/>
        <v>0</v>
      </c>
      <c r="Y400" s="12"/>
      <c r="Z400" s="12"/>
      <c r="AA400" s="13">
        <f t="shared" si="107"/>
        <v>3800000</v>
      </c>
      <c r="AB400" s="14"/>
    </row>
    <row r="401" spans="1:28" ht="15.75" hidden="1" x14ac:dyDescent="0.25">
      <c r="A401" s="65">
        <v>46037</v>
      </c>
      <c r="B401" s="10" t="s">
        <v>319</v>
      </c>
      <c r="C401" s="10"/>
      <c r="D401" s="10" t="s">
        <v>28</v>
      </c>
      <c r="E401" s="10" t="s">
        <v>177</v>
      </c>
      <c r="F401" s="10">
        <v>7</v>
      </c>
      <c r="G401" s="10" t="s">
        <v>61</v>
      </c>
      <c r="H401" s="10">
        <v>428500</v>
      </c>
      <c r="I401" s="10">
        <f t="shared" si="108"/>
        <v>2999500</v>
      </c>
      <c r="J401" s="29" t="s">
        <v>113</v>
      </c>
      <c r="K401" s="10" t="s">
        <v>288</v>
      </c>
      <c r="L401" s="12">
        <f t="shared" ref="L401:L414" si="109">M401+N401</f>
        <v>2400000</v>
      </c>
      <c r="M401" s="12">
        <v>2400000</v>
      </c>
      <c r="N401" s="12"/>
      <c r="O401" s="12">
        <f t="shared" ref="O401:O414" si="110">P401+Q401</f>
        <v>0</v>
      </c>
      <c r="P401" s="12"/>
      <c r="Q401" s="12"/>
      <c r="R401" s="12">
        <f t="shared" ref="R401:R414" si="111">S401+T401</f>
        <v>599500</v>
      </c>
      <c r="S401" s="12">
        <v>599500</v>
      </c>
      <c r="T401" s="12"/>
      <c r="U401" s="12">
        <f t="shared" ref="U401:U414" si="112">V401+W401</f>
        <v>0</v>
      </c>
      <c r="V401" s="12"/>
      <c r="W401" s="12"/>
      <c r="X401" s="12">
        <f t="shared" ref="X401:X414" si="113">Y401+Z401</f>
        <v>0</v>
      </c>
      <c r="Y401" s="12"/>
      <c r="Z401" s="12"/>
      <c r="AA401" s="13">
        <f t="shared" ref="AA401:AA414" si="114">C401+I401-L401-O401-U401-X401-R401</f>
        <v>0</v>
      </c>
      <c r="AB401" s="14">
        <v>46041</v>
      </c>
    </row>
    <row r="402" spans="1:28" ht="15.75" hidden="1" x14ac:dyDescent="0.25">
      <c r="A402" s="65">
        <v>46037</v>
      </c>
      <c r="B402" s="10" t="s">
        <v>320</v>
      </c>
      <c r="C402" s="10"/>
      <c r="D402" s="10" t="s">
        <v>206</v>
      </c>
      <c r="E402" s="10" t="s">
        <v>60</v>
      </c>
      <c r="F402" s="10">
        <v>1</v>
      </c>
      <c r="G402" s="10" t="s">
        <v>61</v>
      </c>
      <c r="H402" s="10">
        <v>145000</v>
      </c>
      <c r="I402" s="10">
        <f t="shared" si="108"/>
        <v>145000</v>
      </c>
      <c r="J402" s="29" t="s">
        <v>113</v>
      </c>
      <c r="K402" s="10"/>
      <c r="L402" s="12">
        <f t="shared" si="109"/>
        <v>0</v>
      </c>
      <c r="M402" s="12"/>
      <c r="N402" s="12"/>
      <c r="O402" s="12">
        <f t="shared" si="110"/>
        <v>0</v>
      </c>
      <c r="P402" s="12"/>
      <c r="Q402" s="12"/>
      <c r="R402" s="12">
        <f t="shared" si="111"/>
        <v>0</v>
      </c>
      <c r="S402" s="12"/>
      <c r="T402" s="12"/>
      <c r="U402" s="12">
        <f t="shared" si="112"/>
        <v>145000</v>
      </c>
      <c r="V402" s="12">
        <v>145000</v>
      </c>
      <c r="W402" s="12"/>
      <c r="X402" s="12">
        <f t="shared" si="113"/>
        <v>0</v>
      </c>
      <c r="Y402" s="12"/>
      <c r="Z402" s="12"/>
      <c r="AA402" s="13">
        <f t="shared" si="114"/>
        <v>0</v>
      </c>
      <c r="AB402" s="14">
        <v>46037</v>
      </c>
    </row>
    <row r="403" spans="1:28" ht="15.75" hidden="1" x14ac:dyDescent="0.25">
      <c r="A403" s="65">
        <v>46037</v>
      </c>
      <c r="B403" s="10" t="s">
        <v>275</v>
      </c>
      <c r="C403" s="10"/>
      <c r="D403" s="10" t="s">
        <v>206</v>
      </c>
      <c r="E403" s="10" t="s">
        <v>107</v>
      </c>
      <c r="F403" s="10">
        <v>20</v>
      </c>
      <c r="G403" s="10" t="s">
        <v>36</v>
      </c>
      <c r="H403" s="10">
        <v>55000</v>
      </c>
      <c r="I403" s="10">
        <f t="shared" si="108"/>
        <v>1100000</v>
      </c>
      <c r="J403" s="29" t="s">
        <v>113</v>
      </c>
      <c r="K403" s="10"/>
      <c r="L403" s="12">
        <f t="shared" si="109"/>
        <v>1100000</v>
      </c>
      <c r="M403" s="12">
        <v>1100000</v>
      </c>
      <c r="N403" s="12"/>
      <c r="O403" s="12">
        <f t="shared" si="110"/>
        <v>0</v>
      </c>
      <c r="P403" s="12"/>
      <c r="Q403" s="12"/>
      <c r="R403" s="12">
        <f t="shared" si="111"/>
        <v>0</v>
      </c>
      <c r="S403" s="12"/>
      <c r="T403" s="12"/>
      <c r="U403" s="12">
        <f t="shared" si="112"/>
        <v>0</v>
      </c>
      <c r="V403" s="12"/>
      <c r="W403" s="12"/>
      <c r="X403" s="12">
        <f t="shared" si="113"/>
        <v>0</v>
      </c>
      <c r="Y403" s="12"/>
      <c r="Z403" s="12"/>
      <c r="AA403" s="13">
        <f t="shared" si="114"/>
        <v>0</v>
      </c>
      <c r="AB403" s="14">
        <v>46037</v>
      </c>
    </row>
    <row r="404" spans="1:28" ht="15.75" hidden="1" x14ac:dyDescent="0.25">
      <c r="A404" s="65">
        <v>46037</v>
      </c>
      <c r="B404" s="10" t="s">
        <v>321</v>
      </c>
      <c r="C404" s="10"/>
      <c r="D404" s="10" t="s">
        <v>32</v>
      </c>
      <c r="E404" s="10" t="s">
        <v>51</v>
      </c>
      <c r="F404" s="10">
        <v>1</v>
      </c>
      <c r="G404" s="96" t="s">
        <v>22</v>
      </c>
      <c r="H404" s="10">
        <v>400000</v>
      </c>
      <c r="I404" s="10">
        <f t="shared" si="108"/>
        <v>400000</v>
      </c>
      <c r="J404" s="29" t="s">
        <v>113</v>
      </c>
      <c r="K404" s="10"/>
      <c r="L404" s="12">
        <f t="shared" si="109"/>
        <v>400000</v>
      </c>
      <c r="M404" s="12">
        <v>400000</v>
      </c>
      <c r="N404" s="12"/>
      <c r="O404" s="12">
        <f t="shared" si="110"/>
        <v>0</v>
      </c>
      <c r="P404" s="12"/>
      <c r="Q404" s="12"/>
      <c r="R404" s="12">
        <f t="shared" si="111"/>
        <v>0</v>
      </c>
      <c r="S404" s="12"/>
      <c r="T404" s="12"/>
      <c r="U404" s="12">
        <f t="shared" si="112"/>
        <v>0</v>
      </c>
      <c r="V404" s="12"/>
      <c r="W404" s="12"/>
      <c r="X404" s="12">
        <f t="shared" si="113"/>
        <v>0</v>
      </c>
      <c r="Y404" s="12"/>
      <c r="Z404" s="12"/>
      <c r="AA404" s="13">
        <f t="shared" si="114"/>
        <v>0</v>
      </c>
      <c r="AB404" s="14">
        <v>46037</v>
      </c>
    </row>
    <row r="405" spans="1:28" ht="15.75" hidden="1" x14ac:dyDescent="0.25">
      <c r="A405" s="65">
        <v>46037</v>
      </c>
      <c r="B405" s="10" t="s">
        <v>322</v>
      </c>
      <c r="C405" s="10"/>
      <c r="D405" s="10" t="s">
        <v>206</v>
      </c>
      <c r="E405" s="10" t="s">
        <v>136</v>
      </c>
      <c r="F405" s="10">
        <v>23.5</v>
      </c>
      <c r="G405" s="96" t="s">
        <v>36</v>
      </c>
      <c r="H405" s="10">
        <v>43000</v>
      </c>
      <c r="I405" s="10">
        <f t="shared" si="108"/>
        <v>1010500</v>
      </c>
      <c r="J405" s="29" t="s">
        <v>110</v>
      </c>
      <c r="K405" s="10"/>
      <c r="L405" s="12">
        <f t="shared" si="109"/>
        <v>0</v>
      </c>
      <c r="M405" s="12"/>
      <c r="N405" s="12"/>
      <c r="O405" s="12">
        <f t="shared" si="110"/>
        <v>1010500</v>
      </c>
      <c r="P405" s="12">
        <v>1010500</v>
      </c>
      <c r="Q405" s="12"/>
      <c r="R405" s="12">
        <f t="shared" si="111"/>
        <v>0</v>
      </c>
      <c r="S405" s="12"/>
      <c r="T405" s="12"/>
      <c r="U405" s="12">
        <f t="shared" si="112"/>
        <v>0</v>
      </c>
      <c r="V405" s="12"/>
      <c r="W405" s="12"/>
      <c r="X405" s="12">
        <f t="shared" si="113"/>
        <v>0</v>
      </c>
      <c r="Y405" s="12"/>
      <c r="Z405" s="12"/>
      <c r="AA405" s="13">
        <f t="shared" si="114"/>
        <v>0</v>
      </c>
      <c r="AB405" s="14">
        <v>46037</v>
      </c>
    </row>
    <row r="406" spans="1:28" ht="15.75" hidden="1" x14ac:dyDescent="0.25">
      <c r="A406" s="65">
        <v>46037</v>
      </c>
      <c r="B406" s="10" t="s">
        <v>268</v>
      </c>
      <c r="C406" s="10"/>
      <c r="D406" s="10" t="s">
        <v>195</v>
      </c>
      <c r="E406" s="10" t="s">
        <v>211</v>
      </c>
      <c r="F406" s="10">
        <v>2.5</v>
      </c>
      <c r="G406" s="96" t="s">
        <v>36</v>
      </c>
      <c r="H406" s="10">
        <v>100000</v>
      </c>
      <c r="I406" s="10">
        <f t="shared" si="108"/>
        <v>250000</v>
      </c>
      <c r="J406" s="29" t="s">
        <v>110</v>
      </c>
      <c r="K406" s="10"/>
      <c r="L406" s="12">
        <f t="shared" si="109"/>
        <v>0</v>
      </c>
      <c r="M406" s="12"/>
      <c r="N406" s="12"/>
      <c r="O406" s="12">
        <f t="shared" si="110"/>
        <v>250000</v>
      </c>
      <c r="P406" s="12">
        <v>250000</v>
      </c>
      <c r="Q406" s="12"/>
      <c r="R406" s="12">
        <f t="shared" si="111"/>
        <v>0</v>
      </c>
      <c r="S406" s="12"/>
      <c r="T406" s="12"/>
      <c r="U406" s="12">
        <f t="shared" si="112"/>
        <v>0</v>
      </c>
      <c r="V406" s="12"/>
      <c r="W406" s="12"/>
      <c r="X406" s="12">
        <f t="shared" si="113"/>
        <v>0</v>
      </c>
      <c r="Y406" s="12"/>
      <c r="Z406" s="12"/>
      <c r="AA406" s="13">
        <f t="shared" si="114"/>
        <v>0</v>
      </c>
      <c r="AB406" s="14">
        <v>46037</v>
      </c>
    </row>
    <row r="407" spans="1:28" ht="15.75" hidden="1" x14ac:dyDescent="0.25">
      <c r="A407" s="65">
        <v>46037</v>
      </c>
      <c r="B407" s="10" t="s">
        <v>323</v>
      </c>
      <c r="C407" s="10"/>
      <c r="D407" s="10" t="s">
        <v>195</v>
      </c>
      <c r="E407" s="10" t="s">
        <v>107</v>
      </c>
      <c r="F407" s="10">
        <v>20</v>
      </c>
      <c r="G407" s="96" t="s">
        <v>36</v>
      </c>
      <c r="H407" s="10">
        <v>60000</v>
      </c>
      <c r="I407" s="10">
        <f t="shared" si="108"/>
        <v>1200000</v>
      </c>
      <c r="J407" s="29" t="s">
        <v>113</v>
      </c>
      <c r="K407" s="10"/>
      <c r="L407" s="12">
        <f t="shared" si="109"/>
        <v>0</v>
      </c>
      <c r="M407" s="12"/>
      <c r="N407" s="12"/>
      <c r="O407" s="12">
        <f t="shared" si="110"/>
        <v>0</v>
      </c>
      <c r="P407" s="12"/>
      <c r="Q407" s="12"/>
      <c r="R407" s="12">
        <f t="shared" si="111"/>
        <v>0</v>
      </c>
      <c r="S407" s="12"/>
      <c r="T407" s="12"/>
      <c r="U407" s="12">
        <f t="shared" si="112"/>
        <v>1200000</v>
      </c>
      <c r="V407" s="12">
        <v>1200000</v>
      </c>
      <c r="W407" s="12"/>
      <c r="X407" s="12">
        <f t="shared" si="113"/>
        <v>0</v>
      </c>
      <c r="Y407" s="12"/>
      <c r="Z407" s="12"/>
      <c r="AA407" s="13">
        <f t="shared" si="114"/>
        <v>0</v>
      </c>
      <c r="AB407" s="14">
        <v>46037</v>
      </c>
    </row>
    <row r="408" spans="1:28" ht="15.75" hidden="1" x14ac:dyDescent="0.25">
      <c r="A408" s="65">
        <v>46037</v>
      </c>
      <c r="B408" s="10" t="s">
        <v>32</v>
      </c>
      <c r="C408" s="10"/>
      <c r="D408" s="10" t="s">
        <v>32</v>
      </c>
      <c r="E408" s="10" t="s">
        <v>175</v>
      </c>
      <c r="F408" s="10">
        <v>400</v>
      </c>
      <c r="G408" s="96" t="s">
        <v>26</v>
      </c>
      <c r="H408" s="10">
        <v>900</v>
      </c>
      <c r="I408" s="10">
        <f t="shared" si="108"/>
        <v>360000</v>
      </c>
      <c r="J408" s="29" t="s">
        <v>110</v>
      </c>
      <c r="K408" s="10"/>
      <c r="L408" s="12">
        <f t="shared" si="109"/>
        <v>0</v>
      </c>
      <c r="M408" s="12"/>
      <c r="N408" s="12"/>
      <c r="O408" s="12">
        <f t="shared" si="110"/>
        <v>0</v>
      </c>
      <c r="P408" s="12"/>
      <c r="Q408" s="12"/>
      <c r="R408" s="12">
        <f t="shared" si="111"/>
        <v>360000</v>
      </c>
      <c r="S408" s="12">
        <v>360000</v>
      </c>
      <c r="T408" s="12"/>
      <c r="U408" s="12">
        <f t="shared" si="112"/>
        <v>0</v>
      </c>
      <c r="V408" s="12"/>
      <c r="W408" s="12"/>
      <c r="X408" s="12">
        <f t="shared" si="113"/>
        <v>0</v>
      </c>
      <c r="Y408" s="12"/>
      <c r="Z408" s="12"/>
      <c r="AA408" s="13">
        <f t="shared" si="114"/>
        <v>0</v>
      </c>
      <c r="AB408" s="14">
        <v>46037</v>
      </c>
    </row>
    <row r="409" spans="1:28" ht="15.75" hidden="1" x14ac:dyDescent="0.25">
      <c r="A409" s="65">
        <v>46037</v>
      </c>
      <c r="B409" s="10" t="s">
        <v>324</v>
      </c>
      <c r="C409" s="10"/>
      <c r="D409" s="10" t="s">
        <v>195</v>
      </c>
      <c r="E409" s="10" t="s">
        <v>138</v>
      </c>
      <c r="F409" s="10">
        <v>10</v>
      </c>
      <c r="G409" s="96" t="s">
        <v>61</v>
      </c>
      <c r="H409" s="10">
        <v>290000</v>
      </c>
      <c r="I409" s="10">
        <f t="shared" si="108"/>
        <v>2900000</v>
      </c>
      <c r="J409" s="29" t="s">
        <v>113</v>
      </c>
      <c r="K409" s="10"/>
      <c r="L409" s="12">
        <f t="shared" si="109"/>
        <v>0</v>
      </c>
      <c r="M409" s="12"/>
      <c r="N409" s="12"/>
      <c r="O409" s="12">
        <f t="shared" si="110"/>
        <v>0</v>
      </c>
      <c r="P409" s="12"/>
      <c r="Q409" s="12"/>
      <c r="R409" s="12">
        <f t="shared" si="111"/>
        <v>0</v>
      </c>
      <c r="S409" s="12"/>
      <c r="T409" s="12"/>
      <c r="U409" s="12">
        <f t="shared" si="112"/>
        <v>2900000</v>
      </c>
      <c r="V409" s="12">
        <v>2900000</v>
      </c>
      <c r="W409" s="12"/>
      <c r="X409" s="12">
        <f t="shared" si="113"/>
        <v>0</v>
      </c>
      <c r="Y409" s="12"/>
      <c r="Z409" s="12"/>
      <c r="AA409" s="13">
        <f t="shared" si="114"/>
        <v>0</v>
      </c>
      <c r="AB409" s="14">
        <v>46037</v>
      </c>
    </row>
    <row r="410" spans="1:28" ht="15.75" hidden="1" x14ac:dyDescent="0.25">
      <c r="A410" s="65">
        <v>46037</v>
      </c>
      <c r="B410" s="10" t="s">
        <v>246</v>
      </c>
      <c r="C410" s="10"/>
      <c r="D410" s="10" t="s">
        <v>206</v>
      </c>
      <c r="E410" s="10" t="s">
        <v>325</v>
      </c>
      <c r="F410" s="10">
        <v>12</v>
      </c>
      <c r="G410" s="96" t="s">
        <v>61</v>
      </c>
      <c r="H410" s="10">
        <v>145000</v>
      </c>
      <c r="I410" s="10">
        <f t="shared" si="108"/>
        <v>1740000</v>
      </c>
      <c r="J410" s="29" t="s">
        <v>110</v>
      </c>
      <c r="K410" s="10"/>
      <c r="L410" s="12">
        <f t="shared" si="109"/>
        <v>0</v>
      </c>
      <c r="M410" s="12"/>
      <c r="N410" s="12"/>
      <c r="O410" s="12">
        <f t="shared" si="110"/>
        <v>1740000</v>
      </c>
      <c r="P410" s="12">
        <v>1740000</v>
      </c>
      <c r="Q410" s="12"/>
      <c r="R410" s="12">
        <f t="shared" si="111"/>
        <v>0</v>
      </c>
      <c r="S410" s="12"/>
      <c r="T410" s="12"/>
      <c r="U410" s="12">
        <f t="shared" si="112"/>
        <v>0</v>
      </c>
      <c r="V410" s="12"/>
      <c r="W410" s="12"/>
      <c r="X410" s="12">
        <f t="shared" si="113"/>
        <v>0</v>
      </c>
      <c r="Y410" s="12"/>
      <c r="Z410" s="12"/>
      <c r="AA410" s="13">
        <f t="shared" si="114"/>
        <v>0</v>
      </c>
      <c r="AB410" s="14">
        <v>46037</v>
      </c>
    </row>
    <row r="411" spans="1:28" ht="15.75" hidden="1" x14ac:dyDescent="0.25">
      <c r="A411" s="28">
        <v>46037</v>
      </c>
      <c r="B411" s="10" t="s">
        <v>303</v>
      </c>
      <c r="C411" s="10"/>
      <c r="D411" s="10" t="s">
        <v>28</v>
      </c>
      <c r="E411" s="10" t="s">
        <v>116</v>
      </c>
      <c r="F411" s="10">
        <v>12</v>
      </c>
      <c r="G411" s="96" t="s">
        <v>67</v>
      </c>
      <c r="H411" s="10">
        <v>65000</v>
      </c>
      <c r="I411" s="10">
        <f t="shared" si="108"/>
        <v>780000</v>
      </c>
      <c r="J411" s="52" t="s">
        <v>90</v>
      </c>
      <c r="K411" s="87" t="s">
        <v>288</v>
      </c>
      <c r="L411" s="12">
        <f t="shared" si="109"/>
        <v>0</v>
      </c>
      <c r="M411" s="12"/>
      <c r="N411" s="12"/>
      <c r="O411" s="12">
        <f t="shared" si="110"/>
        <v>0</v>
      </c>
      <c r="P411" s="12"/>
      <c r="Q411" s="12"/>
      <c r="R411" s="12">
        <f t="shared" si="111"/>
        <v>0</v>
      </c>
      <c r="S411" s="12"/>
      <c r="T411" s="12"/>
      <c r="U411" s="12">
        <f t="shared" si="112"/>
        <v>0</v>
      </c>
      <c r="V411" s="12"/>
      <c r="W411" s="12"/>
      <c r="X411" s="12">
        <f t="shared" si="113"/>
        <v>0</v>
      </c>
      <c r="Y411" s="12"/>
      <c r="Z411" s="12"/>
      <c r="AA411" s="13">
        <f t="shared" si="114"/>
        <v>780000</v>
      </c>
      <c r="AB411" s="14"/>
    </row>
    <row r="412" spans="1:28" ht="16.5" hidden="1" thickBot="1" x14ac:dyDescent="0.3">
      <c r="A412" s="53">
        <v>46037</v>
      </c>
      <c r="B412" s="31" t="s">
        <v>56</v>
      </c>
      <c r="C412" s="31"/>
      <c r="D412" s="31" t="s">
        <v>28</v>
      </c>
      <c r="E412" s="31" t="s">
        <v>116</v>
      </c>
      <c r="F412" s="31">
        <v>12</v>
      </c>
      <c r="G412" s="97" t="s">
        <v>67</v>
      </c>
      <c r="H412" s="31">
        <v>65000</v>
      </c>
      <c r="I412" s="31">
        <f t="shared" si="108"/>
        <v>780000</v>
      </c>
      <c r="J412" s="64" t="s">
        <v>90</v>
      </c>
      <c r="K412" s="99" t="s">
        <v>288</v>
      </c>
      <c r="L412" s="34">
        <f t="shared" si="109"/>
        <v>0</v>
      </c>
      <c r="M412" s="34"/>
      <c r="N412" s="34"/>
      <c r="O412" s="34">
        <f t="shared" si="110"/>
        <v>0</v>
      </c>
      <c r="P412" s="34"/>
      <c r="Q412" s="34"/>
      <c r="R412" s="34">
        <f t="shared" si="111"/>
        <v>0</v>
      </c>
      <c r="S412" s="34"/>
      <c r="T412" s="34"/>
      <c r="U412" s="34">
        <f t="shared" si="112"/>
        <v>0</v>
      </c>
      <c r="V412" s="34"/>
      <c r="W412" s="34"/>
      <c r="X412" s="34">
        <f t="shared" si="113"/>
        <v>0</v>
      </c>
      <c r="Y412" s="34"/>
      <c r="Z412" s="34"/>
      <c r="AA412" s="35">
        <f t="shared" si="114"/>
        <v>780000</v>
      </c>
      <c r="AB412" s="36"/>
    </row>
    <row r="413" spans="1:28" ht="15.75" hidden="1" x14ac:dyDescent="0.25">
      <c r="A413" s="65">
        <v>46038</v>
      </c>
      <c r="B413" s="66" t="s">
        <v>267</v>
      </c>
      <c r="C413" s="66"/>
      <c r="D413" s="66" t="s">
        <v>32</v>
      </c>
      <c r="E413" s="66" t="s">
        <v>164</v>
      </c>
      <c r="F413" s="66">
        <v>17.100000000000001</v>
      </c>
      <c r="G413" s="98" t="s">
        <v>36</v>
      </c>
      <c r="H413" s="66">
        <v>43000</v>
      </c>
      <c r="I413" s="10">
        <f t="shared" si="108"/>
        <v>735300.00000000012</v>
      </c>
      <c r="J413" s="84" t="s">
        <v>113</v>
      </c>
      <c r="K413" s="66"/>
      <c r="L413" s="12">
        <f t="shared" si="109"/>
        <v>335300</v>
      </c>
      <c r="M413" s="12">
        <v>335300</v>
      </c>
      <c r="N413" s="12"/>
      <c r="O413" s="12">
        <f t="shared" si="110"/>
        <v>0</v>
      </c>
      <c r="P413" s="12"/>
      <c r="Q413" s="12"/>
      <c r="R413" s="12">
        <f t="shared" si="111"/>
        <v>0</v>
      </c>
      <c r="S413" s="12"/>
      <c r="T413" s="12"/>
      <c r="U413" s="12">
        <f t="shared" si="112"/>
        <v>400000</v>
      </c>
      <c r="V413" s="12">
        <v>400000</v>
      </c>
      <c r="W413" s="12"/>
      <c r="X413" s="12">
        <f t="shared" si="113"/>
        <v>0</v>
      </c>
      <c r="Y413" s="12"/>
      <c r="Z413" s="12"/>
      <c r="AA413" s="13">
        <f t="shared" si="114"/>
        <v>1.1641532182693481E-10</v>
      </c>
      <c r="AB413" s="14">
        <v>46037</v>
      </c>
    </row>
    <row r="414" spans="1:28" ht="15.75" hidden="1" x14ac:dyDescent="0.25">
      <c r="A414" s="65">
        <v>46038</v>
      </c>
      <c r="B414" s="10" t="s">
        <v>196</v>
      </c>
      <c r="C414" s="10"/>
      <c r="D414" s="10" t="s">
        <v>28</v>
      </c>
      <c r="E414" s="10" t="s">
        <v>189</v>
      </c>
      <c r="F414" s="10">
        <v>5</v>
      </c>
      <c r="G414" s="96" t="s">
        <v>61</v>
      </c>
      <c r="H414" s="10">
        <v>300000</v>
      </c>
      <c r="I414" s="10">
        <f t="shared" si="108"/>
        <v>1500000</v>
      </c>
      <c r="J414" s="29" t="s">
        <v>110</v>
      </c>
      <c r="K414" s="10" t="s">
        <v>202</v>
      </c>
      <c r="L414" s="12">
        <f t="shared" si="109"/>
        <v>0</v>
      </c>
      <c r="M414" s="12"/>
      <c r="N414" s="12"/>
      <c r="O414" s="12">
        <f t="shared" si="110"/>
        <v>1500000</v>
      </c>
      <c r="P414" s="12">
        <v>1500000</v>
      </c>
      <c r="Q414" s="12"/>
      <c r="R414" s="12">
        <f t="shared" si="111"/>
        <v>0</v>
      </c>
      <c r="S414" s="12"/>
      <c r="T414" s="12"/>
      <c r="U414" s="12">
        <f t="shared" si="112"/>
        <v>0</v>
      </c>
      <c r="V414" s="12"/>
      <c r="W414" s="12"/>
      <c r="X414" s="12">
        <f t="shared" si="113"/>
        <v>0</v>
      </c>
      <c r="Y414" s="12"/>
      <c r="Z414" s="12"/>
      <c r="AA414" s="13">
        <f t="shared" si="114"/>
        <v>0</v>
      </c>
      <c r="AB414" s="14">
        <v>46043</v>
      </c>
    </row>
    <row r="415" spans="1:28" ht="15.75" hidden="1" x14ac:dyDescent="0.25">
      <c r="A415" s="65">
        <v>46038</v>
      </c>
      <c r="B415" s="10" t="s">
        <v>172</v>
      </c>
      <c r="C415" s="10"/>
      <c r="D415" s="10" t="s">
        <v>195</v>
      </c>
      <c r="E415" s="10" t="s">
        <v>186</v>
      </c>
      <c r="F415" s="10">
        <v>8</v>
      </c>
      <c r="G415" s="10" t="s">
        <v>22</v>
      </c>
      <c r="H415" s="10">
        <v>1200000</v>
      </c>
      <c r="I415" s="10">
        <f t="shared" si="108"/>
        <v>9600000</v>
      </c>
      <c r="J415" s="52" t="s">
        <v>90</v>
      </c>
      <c r="K415" s="87" t="s">
        <v>251</v>
      </c>
      <c r="L415" s="12">
        <f t="shared" ref="L415:L440" si="115">M415+N415</f>
        <v>0</v>
      </c>
      <c r="M415" s="12"/>
      <c r="N415" s="12"/>
      <c r="O415" s="12">
        <f t="shared" ref="O415:O440" si="116">P415+Q415</f>
        <v>0</v>
      </c>
      <c r="P415" s="12"/>
      <c r="Q415" s="12"/>
      <c r="R415" s="12">
        <f t="shared" ref="R415:R440" si="117">S415+T415</f>
        <v>0</v>
      </c>
      <c r="S415" s="12"/>
      <c r="T415" s="12"/>
      <c r="U415" s="12">
        <f t="shared" ref="U415:U440" si="118">V415+W415</f>
        <v>0</v>
      </c>
      <c r="V415" s="12"/>
      <c r="W415" s="12"/>
      <c r="X415" s="12">
        <f t="shared" ref="X415:X440" si="119">Y415+Z415</f>
        <v>0</v>
      </c>
      <c r="Y415" s="12"/>
      <c r="Z415" s="12"/>
      <c r="AA415" s="13">
        <f t="shared" ref="AA415:AA440" si="120">C415+I415-L415-O415-U415-X415-R415</f>
        <v>9600000</v>
      </c>
      <c r="AB415" s="14"/>
    </row>
    <row r="416" spans="1:28" ht="15.75" hidden="1" x14ac:dyDescent="0.25">
      <c r="A416" s="65">
        <v>46038</v>
      </c>
      <c r="B416" s="10" t="s">
        <v>327</v>
      </c>
      <c r="C416" s="10"/>
      <c r="D416" s="10" t="s">
        <v>28</v>
      </c>
      <c r="E416" s="10" t="s">
        <v>104</v>
      </c>
      <c r="F416" s="10">
        <v>2000</v>
      </c>
      <c r="G416" s="10" t="s">
        <v>26</v>
      </c>
      <c r="H416" s="10">
        <v>2000</v>
      </c>
      <c r="I416" s="10">
        <f t="shared" si="108"/>
        <v>4000000</v>
      </c>
      <c r="J416" s="29" t="s">
        <v>110</v>
      </c>
      <c r="K416" s="10" t="s">
        <v>188</v>
      </c>
      <c r="L416" s="12">
        <f t="shared" si="115"/>
        <v>0</v>
      </c>
      <c r="M416" s="12"/>
      <c r="N416" s="12"/>
      <c r="O416" s="12">
        <f t="shared" si="116"/>
        <v>4000000</v>
      </c>
      <c r="P416" s="12">
        <v>4000000</v>
      </c>
      <c r="Q416" s="12"/>
      <c r="R416" s="12">
        <f t="shared" si="117"/>
        <v>0</v>
      </c>
      <c r="S416" s="12"/>
      <c r="T416" s="12"/>
      <c r="U416" s="12">
        <f t="shared" si="118"/>
        <v>0</v>
      </c>
      <c r="V416" s="12"/>
      <c r="W416" s="12"/>
      <c r="X416" s="12">
        <f t="shared" si="119"/>
        <v>0</v>
      </c>
      <c r="Y416" s="12"/>
      <c r="Z416" s="12"/>
      <c r="AA416" s="13">
        <f t="shared" si="120"/>
        <v>0</v>
      </c>
      <c r="AB416" s="14">
        <v>46041</v>
      </c>
    </row>
    <row r="417" spans="1:28" ht="15.75" hidden="1" x14ac:dyDescent="0.25">
      <c r="A417" s="65">
        <v>46038</v>
      </c>
      <c r="B417" s="10" t="s">
        <v>328</v>
      </c>
      <c r="C417" s="10"/>
      <c r="D417" s="10" t="s">
        <v>206</v>
      </c>
      <c r="E417" s="10" t="s">
        <v>65</v>
      </c>
      <c r="F417" s="10">
        <v>200</v>
      </c>
      <c r="G417" s="10" t="s">
        <v>26</v>
      </c>
      <c r="H417" s="10">
        <v>4600</v>
      </c>
      <c r="I417" s="10">
        <f t="shared" si="108"/>
        <v>920000</v>
      </c>
      <c r="J417" s="29" t="s">
        <v>113</v>
      </c>
      <c r="K417" s="10"/>
      <c r="L417" s="12">
        <f t="shared" si="115"/>
        <v>0</v>
      </c>
      <c r="M417" s="12"/>
      <c r="N417" s="12"/>
      <c r="O417" s="12">
        <f t="shared" si="116"/>
        <v>0</v>
      </c>
      <c r="P417" s="12"/>
      <c r="Q417" s="12"/>
      <c r="R417" s="12">
        <f t="shared" si="117"/>
        <v>0</v>
      </c>
      <c r="S417" s="12"/>
      <c r="T417" s="12"/>
      <c r="U417" s="12">
        <f t="shared" si="118"/>
        <v>920000</v>
      </c>
      <c r="V417" s="12">
        <v>920000</v>
      </c>
      <c r="W417" s="12"/>
      <c r="X417" s="12">
        <f t="shared" si="119"/>
        <v>0</v>
      </c>
      <c r="Y417" s="12"/>
      <c r="Z417" s="12"/>
      <c r="AA417" s="13">
        <f t="shared" si="120"/>
        <v>0</v>
      </c>
      <c r="AB417" s="14">
        <v>46037</v>
      </c>
    </row>
    <row r="418" spans="1:28" ht="15.75" hidden="1" x14ac:dyDescent="0.25">
      <c r="A418" s="65">
        <v>46038</v>
      </c>
      <c r="B418" s="10" t="s">
        <v>329</v>
      </c>
      <c r="C418" s="10"/>
      <c r="D418" s="10" t="s">
        <v>195</v>
      </c>
      <c r="E418" s="10" t="s">
        <v>114</v>
      </c>
      <c r="F418" s="10">
        <v>10</v>
      </c>
      <c r="G418" s="10" t="s">
        <v>67</v>
      </c>
      <c r="H418" s="10">
        <v>50000</v>
      </c>
      <c r="I418" s="10">
        <f t="shared" si="108"/>
        <v>500000</v>
      </c>
      <c r="J418" s="29" t="s">
        <v>113</v>
      </c>
      <c r="K418" s="10"/>
      <c r="L418" s="12">
        <f t="shared" si="115"/>
        <v>0</v>
      </c>
      <c r="M418" s="12"/>
      <c r="N418" s="12"/>
      <c r="O418" s="12">
        <f t="shared" si="116"/>
        <v>0</v>
      </c>
      <c r="P418" s="12"/>
      <c r="Q418" s="12"/>
      <c r="R418" s="12">
        <f t="shared" si="117"/>
        <v>0</v>
      </c>
      <c r="S418" s="12"/>
      <c r="T418" s="12"/>
      <c r="U418" s="12">
        <f t="shared" si="118"/>
        <v>500000</v>
      </c>
      <c r="V418" s="12">
        <v>500000</v>
      </c>
      <c r="W418" s="12"/>
      <c r="X418" s="12">
        <f t="shared" si="119"/>
        <v>0</v>
      </c>
      <c r="Y418" s="12"/>
      <c r="Z418" s="12"/>
      <c r="AA418" s="13">
        <f t="shared" si="120"/>
        <v>0</v>
      </c>
      <c r="AB418" s="14">
        <v>46038</v>
      </c>
    </row>
    <row r="419" spans="1:28" ht="15.75" hidden="1" x14ac:dyDescent="0.25">
      <c r="A419" s="65">
        <v>46038</v>
      </c>
      <c r="B419" s="10" t="s">
        <v>330</v>
      </c>
      <c r="C419" s="10"/>
      <c r="D419" s="10" t="s">
        <v>206</v>
      </c>
      <c r="E419" s="10" t="s">
        <v>114</v>
      </c>
      <c r="F419" s="10">
        <v>20</v>
      </c>
      <c r="G419" s="10" t="s">
        <v>67</v>
      </c>
      <c r="H419" s="10">
        <v>50000</v>
      </c>
      <c r="I419" s="10">
        <f t="shared" si="108"/>
        <v>1000000</v>
      </c>
      <c r="J419" s="29" t="s">
        <v>113</v>
      </c>
      <c r="K419" s="10"/>
      <c r="L419" s="12">
        <f t="shared" si="115"/>
        <v>0</v>
      </c>
      <c r="M419" s="12"/>
      <c r="N419" s="12"/>
      <c r="O419" s="12">
        <f t="shared" si="116"/>
        <v>0</v>
      </c>
      <c r="P419" s="12"/>
      <c r="Q419" s="12"/>
      <c r="R419" s="12">
        <f t="shared" si="117"/>
        <v>0</v>
      </c>
      <c r="S419" s="12"/>
      <c r="T419" s="12"/>
      <c r="U419" s="12">
        <f t="shared" si="118"/>
        <v>1000000</v>
      </c>
      <c r="V419" s="12">
        <v>1000000</v>
      </c>
      <c r="W419" s="12"/>
      <c r="X419" s="12">
        <f t="shared" si="119"/>
        <v>0</v>
      </c>
      <c r="Y419" s="12"/>
      <c r="Z419" s="12"/>
      <c r="AA419" s="13">
        <f t="shared" si="120"/>
        <v>0</v>
      </c>
      <c r="AB419" s="14">
        <v>46038</v>
      </c>
    </row>
    <row r="420" spans="1:28" ht="15.75" hidden="1" x14ac:dyDescent="0.25">
      <c r="A420" s="65">
        <v>46038</v>
      </c>
      <c r="B420" s="10" t="s">
        <v>331</v>
      </c>
      <c r="C420" s="10"/>
      <c r="D420" s="10" t="s">
        <v>206</v>
      </c>
      <c r="E420" s="10" t="s">
        <v>25</v>
      </c>
      <c r="F420" s="10">
        <v>400</v>
      </c>
      <c r="G420" s="10" t="s">
        <v>26</v>
      </c>
      <c r="H420" s="10">
        <v>2700</v>
      </c>
      <c r="I420" s="10">
        <f t="shared" si="108"/>
        <v>1080000</v>
      </c>
      <c r="J420" s="29" t="s">
        <v>113</v>
      </c>
      <c r="K420" s="10"/>
      <c r="L420" s="12">
        <f t="shared" si="115"/>
        <v>0</v>
      </c>
      <c r="M420" s="12"/>
      <c r="N420" s="12"/>
      <c r="O420" s="12">
        <f t="shared" si="116"/>
        <v>0</v>
      </c>
      <c r="P420" s="12"/>
      <c r="Q420" s="12"/>
      <c r="R420" s="12">
        <f t="shared" si="117"/>
        <v>0</v>
      </c>
      <c r="S420" s="12"/>
      <c r="T420" s="12"/>
      <c r="U420" s="12">
        <f t="shared" si="118"/>
        <v>1080000</v>
      </c>
      <c r="V420" s="12">
        <v>1080000</v>
      </c>
      <c r="W420" s="12"/>
      <c r="X420" s="12">
        <f t="shared" si="119"/>
        <v>0</v>
      </c>
      <c r="Y420" s="12"/>
      <c r="Z420" s="12"/>
      <c r="AA420" s="13">
        <f t="shared" si="120"/>
        <v>0</v>
      </c>
      <c r="AB420" s="14">
        <v>46038</v>
      </c>
    </row>
    <row r="421" spans="1:28" ht="15.75" hidden="1" x14ac:dyDescent="0.25">
      <c r="A421" s="65">
        <v>46038</v>
      </c>
      <c r="B421" s="10" t="s">
        <v>77</v>
      </c>
      <c r="C421" s="10"/>
      <c r="D421" s="10" t="s">
        <v>32</v>
      </c>
      <c r="E421" s="10" t="s">
        <v>78</v>
      </c>
      <c r="F421" s="10">
        <v>6</v>
      </c>
      <c r="G421" s="10" t="s">
        <v>61</v>
      </c>
      <c r="H421" s="10">
        <v>250000</v>
      </c>
      <c r="I421" s="10">
        <f t="shared" si="108"/>
        <v>1500000</v>
      </c>
      <c r="J421" s="29" t="s">
        <v>110</v>
      </c>
      <c r="K421" s="95" t="s">
        <v>188</v>
      </c>
      <c r="L421" s="12">
        <f t="shared" si="115"/>
        <v>0</v>
      </c>
      <c r="M421" s="12"/>
      <c r="N421" s="12"/>
      <c r="O421" s="12">
        <f t="shared" si="116"/>
        <v>1500000</v>
      </c>
      <c r="P421" s="12">
        <f>1250000+250000</f>
        <v>1500000</v>
      </c>
      <c r="Q421" s="12"/>
      <c r="R421" s="12">
        <f t="shared" si="117"/>
        <v>0</v>
      </c>
      <c r="S421" s="12"/>
      <c r="T421" s="12"/>
      <c r="U421" s="12">
        <f t="shared" si="118"/>
        <v>0</v>
      </c>
      <c r="V421" s="12"/>
      <c r="W421" s="12"/>
      <c r="X421" s="12">
        <f t="shared" si="119"/>
        <v>0</v>
      </c>
      <c r="Y421" s="12"/>
      <c r="Z421" s="12"/>
      <c r="AA421" s="13">
        <f t="shared" si="120"/>
        <v>0</v>
      </c>
      <c r="AB421" s="14">
        <v>46044</v>
      </c>
    </row>
    <row r="422" spans="1:28" ht="15.75" hidden="1" x14ac:dyDescent="0.25">
      <c r="A422" s="65">
        <v>46038</v>
      </c>
      <c r="B422" s="10" t="s">
        <v>275</v>
      </c>
      <c r="C422" s="10"/>
      <c r="D422" s="10" t="s">
        <v>195</v>
      </c>
      <c r="E422" s="10" t="s">
        <v>107</v>
      </c>
      <c r="F422" s="10">
        <v>20</v>
      </c>
      <c r="G422" s="10" t="s">
        <v>36</v>
      </c>
      <c r="H422" s="10">
        <v>55000</v>
      </c>
      <c r="I422" s="10">
        <f t="shared" si="108"/>
        <v>1100000</v>
      </c>
      <c r="J422" s="29" t="s">
        <v>113</v>
      </c>
      <c r="K422" s="10"/>
      <c r="L422" s="12">
        <f t="shared" si="115"/>
        <v>1100000</v>
      </c>
      <c r="M422" s="12">
        <v>1100000</v>
      </c>
      <c r="N422" s="12"/>
      <c r="O422" s="12">
        <f t="shared" si="116"/>
        <v>0</v>
      </c>
      <c r="P422" s="12"/>
      <c r="Q422" s="12"/>
      <c r="R422" s="12">
        <f t="shared" si="117"/>
        <v>0</v>
      </c>
      <c r="S422" s="12"/>
      <c r="T422" s="12"/>
      <c r="U422" s="12">
        <f t="shared" si="118"/>
        <v>0</v>
      </c>
      <c r="V422" s="12"/>
      <c r="W422" s="12"/>
      <c r="X422" s="12">
        <f t="shared" si="119"/>
        <v>0</v>
      </c>
      <c r="Y422" s="12"/>
      <c r="Z422" s="12"/>
      <c r="AA422" s="13">
        <f t="shared" si="120"/>
        <v>0</v>
      </c>
      <c r="AB422" s="14">
        <v>46038</v>
      </c>
    </row>
    <row r="423" spans="1:28" ht="15.75" hidden="1" x14ac:dyDescent="0.25">
      <c r="A423" s="65">
        <v>46038</v>
      </c>
      <c r="B423" s="10" t="s">
        <v>245</v>
      </c>
      <c r="C423" s="10"/>
      <c r="D423" s="10" t="s">
        <v>195</v>
      </c>
      <c r="E423" s="10" t="s">
        <v>136</v>
      </c>
      <c r="F423" s="10">
        <v>49.2</v>
      </c>
      <c r="G423" s="10" t="s">
        <v>36</v>
      </c>
      <c r="H423" s="10">
        <v>43000</v>
      </c>
      <c r="I423" s="10">
        <f t="shared" si="108"/>
        <v>2115600</v>
      </c>
      <c r="J423" s="29" t="s">
        <v>110</v>
      </c>
      <c r="K423" s="10"/>
      <c r="L423" s="12">
        <f t="shared" si="115"/>
        <v>0</v>
      </c>
      <c r="M423" s="12"/>
      <c r="N423" s="12"/>
      <c r="O423" s="12">
        <f t="shared" si="116"/>
        <v>2115600</v>
      </c>
      <c r="P423" s="12">
        <v>2115600</v>
      </c>
      <c r="Q423" s="12"/>
      <c r="R423" s="12">
        <f t="shared" si="117"/>
        <v>0</v>
      </c>
      <c r="S423" s="12"/>
      <c r="T423" s="12"/>
      <c r="U423" s="12">
        <f t="shared" si="118"/>
        <v>0</v>
      </c>
      <c r="V423" s="12"/>
      <c r="W423" s="12"/>
      <c r="X423" s="12">
        <f t="shared" si="119"/>
        <v>0</v>
      </c>
      <c r="Y423" s="12"/>
      <c r="Z423" s="12"/>
      <c r="AA423" s="13">
        <f t="shared" si="120"/>
        <v>0</v>
      </c>
      <c r="AB423" s="14">
        <v>46038</v>
      </c>
    </row>
    <row r="424" spans="1:28" ht="15.75" hidden="1" x14ac:dyDescent="0.25">
      <c r="A424" s="65">
        <v>46038</v>
      </c>
      <c r="B424" s="10" t="s">
        <v>245</v>
      </c>
      <c r="C424" s="10"/>
      <c r="D424" s="10" t="s">
        <v>195</v>
      </c>
      <c r="E424" s="10" t="s">
        <v>80</v>
      </c>
      <c r="F424" s="10">
        <v>21.3</v>
      </c>
      <c r="G424" s="10" t="s">
        <v>36</v>
      </c>
      <c r="H424" s="10">
        <v>43000</v>
      </c>
      <c r="I424" s="10">
        <f t="shared" si="108"/>
        <v>915900</v>
      </c>
      <c r="J424" s="29" t="s">
        <v>110</v>
      </c>
      <c r="K424" s="10"/>
      <c r="L424" s="12">
        <f t="shared" si="115"/>
        <v>0</v>
      </c>
      <c r="M424" s="12"/>
      <c r="N424" s="12"/>
      <c r="O424" s="12">
        <f t="shared" si="116"/>
        <v>915900</v>
      </c>
      <c r="P424" s="12">
        <v>915900</v>
      </c>
      <c r="Q424" s="12"/>
      <c r="R424" s="12">
        <f t="shared" si="117"/>
        <v>0</v>
      </c>
      <c r="S424" s="12"/>
      <c r="T424" s="12"/>
      <c r="U424" s="12">
        <f t="shared" si="118"/>
        <v>0</v>
      </c>
      <c r="V424" s="12"/>
      <c r="W424" s="12"/>
      <c r="X424" s="12">
        <f t="shared" si="119"/>
        <v>0</v>
      </c>
      <c r="Y424" s="12"/>
      <c r="Z424" s="12"/>
      <c r="AA424" s="13">
        <f t="shared" si="120"/>
        <v>0</v>
      </c>
      <c r="AB424" s="14">
        <v>46038</v>
      </c>
    </row>
    <row r="425" spans="1:28" ht="15.75" hidden="1" x14ac:dyDescent="0.25">
      <c r="A425" s="65">
        <v>46038</v>
      </c>
      <c r="B425" s="10" t="s">
        <v>332</v>
      </c>
      <c r="C425" s="10"/>
      <c r="D425" s="10" t="s">
        <v>28</v>
      </c>
      <c r="E425" s="10" t="s">
        <v>191</v>
      </c>
      <c r="F425" s="10">
        <v>2</v>
      </c>
      <c r="G425" s="10" t="s">
        <v>192</v>
      </c>
      <c r="H425" s="10">
        <v>900000</v>
      </c>
      <c r="I425" s="10">
        <f t="shared" si="108"/>
        <v>1800000</v>
      </c>
      <c r="J425" s="29" t="s">
        <v>110</v>
      </c>
      <c r="K425" s="10"/>
      <c r="L425" s="12">
        <f t="shared" si="115"/>
        <v>0</v>
      </c>
      <c r="M425" s="12"/>
      <c r="N425" s="12"/>
      <c r="O425" s="12">
        <f t="shared" si="116"/>
        <v>0</v>
      </c>
      <c r="P425" s="12"/>
      <c r="Q425" s="12"/>
      <c r="R425" s="12">
        <f t="shared" si="117"/>
        <v>1800000</v>
      </c>
      <c r="S425" s="12">
        <v>1800000</v>
      </c>
      <c r="T425" s="12"/>
      <c r="U425" s="12">
        <f t="shared" si="118"/>
        <v>0</v>
      </c>
      <c r="V425" s="12"/>
      <c r="W425" s="12"/>
      <c r="X425" s="12">
        <f t="shared" si="119"/>
        <v>0</v>
      </c>
      <c r="Y425" s="12"/>
      <c r="Z425" s="12"/>
      <c r="AA425" s="13">
        <f t="shared" si="120"/>
        <v>0</v>
      </c>
      <c r="AB425" s="14">
        <v>46038</v>
      </c>
    </row>
    <row r="426" spans="1:28" ht="15.75" hidden="1" x14ac:dyDescent="0.25">
      <c r="A426" s="65">
        <v>46038</v>
      </c>
      <c r="B426" s="10" t="s">
        <v>333</v>
      </c>
      <c r="C426" s="10"/>
      <c r="D426" s="10" t="s">
        <v>28</v>
      </c>
      <c r="E426" s="10" t="s">
        <v>167</v>
      </c>
      <c r="F426" s="10">
        <v>2.5</v>
      </c>
      <c r="G426" s="10" t="s">
        <v>36</v>
      </c>
      <c r="H426" s="10">
        <v>90000</v>
      </c>
      <c r="I426" s="10">
        <f t="shared" si="108"/>
        <v>225000</v>
      </c>
      <c r="J426" s="29" t="s">
        <v>113</v>
      </c>
      <c r="K426" s="10"/>
      <c r="L426" s="12">
        <f t="shared" si="115"/>
        <v>225000</v>
      </c>
      <c r="M426" s="12">
        <v>225000</v>
      </c>
      <c r="N426" s="12"/>
      <c r="O426" s="12">
        <f t="shared" si="116"/>
        <v>0</v>
      </c>
      <c r="P426" s="12"/>
      <c r="Q426" s="12"/>
      <c r="R426" s="12">
        <f t="shared" si="117"/>
        <v>0</v>
      </c>
      <c r="S426" s="12"/>
      <c r="T426" s="12"/>
      <c r="U426" s="12">
        <f t="shared" si="118"/>
        <v>0</v>
      </c>
      <c r="V426" s="12"/>
      <c r="W426" s="12"/>
      <c r="X426" s="12">
        <f t="shared" si="119"/>
        <v>0</v>
      </c>
      <c r="Y426" s="12"/>
      <c r="Z426" s="12"/>
      <c r="AA426" s="13">
        <f t="shared" si="120"/>
        <v>0</v>
      </c>
      <c r="AB426" s="14">
        <v>46038</v>
      </c>
    </row>
    <row r="427" spans="1:28" ht="15.75" hidden="1" x14ac:dyDescent="0.25">
      <c r="A427" s="65">
        <v>46038</v>
      </c>
      <c r="B427" s="10" t="s">
        <v>230</v>
      </c>
      <c r="C427" s="10"/>
      <c r="D427" s="10" t="s">
        <v>195</v>
      </c>
      <c r="E427" s="10" t="s">
        <v>98</v>
      </c>
      <c r="F427" s="10">
        <v>2000</v>
      </c>
      <c r="G427" s="10" t="s">
        <v>26</v>
      </c>
      <c r="H427" s="10">
        <v>1800</v>
      </c>
      <c r="I427" s="10">
        <f t="shared" si="108"/>
        <v>3600000</v>
      </c>
      <c r="J427" s="52" t="s">
        <v>90</v>
      </c>
      <c r="K427" s="88" t="s">
        <v>188</v>
      </c>
      <c r="L427" s="12">
        <f t="shared" si="115"/>
        <v>0</v>
      </c>
      <c r="M427" s="12"/>
      <c r="N427" s="12"/>
      <c r="O427" s="12">
        <f t="shared" si="116"/>
        <v>0</v>
      </c>
      <c r="P427" s="12"/>
      <c r="Q427" s="12"/>
      <c r="R427" s="12">
        <f t="shared" si="117"/>
        <v>1280000</v>
      </c>
      <c r="S427" s="12">
        <v>1280000</v>
      </c>
      <c r="T427" s="12"/>
      <c r="U427" s="12">
        <f t="shared" si="118"/>
        <v>0</v>
      </c>
      <c r="V427" s="12"/>
      <c r="W427" s="12"/>
      <c r="X427" s="12">
        <f t="shared" si="119"/>
        <v>0</v>
      </c>
      <c r="Y427" s="12"/>
      <c r="Z427" s="12"/>
      <c r="AA427" s="13">
        <f t="shared" si="120"/>
        <v>2320000</v>
      </c>
      <c r="AB427" s="14">
        <v>46041</v>
      </c>
    </row>
    <row r="428" spans="1:28" ht="15.75" hidden="1" x14ac:dyDescent="0.25">
      <c r="A428" s="65">
        <v>46038</v>
      </c>
      <c r="B428" s="10" t="s">
        <v>267</v>
      </c>
      <c r="C428" s="10"/>
      <c r="D428" s="10" t="s">
        <v>206</v>
      </c>
      <c r="E428" s="10" t="s">
        <v>116</v>
      </c>
      <c r="F428" s="10">
        <v>4</v>
      </c>
      <c r="G428" s="10" t="s">
        <v>67</v>
      </c>
      <c r="H428" s="10">
        <v>65000</v>
      </c>
      <c r="I428" s="10">
        <f t="shared" si="108"/>
        <v>260000</v>
      </c>
      <c r="J428" s="29" t="s">
        <v>113</v>
      </c>
      <c r="K428" s="10"/>
      <c r="L428" s="12">
        <f t="shared" si="115"/>
        <v>260000</v>
      </c>
      <c r="M428" s="12">
        <v>260000</v>
      </c>
      <c r="N428" s="12"/>
      <c r="O428" s="12">
        <f t="shared" si="116"/>
        <v>0</v>
      </c>
      <c r="P428" s="12"/>
      <c r="Q428" s="12"/>
      <c r="R428" s="12">
        <f t="shared" si="117"/>
        <v>0</v>
      </c>
      <c r="S428" s="12"/>
      <c r="T428" s="12"/>
      <c r="U428" s="12">
        <f t="shared" si="118"/>
        <v>0</v>
      </c>
      <c r="V428" s="12"/>
      <c r="W428" s="12"/>
      <c r="X428" s="12">
        <f t="shared" si="119"/>
        <v>0</v>
      </c>
      <c r="Y428" s="12"/>
      <c r="Z428" s="12"/>
      <c r="AA428" s="13">
        <f t="shared" si="120"/>
        <v>0</v>
      </c>
      <c r="AB428" s="14">
        <v>46038</v>
      </c>
    </row>
    <row r="429" spans="1:28" ht="15.75" hidden="1" x14ac:dyDescent="0.25">
      <c r="A429" s="65">
        <v>46038</v>
      </c>
      <c r="B429" s="10" t="s">
        <v>267</v>
      </c>
      <c r="C429" s="10"/>
      <c r="D429" s="10" t="s">
        <v>206</v>
      </c>
      <c r="E429" s="10" t="s">
        <v>300</v>
      </c>
      <c r="F429" s="10">
        <v>2</v>
      </c>
      <c r="G429" s="10" t="s">
        <v>61</v>
      </c>
      <c r="H429" s="10">
        <v>145000</v>
      </c>
      <c r="I429" s="10">
        <f t="shared" si="108"/>
        <v>290000</v>
      </c>
      <c r="J429" s="29" t="s">
        <v>113</v>
      </c>
      <c r="K429" s="10"/>
      <c r="L429" s="12">
        <f t="shared" si="115"/>
        <v>290000</v>
      </c>
      <c r="M429" s="12">
        <v>290000</v>
      </c>
      <c r="N429" s="12"/>
      <c r="O429" s="12">
        <f t="shared" si="116"/>
        <v>0</v>
      </c>
      <c r="P429" s="12"/>
      <c r="Q429" s="12"/>
      <c r="R429" s="12">
        <f t="shared" si="117"/>
        <v>0</v>
      </c>
      <c r="S429" s="12"/>
      <c r="T429" s="12"/>
      <c r="U429" s="12">
        <f t="shared" si="118"/>
        <v>0</v>
      </c>
      <c r="V429" s="12"/>
      <c r="W429" s="12"/>
      <c r="X429" s="12">
        <f t="shared" si="119"/>
        <v>0</v>
      </c>
      <c r="Y429" s="12"/>
      <c r="Z429" s="12"/>
      <c r="AA429" s="13">
        <f t="shared" si="120"/>
        <v>0</v>
      </c>
      <c r="AB429" s="14">
        <v>46038</v>
      </c>
    </row>
    <row r="430" spans="1:28" ht="15.75" hidden="1" x14ac:dyDescent="0.25">
      <c r="A430" s="65">
        <v>46038</v>
      </c>
      <c r="B430" s="10" t="s">
        <v>334</v>
      </c>
      <c r="C430" s="10"/>
      <c r="D430" s="10" t="s">
        <v>206</v>
      </c>
      <c r="E430" s="10" t="s">
        <v>65</v>
      </c>
      <c r="F430" s="10">
        <v>300</v>
      </c>
      <c r="G430" s="10" t="s">
        <v>26</v>
      </c>
      <c r="H430" s="10">
        <v>3660</v>
      </c>
      <c r="I430" s="10">
        <f t="shared" si="108"/>
        <v>1098000</v>
      </c>
      <c r="J430" s="29" t="s">
        <v>113</v>
      </c>
      <c r="K430" s="10"/>
      <c r="L430" s="12">
        <f t="shared" si="115"/>
        <v>0</v>
      </c>
      <c r="M430" s="12"/>
      <c r="N430" s="12"/>
      <c r="O430" s="12">
        <f t="shared" si="116"/>
        <v>1098000</v>
      </c>
      <c r="P430" s="12">
        <v>1098000</v>
      </c>
      <c r="Q430" s="12"/>
      <c r="R430" s="12">
        <f t="shared" si="117"/>
        <v>0</v>
      </c>
      <c r="S430" s="12"/>
      <c r="T430" s="12"/>
      <c r="U430" s="12">
        <f t="shared" si="118"/>
        <v>0</v>
      </c>
      <c r="V430" s="12"/>
      <c r="W430" s="12"/>
      <c r="X430" s="12">
        <f t="shared" si="119"/>
        <v>0</v>
      </c>
      <c r="Y430" s="12"/>
      <c r="Z430" s="12"/>
      <c r="AA430" s="13">
        <f t="shared" si="120"/>
        <v>0</v>
      </c>
      <c r="AB430" s="14">
        <v>46036</v>
      </c>
    </row>
    <row r="431" spans="1:28" ht="15.75" hidden="1" x14ac:dyDescent="0.25">
      <c r="A431" s="65">
        <v>46038</v>
      </c>
      <c r="B431" s="10" t="s">
        <v>334</v>
      </c>
      <c r="C431" s="10"/>
      <c r="D431" s="10" t="s">
        <v>206</v>
      </c>
      <c r="E431" s="10" t="s">
        <v>88</v>
      </c>
      <c r="F431" s="10">
        <v>25</v>
      </c>
      <c r="G431" s="10" t="s">
        <v>36</v>
      </c>
      <c r="H431" s="10">
        <v>120000</v>
      </c>
      <c r="I431" s="10">
        <f t="shared" si="108"/>
        <v>3000000</v>
      </c>
      <c r="J431" s="29" t="s">
        <v>113</v>
      </c>
      <c r="K431" s="10"/>
      <c r="L431" s="12">
        <f t="shared" si="115"/>
        <v>3000000</v>
      </c>
      <c r="M431" s="12">
        <v>3000000</v>
      </c>
      <c r="N431" s="12"/>
      <c r="O431" s="12">
        <f t="shared" si="116"/>
        <v>0</v>
      </c>
      <c r="P431" s="12"/>
      <c r="Q431" s="12"/>
      <c r="R431" s="12">
        <f t="shared" si="117"/>
        <v>0</v>
      </c>
      <c r="S431" s="12"/>
      <c r="T431" s="12"/>
      <c r="U431" s="12">
        <f t="shared" si="118"/>
        <v>0</v>
      </c>
      <c r="V431" s="12"/>
      <c r="W431" s="12"/>
      <c r="X431" s="12">
        <f t="shared" si="119"/>
        <v>0</v>
      </c>
      <c r="Y431" s="12"/>
      <c r="Z431" s="12"/>
      <c r="AA431" s="13">
        <f t="shared" si="120"/>
        <v>0</v>
      </c>
      <c r="AB431" s="14">
        <v>46038</v>
      </c>
    </row>
    <row r="432" spans="1:28" ht="15.75" hidden="1" x14ac:dyDescent="0.25">
      <c r="A432" s="65">
        <v>46038</v>
      </c>
      <c r="B432" s="10" t="s">
        <v>101</v>
      </c>
      <c r="C432" s="10"/>
      <c r="D432" s="10" t="s">
        <v>195</v>
      </c>
      <c r="E432" s="10" t="s">
        <v>116</v>
      </c>
      <c r="F432" s="10">
        <v>24</v>
      </c>
      <c r="G432" s="10" t="s">
        <v>67</v>
      </c>
      <c r="H432" s="10">
        <v>65000</v>
      </c>
      <c r="I432" s="10">
        <f t="shared" si="108"/>
        <v>1560000</v>
      </c>
      <c r="J432" s="52" t="s">
        <v>90</v>
      </c>
      <c r="K432" s="87" t="s">
        <v>251</v>
      </c>
      <c r="L432" s="12">
        <f t="shared" si="115"/>
        <v>0</v>
      </c>
      <c r="M432" s="12"/>
      <c r="N432" s="12"/>
      <c r="O432" s="12">
        <f t="shared" si="116"/>
        <v>0</v>
      </c>
      <c r="P432" s="12"/>
      <c r="Q432" s="12"/>
      <c r="R432" s="12">
        <f t="shared" si="117"/>
        <v>0</v>
      </c>
      <c r="S432" s="12"/>
      <c r="T432" s="12"/>
      <c r="U432" s="12">
        <f t="shared" si="118"/>
        <v>0</v>
      </c>
      <c r="V432" s="12"/>
      <c r="W432" s="12"/>
      <c r="X432" s="12">
        <f t="shared" si="119"/>
        <v>0</v>
      </c>
      <c r="Y432" s="12"/>
      <c r="Z432" s="12"/>
      <c r="AA432" s="13">
        <f t="shared" si="120"/>
        <v>1560000</v>
      </c>
      <c r="AB432" s="14"/>
    </row>
    <row r="433" spans="1:28" ht="15.75" hidden="1" x14ac:dyDescent="0.25">
      <c r="A433" s="65">
        <v>46038</v>
      </c>
      <c r="B433" s="10" t="s">
        <v>101</v>
      </c>
      <c r="C433" s="10"/>
      <c r="D433" s="10" t="s">
        <v>195</v>
      </c>
      <c r="E433" s="10" t="s">
        <v>117</v>
      </c>
      <c r="F433" s="10">
        <v>10</v>
      </c>
      <c r="G433" s="10" t="s">
        <v>36</v>
      </c>
      <c r="H433" s="10">
        <v>70000</v>
      </c>
      <c r="I433" s="10">
        <f t="shared" si="108"/>
        <v>700000</v>
      </c>
      <c r="J433" s="52" t="s">
        <v>90</v>
      </c>
      <c r="K433" s="87" t="s">
        <v>251</v>
      </c>
      <c r="L433" s="12">
        <f t="shared" si="115"/>
        <v>0</v>
      </c>
      <c r="M433" s="12"/>
      <c r="N433" s="12"/>
      <c r="O433" s="12">
        <f t="shared" si="116"/>
        <v>0</v>
      </c>
      <c r="P433" s="12"/>
      <c r="Q433" s="12"/>
      <c r="R433" s="12">
        <f t="shared" si="117"/>
        <v>0</v>
      </c>
      <c r="S433" s="12"/>
      <c r="T433" s="12"/>
      <c r="U433" s="12">
        <f t="shared" si="118"/>
        <v>0</v>
      </c>
      <c r="V433" s="12"/>
      <c r="W433" s="12"/>
      <c r="X433" s="12">
        <f t="shared" si="119"/>
        <v>0</v>
      </c>
      <c r="Y433" s="12"/>
      <c r="Z433" s="12"/>
      <c r="AA433" s="13">
        <f t="shared" si="120"/>
        <v>700000</v>
      </c>
      <c r="AB433" s="14"/>
    </row>
    <row r="434" spans="1:28" ht="15.75" hidden="1" x14ac:dyDescent="0.25">
      <c r="A434" s="28">
        <v>46038</v>
      </c>
      <c r="B434" s="10" t="s">
        <v>101</v>
      </c>
      <c r="C434" s="10"/>
      <c r="D434" s="10" t="s">
        <v>195</v>
      </c>
      <c r="E434" s="10" t="s">
        <v>130</v>
      </c>
      <c r="F434" s="10">
        <v>30</v>
      </c>
      <c r="G434" s="10" t="s">
        <v>67</v>
      </c>
      <c r="H434" s="10">
        <v>50000</v>
      </c>
      <c r="I434" s="10">
        <f t="shared" si="108"/>
        <v>1500000</v>
      </c>
      <c r="J434" s="52" t="s">
        <v>90</v>
      </c>
      <c r="K434" s="87" t="s">
        <v>251</v>
      </c>
      <c r="L434" s="12">
        <f t="shared" si="115"/>
        <v>0</v>
      </c>
      <c r="M434" s="12"/>
      <c r="N434" s="12"/>
      <c r="O434" s="12">
        <f t="shared" si="116"/>
        <v>0</v>
      </c>
      <c r="P434" s="12"/>
      <c r="Q434" s="12"/>
      <c r="R434" s="12">
        <f t="shared" si="117"/>
        <v>0</v>
      </c>
      <c r="S434" s="12"/>
      <c r="T434" s="12"/>
      <c r="U434" s="12">
        <f t="shared" si="118"/>
        <v>0</v>
      </c>
      <c r="V434" s="12"/>
      <c r="W434" s="12"/>
      <c r="X434" s="12">
        <f t="shared" si="119"/>
        <v>0</v>
      </c>
      <c r="Y434" s="12"/>
      <c r="Z434" s="12"/>
      <c r="AA434" s="13">
        <f t="shared" si="120"/>
        <v>1500000</v>
      </c>
      <c r="AB434" s="14"/>
    </row>
    <row r="435" spans="1:28" ht="15.75" hidden="1" x14ac:dyDescent="0.25">
      <c r="A435" s="65">
        <v>46038</v>
      </c>
      <c r="B435" s="10" t="s">
        <v>101</v>
      </c>
      <c r="C435" s="10"/>
      <c r="D435" s="10" t="s">
        <v>195</v>
      </c>
      <c r="E435" s="10" t="s">
        <v>114</v>
      </c>
      <c r="F435" s="10">
        <v>30</v>
      </c>
      <c r="G435" s="10" t="s">
        <v>67</v>
      </c>
      <c r="H435" s="10">
        <v>50000</v>
      </c>
      <c r="I435" s="10">
        <f t="shared" si="108"/>
        <v>1500000</v>
      </c>
      <c r="J435" s="52" t="s">
        <v>90</v>
      </c>
      <c r="K435" s="87" t="s">
        <v>251</v>
      </c>
      <c r="L435" s="12">
        <f t="shared" si="115"/>
        <v>0</v>
      </c>
      <c r="M435" s="12"/>
      <c r="N435" s="12"/>
      <c r="O435" s="12">
        <f t="shared" si="116"/>
        <v>0</v>
      </c>
      <c r="P435" s="12"/>
      <c r="Q435" s="12"/>
      <c r="R435" s="12">
        <f t="shared" si="117"/>
        <v>0</v>
      </c>
      <c r="S435" s="12"/>
      <c r="T435" s="12"/>
      <c r="U435" s="12">
        <f t="shared" si="118"/>
        <v>0</v>
      </c>
      <c r="V435" s="12"/>
      <c r="W435" s="12"/>
      <c r="X435" s="12">
        <f t="shared" si="119"/>
        <v>0</v>
      </c>
      <c r="Y435" s="12"/>
      <c r="Z435" s="12"/>
      <c r="AA435" s="13">
        <f t="shared" si="120"/>
        <v>1500000</v>
      </c>
      <c r="AB435" s="14"/>
    </row>
    <row r="436" spans="1:28" ht="15.75" hidden="1" x14ac:dyDescent="0.25">
      <c r="A436" s="65">
        <v>46038</v>
      </c>
      <c r="B436" s="10" t="s">
        <v>101</v>
      </c>
      <c r="C436" s="10"/>
      <c r="D436" s="10" t="s">
        <v>195</v>
      </c>
      <c r="E436" s="10" t="s">
        <v>118</v>
      </c>
      <c r="F436" s="10">
        <v>10</v>
      </c>
      <c r="G436" s="10" t="s">
        <v>22</v>
      </c>
      <c r="H436" s="10">
        <v>400000</v>
      </c>
      <c r="I436" s="10">
        <f t="shared" si="108"/>
        <v>4000000</v>
      </c>
      <c r="J436" s="52" t="s">
        <v>90</v>
      </c>
      <c r="K436" s="87" t="s">
        <v>251</v>
      </c>
      <c r="L436" s="12">
        <f t="shared" si="115"/>
        <v>0</v>
      </c>
      <c r="M436" s="12"/>
      <c r="N436" s="12"/>
      <c r="O436" s="12">
        <f t="shared" si="116"/>
        <v>0</v>
      </c>
      <c r="P436" s="12"/>
      <c r="Q436" s="12"/>
      <c r="R436" s="12">
        <f t="shared" si="117"/>
        <v>0</v>
      </c>
      <c r="S436" s="12"/>
      <c r="T436" s="12"/>
      <c r="U436" s="12">
        <f t="shared" si="118"/>
        <v>0</v>
      </c>
      <c r="V436" s="12"/>
      <c r="W436" s="12"/>
      <c r="X436" s="12">
        <f t="shared" si="119"/>
        <v>0</v>
      </c>
      <c r="Y436" s="12"/>
      <c r="Z436" s="12"/>
      <c r="AA436" s="13">
        <f t="shared" si="120"/>
        <v>4000000</v>
      </c>
      <c r="AB436" s="14"/>
    </row>
    <row r="437" spans="1:28" ht="15.75" hidden="1" x14ac:dyDescent="0.25">
      <c r="A437" s="65">
        <v>46038</v>
      </c>
      <c r="B437" s="10" t="s">
        <v>101</v>
      </c>
      <c r="C437" s="10"/>
      <c r="D437" s="10" t="s">
        <v>195</v>
      </c>
      <c r="E437" s="10" t="s">
        <v>92</v>
      </c>
      <c r="F437" s="10">
        <v>34.5</v>
      </c>
      <c r="G437" s="10" t="s">
        <v>36</v>
      </c>
      <c r="H437" s="10">
        <v>43000</v>
      </c>
      <c r="I437" s="10">
        <f t="shared" si="108"/>
        <v>1483500</v>
      </c>
      <c r="J437" s="52" t="s">
        <v>90</v>
      </c>
      <c r="K437" s="87" t="s">
        <v>251</v>
      </c>
      <c r="L437" s="12">
        <f t="shared" si="115"/>
        <v>0</v>
      </c>
      <c r="M437" s="12"/>
      <c r="N437" s="12"/>
      <c r="O437" s="12">
        <f t="shared" si="116"/>
        <v>0</v>
      </c>
      <c r="P437" s="12"/>
      <c r="Q437" s="12"/>
      <c r="R437" s="12">
        <f t="shared" si="117"/>
        <v>0</v>
      </c>
      <c r="S437" s="12"/>
      <c r="T437" s="12"/>
      <c r="U437" s="12">
        <f t="shared" si="118"/>
        <v>0</v>
      </c>
      <c r="V437" s="12"/>
      <c r="W437" s="12"/>
      <c r="X437" s="12">
        <f t="shared" si="119"/>
        <v>0</v>
      </c>
      <c r="Y437" s="12"/>
      <c r="Z437" s="12"/>
      <c r="AA437" s="13">
        <f t="shared" si="120"/>
        <v>1483500</v>
      </c>
      <c r="AB437" s="14"/>
    </row>
    <row r="438" spans="1:28" ht="15.75" hidden="1" x14ac:dyDescent="0.25">
      <c r="A438" s="65">
        <v>46038</v>
      </c>
      <c r="B438" s="10" t="s">
        <v>335</v>
      </c>
      <c r="C438" s="10"/>
      <c r="D438" s="10" t="s">
        <v>206</v>
      </c>
      <c r="E438" s="10" t="s">
        <v>116</v>
      </c>
      <c r="F438" s="10">
        <v>2</v>
      </c>
      <c r="G438" s="10" t="s">
        <v>67</v>
      </c>
      <c r="H438" s="10">
        <v>65000</v>
      </c>
      <c r="I438" s="10">
        <f t="shared" si="108"/>
        <v>130000</v>
      </c>
      <c r="J438" s="29" t="s">
        <v>113</v>
      </c>
      <c r="K438" s="10"/>
      <c r="L438" s="12">
        <f t="shared" si="115"/>
        <v>130000</v>
      </c>
      <c r="M438" s="12">
        <v>130000</v>
      </c>
      <c r="N438" s="12"/>
      <c r="O438" s="12">
        <f t="shared" si="116"/>
        <v>0</v>
      </c>
      <c r="P438" s="12"/>
      <c r="Q438" s="12"/>
      <c r="R438" s="12">
        <f t="shared" si="117"/>
        <v>0</v>
      </c>
      <c r="S438" s="12"/>
      <c r="T438" s="12"/>
      <c r="U438" s="12">
        <f t="shared" si="118"/>
        <v>0</v>
      </c>
      <c r="V438" s="12"/>
      <c r="W438" s="12"/>
      <c r="X438" s="12">
        <f t="shared" si="119"/>
        <v>0</v>
      </c>
      <c r="Y438" s="12"/>
      <c r="Z438" s="12"/>
      <c r="AA438" s="13">
        <f t="shared" si="120"/>
        <v>0</v>
      </c>
      <c r="AB438" s="14">
        <v>46038</v>
      </c>
    </row>
    <row r="439" spans="1:28" ht="16.5" hidden="1" thickBot="1" x14ac:dyDescent="0.3">
      <c r="A439" s="53">
        <v>46038</v>
      </c>
      <c r="B439" s="31" t="s">
        <v>336</v>
      </c>
      <c r="C439" s="31"/>
      <c r="D439" s="31" t="s">
        <v>195</v>
      </c>
      <c r="E439" s="31" t="s">
        <v>337</v>
      </c>
      <c r="F439" s="31">
        <v>60</v>
      </c>
      <c r="G439" s="31" t="s">
        <v>36</v>
      </c>
      <c r="H439" s="31">
        <v>45000</v>
      </c>
      <c r="I439" s="31">
        <f t="shared" si="108"/>
        <v>2700000</v>
      </c>
      <c r="J439" s="51" t="s">
        <v>110</v>
      </c>
      <c r="K439" s="31"/>
      <c r="L439" s="34">
        <f t="shared" si="115"/>
        <v>0</v>
      </c>
      <c r="M439" s="34"/>
      <c r="N439" s="34"/>
      <c r="O439" s="34">
        <f t="shared" si="116"/>
        <v>2700000</v>
      </c>
      <c r="P439" s="34">
        <v>2700000</v>
      </c>
      <c r="Q439" s="34"/>
      <c r="R439" s="34">
        <f t="shared" si="117"/>
        <v>0</v>
      </c>
      <c r="S439" s="34"/>
      <c r="T439" s="34"/>
      <c r="U439" s="34">
        <f t="shared" si="118"/>
        <v>0</v>
      </c>
      <c r="V439" s="34"/>
      <c r="W439" s="34"/>
      <c r="X439" s="34">
        <f t="shared" si="119"/>
        <v>0</v>
      </c>
      <c r="Y439" s="34"/>
      <c r="Z439" s="34"/>
      <c r="AA439" s="35">
        <f t="shared" si="120"/>
        <v>0</v>
      </c>
      <c r="AB439" s="36">
        <v>46038</v>
      </c>
    </row>
    <row r="440" spans="1:28" ht="15.75" hidden="1" x14ac:dyDescent="0.25">
      <c r="A440" s="65">
        <v>46039</v>
      </c>
      <c r="B440" s="66" t="s">
        <v>272</v>
      </c>
      <c r="C440" s="66"/>
      <c r="D440" s="66"/>
      <c r="E440" s="66" t="s">
        <v>80</v>
      </c>
      <c r="F440" s="66">
        <v>68.3</v>
      </c>
      <c r="G440" s="66" t="s">
        <v>36</v>
      </c>
      <c r="H440" s="66"/>
      <c r="I440" s="10">
        <f t="shared" si="108"/>
        <v>0</v>
      </c>
      <c r="J440" s="86" t="s">
        <v>76</v>
      </c>
      <c r="K440" s="66"/>
      <c r="L440" s="12">
        <f t="shared" si="115"/>
        <v>0</v>
      </c>
      <c r="M440" s="12"/>
      <c r="N440" s="12"/>
      <c r="O440" s="12">
        <f t="shared" si="116"/>
        <v>0</v>
      </c>
      <c r="P440" s="12"/>
      <c r="Q440" s="12"/>
      <c r="R440" s="12">
        <f t="shared" si="117"/>
        <v>0</v>
      </c>
      <c r="S440" s="12"/>
      <c r="T440" s="12"/>
      <c r="U440" s="12">
        <f t="shared" si="118"/>
        <v>0</v>
      </c>
      <c r="V440" s="12"/>
      <c r="W440" s="12"/>
      <c r="X440" s="12">
        <f t="shared" si="119"/>
        <v>0</v>
      </c>
      <c r="Y440" s="12"/>
      <c r="Z440" s="12"/>
      <c r="AA440" s="13">
        <f t="shared" si="120"/>
        <v>0</v>
      </c>
      <c r="AB440" s="14"/>
    </row>
    <row r="441" spans="1:28" ht="15.75" hidden="1" x14ac:dyDescent="0.25">
      <c r="A441" s="65">
        <v>46039</v>
      </c>
      <c r="B441" s="66" t="s">
        <v>272</v>
      </c>
      <c r="C441" s="10"/>
      <c r="D441" s="10"/>
      <c r="E441" s="10" t="s">
        <v>168</v>
      </c>
      <c r="F441" s="10">
        <v>158.1</v>
      </c>
      <c r="G441" s="10" t="s">
        <v>36</v>
      </c>
      <c r="H441" s="10"/>
      <c r="I441" s="10">
        <f t="shared" si="108"/>
        <v>0</v>
      </c>
      <c r="J441" s="86" t="s">
        <v>76</v>
      </c>
      <c r="K441" s="10"/>
      <c r="L441" s="12">
        <f t="shared" ref="L441:L458" si="121">M441+N441</f>
        <v>0</v>
      </c>
      <c r="M441" s="12"/>
      <c r="N441" s="12"/>
      <c r="O441" s="12">
        <f t="shared" ref="O441:O458" si="122">P441+Q441</f>
        <v>0</v>
      </c>
      <c r="P441" s="12"/>
      <c r="Q441" s="12"/>
      <c r="R441" s="12">
        <f t="shared" ref="R441:R458" si="123">S441+T441</f>
        <v>0</v>
      </c>
      <c r="S441" s="12"/>
      <c r="T441" s="12"/>
      <c r="U441" s="12">
        <f t="shared" ref="U441:U458" si="124">V441+W441</f>
        <v>0</v>
      </c>
      <c r="V441" s="12"/>
      <c r="W441" s="12"/>
      <c r="X441" s="12">
        <f t="shared" ref="X441:X458" si="125">Y441+Z441</f>
        <v>0</v>
      </c>
      <c r="Y441" s="12"/>
      <c r="Z441" s="12"/>
      <c r="AA441" s="13">
        <f t="shared" ref="AA441:AA458" si="126">C441+I441-L441-O441-U441-X441-R441</f>
        <v>0</v>
      </c>
      <c r="AB441" s="14"/>
    </row>
    <row r="442" spans="1:28" ht="15.75" hidden="1" x14ac:dyDescent="0.25">
      <c r="A442" s="65">
        <v>46039</v>
      </c>
      <c r="B442" s="66" t="s">
        <v>272</v>
      </c>
      <c r="C442" s="10"/>
      <c r="D442" s="10"/>
      <c r="E442" s="10" t="s">
        <v>136</v>
      </c>
      <c r="F442" s="10">
        <v>96.4</v>
      </c>
      <c r="G442" s="10" t="s">
        <v>36</v>
      </c>
      <c r="H442" s="10"/>
      <c r="I442" s="10">
        <f t="shared" si="108"/>
        <v>0</v>
      </c>
      <c r="J442" s="86" t="s">
        <v>76</v>
      </c>
      <c r="K442" s="10"/>
      <c r="L442" s="12">
        <f t="shared" si="121"/>
        <v>0</v>
      </c>
      <c r="M442" s="12"/>
      <c r="N442" s="12"/>
      <c r="O442" s="12">
        <f t="shared" si="122"/>
        <v>0</v>
      </c>
      <c r="P442" s="12"/>
      <c r="Q442" s="12"/>
      <c r="R442" s="12">
        <f t="shared" si="123"/>
        <v>0</v>
      </c>
      <c r="S442" s="12"/>
      <c r="T442" s="12"/>
      <c r="U442" s="12">
        <f t="shared" si="124"/>
        <v>0</v>
      </c>
      <c r="V442" s="12"/>
      <c r="W442" s="12"/>
      <c r="X442" s="12">
        <f t="shared" si="125"/>
        <v>0</v>
      </c>
      <c r="Y442" s="12"/>
      <c r="Z442" s="12"/>
      <c r="AA442" s="13">
        <f t="shared" si="126"/>
        <v>0</v>
      </c>
      <c r="AB442" s="14"/>
    </row>
    <row r="443" spans="1:28" ht="15.75" hidden="1" x14ac:dyDescent="0.25">
      <c r="A443" s="65">
        <v>46039</v>
      </c>
      <c r="B443" s="66" t="s">
        <v>272</v>
      </c>
      <c r="C443" s="10"/>
      <c r="D443" s="10"/>
      <c r="E443" s="10" t="s">
        <v>164</v>
      </c>
      <c r="F443" s="10">
        <v>49.7</v>
      </c>
      <c r="G443" s="10" t="s">
        <v>36</v>
      </c>
      <c r="H443" s="10"/>
      <c r="I443" s="10">
        <f t="shared" si="108"/>
        <v>0</v>
      </c>
      <c r="J443" s="86" t="s">
        <v>76</v>
      </c>
      <c r="K443" s="10"/>
      <c r="L443" s="12">
        <f t="shared" si="121"/>
        <v>0</v>
      </c>
      <c r="M443" s="12"/>
      <c r="N443" s="12"/>
      <c r="O443" s="12">
        <f t="shared" si="122"/>
        <v>0</v>
      </c>
      <c r="P443" s="12"/>
      <c r="Q443" s="12"/>
      <c r="R443" s="12">
        <f t="shared" si="123"/>
        <v>0</v>
      </c>
      <c r="S443" s="12"/>
      <c r="T443" s="12"/>
      <c r="U443" s="12">
        <f t="shared" si="124"/>
        <v>0</v>
      </c>
      <c r="V443" s="12"/>
      <c r="W443" s="12"/>
      <c r="X443" s="12">
        <f t="shared" si="125"/>
        <v>0</v>
      </c>
      <c r="Y443" s="12"/>
      <c r="Z443" s="12"/>
      <c r="AA443" s="13">
        <f t="shared" si="126"/>
        <v>0</v>
      </c>
      <c r="AB443" s="14"/>
    </row>
    <row r="444" spans="1:28" ht="15.75" hidden="1" x14ac:dyDescent="0.25">
      <c r="A444" s="65">
        <v>46039</v>
      </c>
      <c r="B444" s="66" t="s">
        <v>272</v>
      </c>
      <c r="C444" s="10"/>
      <c r="D444" s="10"/>
      <c r="E444" s="10" t="s">
        <v>304</v>
      </c>
      <c r="F444" s="10">
        <v>34.700000000000003</v>
      </c>
      <c r="G444" s="10" t="s">
        <v>36</v>
      </c>
      <c r="H444" s="10"/>
      <c r="I444" s="10">
        <f t="shared" si="108"/>
        <v>0</v>
      </c>
      <c r="J444" s="86" t="s">
        <v>76</v>
      </c>
      <c r="K444" s="10"/>
      <c r="L444" s="12">
        <f t="shared" si="121"/>
        <v>0</v>
      </c>
      <c r="M444" s="12"/>
      <c r="N444" s="12"/>
      <c r="O444" s="12">
        <f t="shared" si="122"/>
        <v>0</v>
      </c>
      <c r="P444" s="12"/>
      <c r="Q444" s="12"/>
      <c r="R444" s="12">
        <f t="shared" si="123"/>
        <v>0</v>
      </c>
      <c r="S444" s="12"/>
      <c r="T444" s="12"/>
      <c r="U444" s="12">
        <f t="shared" si="124"/>
        <v>0</v>
      </c>
      <c r="V444" s="12"/>
      <c r="W444" s="12"/>
      <c r="X444" s="12">
        <f t="shared" si="125"/>
        <v>0</v>
      </c>
      <c r="Y444" s="12"/>
      <c r="Z444" s="12"/>
      <c r="AA444" s="13">
        <f t="shared" si="126"/>
        <v>0</v>
      </c>
      <c r="AB444" s="14"/>
    </row>
    <row r="445" spans="1:28" ht="15.75" hidden="1" x14ac:dyDescent="0.25">
      <c r="A445" s="65">
        <v>46039</v>
      </c>
      <c r="B445" s="66" t="s">
        <v>272</v>
      </c>
      <c r="C445" s="10"/>
      <c r="D445" s="10"/>
      <c r="E445" s="10" t="s">
        <v>139</v>
      </c>
      <c r="F445" s="10">
        <v>19.600000000000001</v>
      </c>
      <c r="G445" s="10" t="s">
        <v>36</v>
      </c>
      <c r="H445" s="10"/>
      <c r="I445" s="10">
        <f t="shared" si="108"/>
        <v>0</v>
      </c>
      <c r="J445" s="86" t="s">
        <v>76</v>
      </c>
      <c r="K445" s="10"/>
      <c r="L445" s="12">
        <f t="shared" si="121"/>
        <v>0</v>
      </c>
      <c r="M445" s="12"/>
      <c r="N445" s="12"/>
      <c r="O445" s="12">
        <f t="shared" si="122"/>
        <v>0</v>
      </c>
      <c r="P445" s="12"/>
      <c r="Q445" s="12"/>
      <c r="R445" s="12">
        <f t="shared" si="123"/>
        <v>0</v>
      </c>
      <c r="S445" s="12"/>
      <c r="T445" s="12"/>
      <c r="U445" s="12">
        <f t="shared" si="124"/>
        <v>0</v>
      </c>
      <c r="V445" s="12"/>
      <c r="W445" s="12"/>
      <c r="X445" s="12">
        <f t="shared" si="125"/>
        <v>0</v>
      </c>
      <c r="Y445" s="12"/>
      <c r="Z445" s="12"/>
      <c r="AA445" s="13">
        <f t="shared" si="126"/>
        <v>0</v>
      </c>
      <c r="AB445" s="14"/>
    </row>
    <row r="446" spans="1:28" ht="15.75" hidden="1" x14ac:dyDescent="0.25">
      <c r="A446" s="65">
        <v>46039</v>
      </c>
      <c r="B446" s="66" t="s">
        <v>272</v>
      </c>
      <c r="C446" s="10"/>
      <c r="D446" s="10"/>
      <c r="E446" s="10" t="s">
        <v>307</v>
      </c>
      <c r="F446" s="10">
        <v>138.19999999999999</v>
      </c>
      <c r="G446" s="10" t="s">
        <v>36</v>
      </c>
      <c r="H446" s="10"/>
      <c r="I446" s="10">
        <f t="shared" si="108"/>
        <v>0</v>
      </c>
      <c r="J446" s="86" t="s">
        <v>76</v>
      </c>
      <c r="K446" s="10"/>
      <c r="L446" s="12">
        <f t="shared" si="121"/>
        <v>0</v>
      </c>
      <c r="M446" s="12"/>
      <c r="N446" s="12"/>
      <c r="O446" s="12">
        <f t="shared" si="122"/>
        <v>0</v>
      </c>
      <c r="P446" s="12"/>
      <c r="Q446" s="12"/>
      <c r="R446" s="12">
        <f t="shared" si="123"/>
        <v>0</v>
      </c>
      <c r="S446" s="12"/>
      <c r="T446" s="12"/>
      <c r="U446" s="12">
        <f t="shared" si="124"/>
        <v>0</v>
      </c>
      <c r="V446" s="12"/>
      <c r="W446" s="12"/>
      <c r="X446" s="12">
        <f t="shared" si="125"/>
        <v>0</v>
      </c>
      <c r="Y446" s="12"/>
      <c r="Z446" s="12"/>
      <c r="AA446" s="13">
        <f t="shared" si="126"/>
        <v>0</v>
      </c>
      <c r="AB446" s="14"/>
    </row>
    <row r="447" spans="1:28" ht="15.75" hidden="1" x14ac:dyDescent="0.25">
      <c r="A447" s="65">
        <v>46039</v>
      </c>
      <c r="B447" s="66" t="s">
        <v>272</v>
      </c>
      <c r="C447" s="10"/>
      <c r="D447" s="10"/>
      <c r="E447" s="10" t="s">
        <v>307</v>
      </c>
      <c r="F447" s="10">
        <v>58</v>
      </c>
      <c r="G447" s="10" t="s">
        <v>36</v>
      </c>
      <c r="H447" s="10"/>
      <c r="I447" s="10">
        <f t="shared" si="108"/>
        <v>0</v>
      </c>
      <c r="J447" s="52" t="s">
        <v>90</v>
      </c>
      <c r="K447" s="10"/>
      <c r="L447" s="12">
        <f t="shared" si="121"/>
        <v>0</v>
      </c>
      <c r="M447" s="12"/>
      <c r="N447" s="12"/>
      <c r="O447" s="12">
        <f t="shared" si="122"/>
        <v>0</v>
      </c>
      <c r="P447" s="12"/>
      <c r="Q447" s="12"/>
      <c r="R447" s="12">
        <f t="shared" si="123"/>
        <v>0</v>
      </c>
      <c r="S447" s="12"/>
      <c r="T447" s="12"/>
      <c r="U447" s="12">
        <f t="shared" si="124"/>
        <v>0</v>
      </c>
      <c r="V447" s="12"/>
      <c r="W447" s="12"/>
      <c r="X447" s="12">
        <f t="shared" si="125"/>
        <v>0</v>
      </c>
      <c r="Y447" s="12"/>
      <c r="Z447" s="12"/>
      <c r="AA447" s="13">
        <f t="shared" si="126"/>
        <v>0</v>
      </c>
      <c r="AB447" s="14"/>
    </row>
    <row r="448" spans="1:28" ht="15.75" hidden="1" x14ac:dyDescent="0.25">
      <c r="A448" s="65">
        <v>46039</v>
      </c>
      <c r="B448" s="66" t="s">
        <v>272</v>
      </c>
      <c r="C448" s="10"/>
      <c r="D448" s="10"/>
      <c r="E448" s="10" t="s">
        <v>338</v>
      </c>
      <c r="F448" s="10">
        <v>28</v>
      </c>
      <c r="G448" s="10" t="s">
        <v>36</v>
      </c>
      <c r="H448" s="10"/>
      <c r="I448" s="10">
        <f t="shared" si="108"/>
        <v>0</v>
      </c>
      <c r="J448" s="52" t="s">
        <v>90</v>
      </c>
      <c r="K448" s="10"/>
      <c r="L448" s="12">
        <f t="shared" si="121"/>
        <v>0</v>
      </c>
      <c r="M448" s="12"/>
      <c r="N448" s="12"/>
      <c r="O448" s="12">
        <f t="shared" si="122"/>
        <v>0</v>
      </c>
      <c r="P448" s="12"/>
      <c r="Q448" s="12"/>
      <c r="R448" s="12">
        <f t="shared" si="123"/>
        <v>0</v>
      </c>
      <c r="S448" s="12"/>
      <c r="T448" s="12"/>
      <c r="U448" s="12">
        <f t="shared" si="124"/>
        <v>0</v>
      </c>
      <c r="V448" s="12"/>
      <c r="W448" s="12"/>
      <c r="X448" s="12">
        <f t="shared" si="125"/>
        <v>0</v>
      </c>
      <c r="Y448" s="12"/>
      <c r="Z448" s="12"/>
      <c r="AA448" s="13">
        <f t="shared" si="126"/>
        <v>0</v>
      </c>
      <c r="AB448" s="14"/>
    </row>
    <row r="449" spans="1:28" ht="15.75" hidden="1" x14ac:dyDescent="0.25">
      <c r="A449" s="65">
        <v>46039</v>
      </c>
      <c r="B449" s="66" t="s">
        <v>272</v>
      </c>
      <c r="C449" s="10"/>
      <c r="D449" s="10"/>
      <c r="E449" s="10" t="s">
        <v>338</v>
      </c>
      <c r="F449" s="10">
        <v>58</v>
      </c>
      <c r="G449" s="10" t="s">
        <v>36</v>
      </c>
      <c r="H449" s="10"/>
      <c r="I449" s="10">
        <f t="shared" si="108"/>
        <v>0</v>
      </c>
      <c r="J449" s="86" t="s">
        <v>76</v>
      </c>
      <c r="K449" s="10"/>
      <c r="L449" s="12">
        <f t="shared" si="121"/>
        <v>0</v>
      </c>
      <c r="M449" s="12"/>
      <c r="N449" s="12"/>
      <c r="O449" s="12">
        <f t="shared" si="122"/>
        <v>0</v>
      </c>
      <c r="P449" s="12"/>
      <c r="Q449" s="12"/>
      <c r="R449" s="12">
        <f t="shared" si="123"/>
        <v>0</v>
      </c>
      <c r="S449" s="12"/>
      <c r="T449" s="12"/>
      <c r="U449" s="12">
        <f t="shared" si="124"/>
        <v>0</v>
      </c>
      <c r="V449" s="12"/>
      <c r="W449" s="12"/>
      <c r="X449" s="12">
        <f t="shared" si="125"/>
        <v>0</v>
      </c>
      <c r="Y449" s="12"/>
      <c r="Z449" s="12"/>
      <c r="AA449" s="13">
        <f t="shared" si="126"/>
        <v>0</v>
      </c>
      <c r="AB449" s="14"/>
    </row>
    <row r="450" spans="1:28" ht="15.75" hidden="1" x14ac:dyDescent="0.25">
      <c r="A450" s="65">
        <v>46039</v>
      </c>
      <c r="B450" s="66" t="s">
        <v>272</v>
      </c>
      <c r="C450" s="10"/>
      <c r="D450" s="10"/>
      <c r="E450" s="10" t="s">
        <v>92</v>
      </c>
      <c r="F450" s="10">
        <v>34.1</v>
      </c>
      <c r="G450" s="10" t="s">
        <v>36</v>
      </c>
      <c r="H450" s="10"/>
      <c r="I450" s="10">
        <f t="shared" si="108"/>
        <v>0</v>
      </c>
      <c r="J450" s="52" t="s">
        <v>30</v>
      </c>
      <c r="K450" s="10"/>
      <c r="L450" s="12">
        <f t="shared" si="121"/>
        <v>0</v>
      </c>
      <c r="M450" s="12"/>
      <c r="N450" s="12"/>
      <c r="O450" s="12">
        <f t="shared" si="122"/>
        <v>0</v>
      </c>
      <c r="P450" s="12"/>
      <c r="Q450" s="12"/>
      <c r="R450" s="12">
        <f t="shared" si="123"/>
        <v>0</v>
      </c>
      <c r="S450" s="12"/>
      <c r="T450" s="12"/>
      <c r="U450" s="12">
        <f t="shared" si="124"/>
        <v>0</v>
      </c>
      <c r="V450" s="12"/>
      <c r="W450" s="12"/>
      <c r="X450" s="12">
        <f t="shared" si="125"/>
        <v>0</v>
      </c>
      <c r="Y450" s="12"/>
      <c r="Z450" s="12"/>
      <c r="AA450" s="13">
        <f t="shared" si="126"/>
        <v>0</v>
      </c>
      <c r="AB450" s="14"/>
    </row>
    <row r="451" spans="1:28" ht="15.75" hidden="1" x14ac:dyDescent="0.25">
      <c r="A451" s="65">
        <v>46039</v>
      </c>
      <c r="B451" s="10" t="s">
        <v>339</v>
      </c>
      <c r="C451" s="10"/>
      <c r="D451" s="10" t="s">
        <v>28</v>
      </c>
      <c r="E451" s="10" t="s">
        <v>104</v>
      </c>
      <c r="F451" s="10">
        <v>5000</v>
      </c>
      <c r="G451" s="10" t="s">
        <v>26</v>
      </c>
      <c r="H451" s="10">
        <v>1900</v>
      </c>
      <c r="I451" s="10">
        <f t="shared" si="108"/>
        <v>9500000</v>
      </c>
      <c r="J451" s="29" t="s">
        <v>110</v>
      </c>
      <c r="K451" s="95" t="s">
        <v>188</v>
      </c>
      <c r="L451" s="12">
        <f t="shared" si="121"/>
        <v>0</v>
      </c>
      <c r="M451" s="12"/>
      <c r="N451" s="12"/>
      <c r="O451" s="12">
        <f t="shared" si="122"/>
        <v>9500000</v>
      </c>
      <c r="P451" s="12">
        <v>9500000</v>
      </c>
      <c r="Q451" s="12"/>
      <c r="R451" s="12">
        <f t="shared" si="123"/>
        <v>0</v>
      </c>
      <c r="S451" s="12"/>
      <c r="T451" s="12"/>
      <c r="U451" s="12">
        <f t="shared" si="124"/>
        <v>0</v>
      </c>
      <c r="V451" s="12"/>
      <c r="W451" s="12"/>
      <c r="X451" s="12">
        <f t="shared" si="125"/>
        <v>0</v>
      </c>
      <c r="Y451" s="12"/>
      <c r="Z451" s="12"/>
      <c r="AA451" s="13">
        <f t="shared" si="126"/>
        <v>0</v>
      </c>
      <c r="AB451" s="14">
        <v>46049</v>
      </c>
    </row>
    <row r="452" spans="1:28" ht="15.75" hidden="1" x14ac:dyDescent="0.25">
      <c r="A452" s="65">
        <v>46039</v>
      </c>
      <c r="B452" s="10" t="s">
        <v>274</v>
      </c>
      <c r="C452" s="10"/>
      <c r="D452" s="10" t="s">
        <v>28</v>
      </c>
      <c r="E452" s="10" t="s">
        <v>88</v>
      </c>
      <c r="F452" s="10">
        <v>50</v>
      </c>
      <c r="G452" s="10" t="s">
        <v>36</v>
      </c>
      <c r="H452" s="10">
        <v>78000</v>
      </c>
      <c r="I452" s="10">
        <f t="shared" si="108"/>
        <v>3900000</v>
      </c>
      <c r="J452" s="29" t="s">
        <v>113</v>
      </c>
      <c r="K452" s="10"/>
      <c r="L452" s="12">
        <f t="shared" si="121"/>
        <v>3900000</v>
      </c>
      <c r="M452" s="12">
        <v>3900000</v>
      </c>
      <c r="N452" s="12"/>
      <c r="O452" s="12">
        <f t="shared" si="122"/>
        <v>0</v>
      </c>
      <c r="P452" s="12"/>
      <c r="Q452" s="12"/>
      <c r="R452" s="12">
        <f t="shared" si="123"/>
        <v>0</v>
      </c>
      <c r="S452" s="12"/>
      <c r="T452" s="12"/>
      <c r="U452" s="12">
        <f t="shared" si="124"/>
        <v>0</v>
      </c>
      <c r="V452" s="12"/>
      <c r="W452" s="12"/>
      <c r="X452" s="12">
        <f t="shared" si="125"/>
        <v>0</v>
      </c>
      <c r="Y452" s="12"/>
      <c r="Z452" s="12"/>
      <c r="AA452" s="13">
        <f t="shared" si="126"/>
        <v>0</v>
      </c>
      <c r="AB452" s="14">
        <v>46039</v>
      </c>
    </row>
    <row r="453" spans="1:28" ht="15.75" hidden="1" x14ac:dyDescent="0.25">
      <c r="A453" s="65">
        <v>46039</v>
      </c>
      <c r="B453" s="10" t="s">
        <v>267</v>
      </c>
      <c r="C453" s="10"/>
      <c r="D453" s="10" t="s">
        <v>32</v>
      </c>
      <c r="E453" s="10" t="s">
        <v>84</v>
      </c>
      <c r="F453" s="10">
        <v>17.399999999999999</v>
      </c>
      <c r="G453" s="10" t="s">
        <v>36</v>
      </c>
      <c r="H453" s="10">
        <v>43000</v>
      </c>
      <c r="I453" s="10">
        <f t="shared" si="108"/>
        <v>748199.99999999988</v>
      </c>
      <c r="J453" s="29" t="s">
        <v>113</v>
      </c>
      <c r="K453" s="10"/>
      <c r="L453" s="12">
        <f t="shared" si="121"/>
        <v>748200</v>
      </c>
      <c r="M453" s="12">
        <v>748200</v>
      </c>
      <c r="N453" s="12"/>
      <c r="O453" s="12">
        <f t="shared" si="122"/>
        <v>0</v>
      </c>
      <c r="P453" s="12"/>
      <c r="Q453" s="12"/>
      <c r="R453" s="12">
        <f t="shared" si="123"/>
        <v>0</v>
      </c>
      <c r="S453" s="12"/>
      <c r="T453" s="12"/>
      <c r="U453" s="12">
        <f t="shared" si="124"/>
        <v>0</v>
      </c>
      <c r="V453" s="12"/>
      <c r="W453" s="12"/>
      <c r="X453" s="12">
        <f t="shared" si="125"/>
        <v>0</v>
      </c>
      <c r="Y453" s="12"/>
      <c r="Z453" s="12"/>
      <c r="AA453" s="13">
        <f t="shared" si="126"/>
        <v>-1.1641532182693481E-10</v>
      </c>
      <c r="AB453" s="14">
        <v>46039</v>
      </c>
    </row>
    <row r="454" spans="1:28" ht="15.75" hidden="1" x14ac:dyDescent="0.25">
      <c r="A454" s="65">
        <v>46039</v>
      </c>
      <c r="B454" s="10" t="s">
        <v>340</v>
      </c>
      <c r="C454" s="10"/>
      <c r="D454" s="10" t="s">
        <v>32</v>
      </c>
      <c r="E454" s="10" t="s">
        <v>107</v>
      </c>
      <c r="F454" s="10">
        <v>20</v>
      </c>
      <c r="G454" s="10" t="s">
        <v>36</v>
      </c>
      <c r="H454" s="10">
        <v>60000</v>
      </c>
      <c r="I454" s="10">
        <f t="shared" si="108"/>
        <v>1200000</v>
      </c>
      <c r="J454" s="29" t="s">
        <v>110</v>
      </c>
      <c r="K454" s="10" t="s">
        <v>188</v>
      </c>
      <c r="L454" s="12">
        <f t="shared" si="121"/>
        <v>0</v>
      </c>
      <c r="M454" s="12"/>
      <c r="N454" s="12"/>
      <c r="O454" s="12">
        <f t="shared" si="122"/>
        <v>1200000</v>
      </c>
      <c r="P454" s="12">
        <v>1200000</v>
      </c>
      <c r="Q454" s="12"/>
      <c r="R454" s="12">
        <f t="shared" si="123"/>
        <v>0</v>
      </c>
      <c r="S454" s="12"/>
      <c r="T454" s="12"/>
      <c r="U454" s="12">
        <f t="shared" si="124"/>
        <v>0</v>
      </c>
      <c r="V454" s="12"/>
      <c r="W454" s="12"/>
      <c r="X454" s="12">
        <f t="shared" si="125"/>
        <v>0</v>
      </c>
      <c r="Y454" s="12"/>
      <c r="Z454" s="12"/>
      <c r="AA454" s="13">
        <f t="shared" si="126"/>
        <v>0</v>
      </c>
      <c r="AB454" s="14">
        <v>46041</v>
      </c>
    </row>
    <row r="455" spans="1:28" ht="15.75" hidden="1" x14ac:dyDescent="0.25">
      <c r="A455" s="65">
        <v>46039</v>
      </c>
      <c r="B455" s="10" t="s">
        <v>341</v>
      </c>
      <c r="C455" s="10"/>
      <c r="D455" s="10" t="s">
        <v>195</v>
      </c>
      <c r="E455" s="10" t="s">
        <v>114</v>
      </c>
      <c r="F455" s="10">
        <v>20</v>
      </c>
      <c r="G455" s="10" t="s">
        <v>67</v>
      </c>
      <c r="H455" s="10">
        <v>50000</v>
      </c>
      <c r="I455" s="10">
        <f t="shared" si="108"/>
        <v>1000000</v>
      </c>
      <c r="J455" s="29" t="s">
        <v>113</v>
      </c>
      <c r="K455" s="10"/>
      <c r="L455" s="12">
        <f t="shared" si="121"/>
        <v>0</v>
      </c>
      <c r="M455" s="12"/>
      <c r="N455" s="12"/>
      <c r="O455" s="12">
        <f t="shared" si="122"/>
        <v>0</v>
      </c>
      <c r="P455" s="12"/>
      <c r="Q455" s="12"/>
      <c r="R455" s="12">
        <f t="shared" si="123"/>
        <v>0</v>
      </c>
      <c r="S455" s="12"/>
      <c r="T455" s="12"/>
      <c r="U455" s="12">
        <f t="shared" si="124"/>
        <v>1000000</v>
      </c>
      <c r="V455" s="12">
        <v>1000000</v>
      </c>
      <c r="W455" s="12"/>
      <c r="X455" s="12">
        <f t="shared" si="125"/>
        <v>0</v>
      </c>
      <c r="Y455" s="12"/>
      <c r="Z455" s="12"/>
      <c r="AA455" s="13">
        <f t="shared" si="126"/>
        <v>0</v>
      </c>
      <c r="AB455" s="14">
        <v>46039</v>
      </c>
    </row>
    <row r="456" spans="1:28" ht="15.75" hidden="1" x14ac:dyDescent="0.25">
      <c r="A456" s="28">
        <v>46039</v>
      </c>
      <c r="B456" s="10" t="s">
        <v>267</v>
      </c>
      <c r="C456" s="10"/>
      <c r="D456" s="10" t="s">
        <v>32</v>
      </c>
      <c r="E456" s="10" t="s">
        <v>164</v>
      </c>
      <c r="F456" s="10">
        <v>17</v>
      </c>
      <c r="G456" s="10" t="s">
        <v>36</v>
      </c>
      <c r="H456" s="10">
        <v>43000</v>
      </c>
      <c r="I456" s="10">
        <f t="shared" si="108"/>
        <v>731000</v>
      </c>
      <c r="J456" s="29" t="s">
        <v>113</v>
      </c>
      <c r="K456" s="10"/>
      <c r="L456" s="12">
        <f t="shared" si="121"/>
        <v>731000</v>
      </c>
      <c r="M456" s="12">
        <v>731000</v>
      </c>
      <c r="N456" s="12"/>
      <c r="O456" s="12">
        <f t="shared" si="122"/>
        <v>0</v>
      </c>
      <c r="P456" s="12"/>
      <c r="Q456" s="12"/>
      <c r="R456" s="12">
        <f t="shared" si="123"/>
        <v>0</v>
      </c>
      <c r="S456" s="12"/>
      <c r="T456" s="12"/>
      <c r="U456" s="12">
        <f t="shared" si="124"/>
        <v>0</v>
      </c>
      <c r="V456" s="12"/>
      <c r="W456" s="12"/>
      <c r="X456" s="12">
        <f t="shared" si="125"/>
        <v>0</v>
      </c>
      <c r="Y456" s="12"/>
      <c r="Z456" s="12"/>
      <c r="AA456" s="13">
        <f t="shared" si="126"/>
        <v>0</v>
      </c>
      <c r="AB456" s="14">
        <v>46039</v>
      </c>
    </row>
    <row r="457" spans="1:28" ht="15.75" hidden="1" x14ac:dyDescent="0.25">
      <c r="A457" s="65">
        <v>46039</v>
      </c>
      <c r="B457" s="10" t="s">
        <v>267</v>
      </c>
      <c r="C457" s="10"/>
      <c r="D457" s="10" t="s">
        <v>32</v>
      </c>
      <c r="E457" s="10" t="s">
        <v>104</v>
      </c>
      <c r="F457" s="10">
        <v>200</v>
      </c>
      <c r="G457" s="10" t="s">
        <v>26</v>
      </c>
      <c r="H457" s="10">
        <v>1900</v>
      </c>
      <c r="I457" s="10">
        <f t="shared" ref="I457:I520" si="127">F457*H457</f>
        <v>380000</v>
      </c>
      <c r="J457" s="29" t="s">
        <v>113</v>
      </c>
      <c r="K457" s="10"/>
      <c r="L457" s="12">
        <f t="shared" si="121"/>
        <v>380000</v>
      </c>
      <c r="M457" s="12">
        <v>380000</v>
      </c>
      <c r="N457" s="12"/>
      <c r="O457" s="12">
        <f t="shared" si="122"/>
        <v>0</v>
      </c>
      <c r="P457" s="12"/>
      <c r="Q457" s="12"/>
      <c r="R457" s="12">
        <f t="shared" si="123"/>
        <v>0</v>
      </c>
      <c r="S457" s="12"/>
      <c r="T457" s="12"/>
      <c r="U457" s="12">
        <f t="shared" si="124"/>
        <v>0</v>
      </c>
      <c r="V457" s="12"/>
      <c r="W457" s="12"/>
      <c r="X457" s="12">
        <f t="shared" si="125"/>
        <v>0</v>
      </c>
      <c r="Y457" s="12"/>
      <c r="Z457" s="12"/>
      <c r="AA457" s="13">
        <f t="shared" si="126"/>
        <v>0</v>
      </c>
      <c r="AB457" s="14">
        <v>46039</v>
      </c>
    </row>
    <row r="458" spans="1:28" ht="16.5" hidden="1" thickBot="1" x14ac:dyDescent="0.3">
      <c r="A458" s="53">
        <v>46039</v>
      </c>
      <c r="B458" s="31" t="s">
        <v>342</v>
      </c>
      <c r="C458" s="31"/>
      <c r="D458" s="31" t="s">
        <v>32</v>
      </c>
      <c r="E458" s="31" t="s">
        <v>104</v>
      </c>
      <c r="F458" s="31">
        <v>3000</v>
      </c>
      <c r="G458" s="31" t="s">
        <v>26</v>
      </c>
      <c r="H458" s="31">
        <v>2000</v>
      </c>
      <c r="I458" s="31">
        <f t="shared" si="127"/>
        <v>6000000</v>
      </c>
      <c r="J458" s="51" t="s">
        <v>110</v>
      </c>
      <c r="K458" s="31"/>
      <c r="L458" s="34">
        <f t="shared" si="121"/>
        <v>0</v>
      </c>
      <c r="M458" s="34"/>
      <c r="N458" s="34"/>
      <c r="O458" s="34">
        <f t="shared" si="122"/>
        <v>6000000</v>
      </c>
      <c r="P458" s="34">
        <v>6000000</v>
      </c>
      <c r="Q458" s="34"/>
      <c r="R458" s="34">
        <f t="shared" si="123"/>
        <v>0</v>
      </c>
      <c r="S458" s="34"/>
      <c r="T458" s="34"/>
      <c r="U458" s="34">
        <f t="shared" si="124"/>
        <v>0</v>
      </c>
      <c r="V458" s="34"/>
      <c r="W458" s="34"/>
      <c r="X458" s="34">
        <f t="shared" si="125"/>
        <v>0</v>
      </c>
      <c r="Y458" s="34"/>
      <c r="Z458" s="34"/>
      <c r="AA458" s="35">
        <f t="shared" si="126"/>
        <v>0</v>
      </c>
      <c r="AB458" s="36">
        <v>46041</v>
      </c>
    </row>
    <row r="459" spans="1:28" ht="15.75" hidden="1" x14ac:dyDescent="0.25">
      <c r="A459" s="65">
        <v>46041</v>
      </c>
      <c r="B459" s="66" t="s">
        <v>324</v>
      </c>
      <c r="C459" s="66"/>
      <c r="D459" s="66" t="s">
        <v>195</v>
      </c>
      <c r="E459" s="66" t="s">
        <v>160</v>
      </c>
      <c r="F459" s="66">
        <v>1</v>
      </c>
      <c r="G459" s="66" t="s">
        <v>22</v>
      </c>
      <c r="H459" s="66">
        <v>400000</v>
      </c>
      <c r="I459" s="10">
        <f t="shared" si="127"/>
        <v>400000</v>
      </c>
      <c r="J459" s="84" t="s">
        <v>113</v>
      </c>
      <c r="K459" s="66"/>
      <c r="L459" s="12">
        <f t="shared" ref="L459" si="128">M459+N459</f>
        <v>0</v>
      </c>
      <c r="M459" s="12"/>
      <c r="N459" s="12"/>
      <c r="O459" s="12">
        <f t="shared" ref="O459" si="129">P459+Q459</f>
        <v>0</v>
      </c>
      <c r="P459" s="12"/>
      <c r="Q459" s="12"/>
      <c r="R459" s="12">
        <f t="shared" ref="R459" si="130">S459+T459</f>
        <v>0</v>
      </c>
      <c r="S459" s="12"/>
      <c r="T459" s="12"/>
      <c r="U459" s="12">
        <f t="shared" ref="U459" si="131">V459+W459</f>
        <v>400000</v>
      </c>
      <c r="V459" s="12">
        <v>400000</v>
      </c>
      <c r="W459" s="12"/>
      <c r="X459" s="12">
        <f t="shared" ref="X459" si="132">Y459+Z459</f>
        <v>0</v>
      </c>
      <c r="Y459" s="12"/>
      <c r="Z459" s="12"/>
      <c r="AA459" s="13">
        <f t="shared" ref="AA459" si="133">C459+I459-L459-O459-U459-X459-R459</f>
        <v>0</v>
      </c>
      <c r="AB459" s="14">
        <v>46041</v>
      </c>
    </row>
    <row r="460" spans="1:28" ht="15.75" hidden="1" x14ac:dyDescent="0.25">
      <c r="A460" s="65">
        <v>46041</v>
      </c>
      <c r="B460" s="10" t="s">
        <v>255</v>
      </c>
      <c r="C460" s="10"/>
      <c r="D460" s="10" t="s">
        <v>32</v>
      </c>
      <c r="E460" s="10" t="s">
        <v>164</v>
      </c>
      <c r="F460" s="10">
        <v>16.899999999999999</v>
      </c>
      <c r="G460" s="10" t="s">
        <v>36</v>
      </c>
      <c r="H460" s="10">
        <v>43000</v>
      </c>
      <c r="I460" s="10">
        <f t="shared" si="127"/>
        <v>726699.99999999988</v>
      </c>
      <c r="J460" s="29" t="s">
        <v>113</v>
      </c>
      <c r="K460" s="95" t="s">
        <v>357</v>
      </c>
      <c r="L460" s="12">
        <f t="shared" ref="L460:L498" si="134">M460+N460</f>
        <v>0</v>
      </c>
      <c r="M460" s="12"/>
      <c r="N460" s="12"/>
      <c r="O460" s="12">
        <f t="shared" ref="O460:O498" si="135">P460+Q460</f>
        <v>0</v>
      </c>
      <c r="P460" s="12"/>
      <c r="Q460" s="12"/>
      <c r="R460" s="12">
        <f t="shared" ref="R460:R498" si="136">S460+T460</f>
        <v>0</v>
      </c>
      <c r="S460" s="12"/>
      <c r="T460" s="12"/>
      <c r="U460" s="12">
        <f t="shared" ref="U460:U498" si="137">V460+W460</f>
        <v>726700</v>
      </c>
      <c r="V460" s="12">
        <v>726700</v>
      </c>
      <c r="W460" s="12"/>
      <c r="X460" s="12">
        <f t="shared" ref="X460:X498" si="138">Y460+Z460</f>
        <v>0</v>
      </c>
      <c r="Y460" s="12"/>
      <c r="Z460" s="12"/>
      <c r="AA460" s="13">
        <f t="shared" ref="AA460:AA498" si="139">C460+I460-L460-O460-U460-X460-R460</f>
        <v>-1.1641532182693481E-10</v>
      </c>
      <c r="AB460" s="14">
        <v>46041</v>
      </c>
    </row>
    <row r="461" spans="1:28" ht="15.75" hidden="1" x14ac:dyDescent="0.25">
      <c r="A461" s="65">
        <v>46041</v>
      </c>
      <c r="B461" s="10" t="s">
        <v>284</v>
      </c>
      <c r="C461" s="10"/>
      <c r="D461" s="10" t="s">
        <v>28</v>
      </c>
      <c r="E461" s="10" t="s">
        <v>98</v>
      </c>
      <c r="F461" s="10">
        <v>3000</v>
      </c>
      <c r="G461" s="10" t="s">
        <v>26</v>
      </c>
      <c r="H461" s="10">
        <v>1825</v>
      </c>
      <c r="I461" s="10">
        <f t="shared" si="127"/>
        <v>5475000</v>
      </c>
      <c r="J461" s="29" t="s">
        <v>110</v>
      </c>
      <c r="K461" s="10" t="s">
        <v>356</v>
      </c>
      <c r="L461" s="12">
        <f t="shared" si="134"/>
        <v>0</v>
      </c>
      <c r="M461" s="12"/>
      <c r="N461" s="12"/>
      <c r="O461" s="12">
        <f t="shared" si="135"/>
        <v>0</v>
      </c>
      <c r="P461" s="12"/>
      <c r="Q461" s="12"/>
      <c r="R461" s="12">
        <f t="shared" si="136"/>
        <v>5475000</v>
      </c>
      <c r="S461" s="12">
        <v>5475000</v>
      </c>
      <c r="T461" s="12"/>
      <c r="U461" s="12">
        <f t="shared" si="137"/>
        <v>0</v>
      </c>
      <c r="V461" s="12"/>
      <c r="W461" s="12"/>
      <c r="X461" s="12">
        <f t="shared" si="138"/>
        <v>0</v>
      </c>
      <c r="Y461" s="12"/>
      <c r="Z461" s="12"/>
      <c r="AA461" s="13">
        <f t="shared" si="139"/>
        <v>0</v>
      </c>
      <c r="AB461" s="14">
        <v>46055</v>
      </c>
    </row>
    <row r="462" spans="1:28" ht="15.75" hidden="1" x14ac:dyDescent="0.25">
      <c r="A462" s="65">
        <v>46041</v>
      </c>
      <c r="B462" s="10" t="s">
        <v>343</v>
      </c>
      <c r="C462" s="10"/>
      <c r="D462" s="10" t="s">
        <v>32</v>
      </c>
      <c r="E462" s="10" t="s">
        <v>313</v>
      </c>
      <c r="F462" s="10">
        <v>200</v>
      </c>
      <c r="G462" s="10" t="s">
        <v>26</v>
      </c>
      <c r="H462" s="10">
        <v>5400</v>
      </c>
      <c r="I462" s="10">
        <f t="shared" si="127"/>
        <v>1080000</v>
      </c>
      <c r="J462" s="29" t="s">
        <v>113</v>
      </c>
      <c r="K462" s="10"/>
      <c r="L462" s="12">
        <f t="shared" si="134"/>
        <v>1080000</v>
      </c>
      <c r="M462" s="12">
        <v>1080000</v>
      </c>
      <c r="N462" s="12"/>
      <c r="O462" s="12">
        <f t="shared" si="135"/>
        <v>0</v>
      </c>
      <c r="P462" s="12"/>
      <c r="Q462" s="12"/>
      <c r="R462" s="12">
        <f t="shared" si="136"/>
        <v>0</v>
      </c>
      <c r="S462" s="12"/>
      <c r="T462" s="12"/>
      <c r="U462" s="12">
        <f t="shared" si="137"/>
        <v>0</v>
      </c>
      <c r="V462" s="12"/>
      <c r="W462" s="12"/>
      <c r="X462" s="12">
        <f t="shared" si="138"/>
        <v>0</v>
      </c>
      <c r="Y462" s="12"/>
      <c r="Z462" s="12"/>
      <c r="AA462" s="13">
        <f t="shared" si="139"/>
        <v>0</v>
      </c>
      <c r="AB462" s="14">
        <v>46041</v>
      </c>
    </row>
    <row r="463" spans="1:28" ht="15.75" hidden="1" x14ac:dyDescent="0.25">
      <c r="A463" s="65">
        <v>46041</v>
      </c>
      <c r="B463" s="10" t="s">
        <v>275</v>
      </c>
      <c r="C463" s="10"/>
      <c r="D463" s="10" t="s">
        <v>32</v>
      </c>
      <c r="E463" s="10" t="s">
        <v>276</v>
      </c>
      <c r="F463" s="10">
        <v>25</v>
      </c>
      <c r="G463" s="10" t="s">
        <v>36</v>
      </c>
      <c r="H463" s="10">
        <v>55000</v>
      </c>
      <c r="I463" s="10">
        <f t="shared" si="127"/>
        <v>1375000</v>
      </c>
      <c r="J463" s="29" t="s">
        <v>113</v>
      </c>
      <c r="K463" s="10"/>
      <c r="L463" s="12">
        <f t="shared" si="134"/>
        <v>1375000</v>
      </c>
      <c r="M463" s="12">
        <v>1375000</v>
      </c>
      <c r="N463" s="12"/>
      <c r="O463" s="12">
        <f t="shared" si="135"/>
        <v>0</v>
      </c>
      <c r="P463" s="12"/>
      <c r="Q463" s="12"/>
      <c r="R463" s="12">
        <f t="shared" si="136"/>
        <v>0</v>
      </c>
      <c r="S463" s="12"/>
      <c r="T463" s="12"/>
      <c r="U463" s="12">
        <f t="shared" si="137"/>
        <v>0</v>
      </c>
      <c r="V463" s="12"/>
      <c r="W463" s="12"/>
      <c r="X463" s="12">
        <f t="shared" si="138"/>
        <v>0</v>
      </c>
      <c r="Y463" s="12"/>
      <c r="Z463" s="12"/>
      <c r="AA463" s="13">
        <f t="shared" si="139"/>
        <v>0</v>
      </c>
      <c r="AB463" s="14">
        <v>46041</v>
      </c>
    </row>
    <row r="464" spans="1:28" ht="15.75" hidden="1" x14ac:dyDescent="0.25">
      <c r="A464" s="65">
        <v>46041</v>
      </c>
      <c r="B464" s="10" t="s">
        <v>280</v>
      </c>
      <c r="C464" s="10"/>
      <c r="D464" s="10" t="s">
        <v>28</v>
      </c>
      <c r="E464" s="10" t="s">
        <v>161</v>
      </c>
      <c r="F464" s="10">
        <v>1</v>
      </c>
      <c r="G464" s="10" t="s">
        <v>61</v>
      </c>
      <c r="H464" s="10">
        <v>230000</v>
      </c>
      <c r="I464" s="10">
        <f t="shared" si="127"/>
        <v>230000</v>
      </c>
      <c r="J464" s="29" t="s">
        <v>113</v>
      </c>
      <c r="K464" s="10"/>
      <c r="L464" s="12">
        <f t="shared" si="134"/>
        <v>0</v>
      </c>
      <c r="M464" s="12"/>
      <c r="N464" s="12"/>
      <c r="O464" s="12">
        <f t="shared" si="135"/>
        <v>0</v>
      </c>
      <c r="P464" s="12"/>
      <c r="Q464" s="12"/>
      <c r="R464" s="12">
        <f t="shared" si="136"/>
        <v>0</v>
      </c>
      <c r="S464" s="12"/>
      <c r="T464" s="12"/>
      <c r="U464" s="12">
        <f t="shared" si="137"/>
        <v>230000</v>
      </c>
      <c r="V464" s="12">
        <v>230000</v>
      </c>
      <c r="W464" s="12"/>
      <c r="X464" s="12">
        <f t="shared" si="138"/>
        <v>0</v>
      </c>
      <c r="Y464" s="12"/>
      <c r="Z464" s="12"/>
      <c r="AA464" s="13">
        <f t="shared" si="139"/>
        <v>0</v>
      </c>
      <c r="AB464" s="14">
        <v>46041</v>
      </c>
    </row>
    <row r="465" spans="1:28" ht="15.75" hidden="1" x14ac:dyDescent="0.25">
      <c r="A465" s="65">
        <v>46041</v>
      </c>
      <c r="B465" s="10" t="s">
        <v>280</v>
      </c>
      <c r="C465" s="10"/>
      <c r="D465" s="10" t="s">
        <v>28</v>
      </c>
      <c r="E465" s="10" t="s">
        <v>300</v>
      </c>
      <c r="F465" s="10">
        <v>1</v>
      </c>
      <c r="G465" s="10" t="s">
        <v>61</v>
      </c>
      <c r="H465" s="10">
        <v>150000</v>
      </c>
      <c r="I465" s="10">
        <f t="shared" si="127"/>
        <v>150000</v>
      </c>
      <c r="J465" s="29" t="s">
        <v>113</v>
      </c>
      <c r="K465" s="10"/>
      <c r="L465" s="12">
        <f t="shared" si="134"/>
        <v>0</v>
      </c>
      <c r="M465" s="12"/>
      <c r="N465" s="12"/>
      <c r="O465" s="12">
        <f t="shared" si="135"/>
        <v>0</v>
      </c>
      <c r="P465" s="12"/>
      <c r="Q465" s="12"/>
      <c r="R465" s="12">
        <f t="shared" si="136"/>
        <v>0</v>
      </c>
      <c r="S465" s="12"/>
      <c r="T465" s="12"/>
      <c r="U465" s="12">
        <f t="shared" si="137"/>
        <v>150000</v>
      </c>
      <c r="V465" s="12">
        <v>150000</v>
      </c>
      <c r="W465" s="12"/>
      <c r="X465" s="12">
        <f t="shared" si="138"/>
        <v>0</v>
      </c>
      <c r="Y465" s="12"/>
      <c r="Z465" s="12"/>
      <c r="AA465" s="13">
        <f t="shared" si="139"/>
        <v>0</v>
      </c>
      <c r="AB465" s="14">
        <v>46041</v>
      </c>
    </row>
    <row r="466" spans="1:28" ht="15.75" hidden="1" x14ac:dyDescent="0.25">
      <c r="A466" s="65">
        <v>46041</v>
      </c>
      <c r="B466" s="10" t="s">
        <v>222</v>
      </c>
      <c r="C466" s="10"/>
      <c r="D466" s="10" t="s">
        <v>195</v>
      </c>
      <c r="E466" s="10" t="s">
        <v>344</v>
      </c>
      <c r="F466" s="10">
        <v>41.7</v>
      </c>
      <c r="G466" s="10" t="s">
        <v>36</v>
      </c>
      <c r="H466" s="10">
        <v>43000</v>
      </c>
      <c r="I466" s="10">
        <f t="shared" si="127"/>
        <v>1793100.0000000002</v>
      </c>
      <c r="J466" s="29" t="s">
        <v>110</v>
      </c>
      <c r="K466" s="10"/>
      <c r="L466" s="12">
        <f t="shared" si="134"/>
        <v>0</v>
      </c>
      <c r="M466" s="12"/>
      <c r="N466" s="12"/>
      <c r="O466" s="12">
        <f t="shared" si="135"/>
        <v>1793100</v>
      </c>
      <c r="P466" s="12">
        <v>1793100</v>
      </c>
      <c r="Q466" s="12"/>
      <c r="R466" s="12">
        <f t="shared" si="136"/>
        <v>0</v>
      </c>
      <c r="S466" s="12"/>
      <c r="T466" s="12"/>
      <c r="U466" s="12">
        <f t="shared" si="137"/>
        <v>0</v>
      </c>
      <c r="V466" s="12"/>
      <c r="W466" s="12"/>
      <c r="X466" s="12">
        <f t="shared" si="138"/>
        <v>0</v>
      </c>
      <c r="Y466" s="12"/>
      <c r="Z466" s="12"/>
      <c r="AA466" s="13">
        <f t="shared" si="139"/>
        <v>2.3283064365386963E-10</v>
      </c>
      <c r="AB466" s="14">
        <v>46042</v>
      </c>
    </row>
    <row r="467" spans="1:28" ht="15.75" hidden="1" x14ac:dyDescent="0.25">
      <c r="A467" s="65">
        <v>46041</v>
      </c>
      <c r="B467" s="10" t="s">
        <v>222</v>
      </c>
      <c r="C467" s="10"/>
      <c r="D467" s="10" t="s">
        <v>195</v>
      </c>
      <c r="E467" s="10" t="s">
        <v>139</v>
      </c>
      <c r="F467" s="10">
        <v>39.1</v>
      </c>
      <c r="G467" s="10" t="s">
        <v>36</v>
      </c>
      <c r="H467" s="10">
        <v>43000</v>
      </c>
      <c r="I467" s="10">
        <f t="shared" si="127"/>
        <v>1681300</v>
      </c>
      <c r="J467" s="29" t="s">
        <v>110</v>
      </c>
      <c r="K467" s="10"/>
      <c r="L467" s="12">
        <f t="shared" si="134"/>
        <v>0</v>
      </c>
      <c r="M467" s="12"/>
      <c r="N467" s="12"/>
      <c r="O467" s="12">
        <f t="shared" si="135"/>
        <v>1681300</v>
      </c>
      <c r="P467" s="12">
        <v>1681300</v>
      </c>
      <c r="Q467" s="12"/>
      <c r="R467" s="12">
        <f t="shared" si="136"/>
        <v>0</v>
      </c>
      <c r="S467" s="12"/>
      <c r="T467" s="12"/>
      <c r="U467" s="12">
        <f t="shared" si="137"/>
        <v>0</v>
      </c>
      <c r="V467" s="12"/>
      <c r="W467" s="12"/>
      <c r="X467" s="12">
        <f t="shared" si="138"/>
        <v>0</v>
      </c>
      <c r="Y467" s="12"/>
      <c r="Z467" s="12"/>
      <c r="AA467" s="13">
        <f t="shared" si="139"/>
        <v>0</v>
      </c>
      <c r="AB467" s="14">
        <v>46042</v>
      </c>
    </row>
    <row r="468" spans="1:28" ht="15.75" hidden="1" x14ac:dyDescent="0.25">
      <c r="A468" s="65">
        <v>46041</v>
      </c>
      <c r="B468" s="10" t="s">
        <v>222</v>
      </c>
      <c r="C468" s="10"/>
      <c r="D468" s="10" t="s">
        <v>195</v>
      </c>
      <c r="E468" s="10" t="s">
        <v>345</v>
      </c>
      <c r="F468" s="10">
        <v>44.4</v>
      </c>
      <c r="G468" s="10" t="s">
        <v>36</v>
      </c>
      <c r="H468" s="10">
        <v>43000</v>
      </c>
      <c r="I468" s="10">
        <f t="shared" si="127"/>
        <v>1909200</v>
      </c>
      <c r="J468" s="29" t="s">
        <v>110</v>
      </c>
      <c r="K468" s="10"/>
      <c r="L468" s="12">
        <f t="shared" si="134"/>
        <v>0</v>
      </c>
      <c r="M468" s="12"/>
      <c r="N468" s="12"/>
      <c r="O468" s="12">
        <f t="shared" si="135"/>
        <v>1909200</v>
      </c>
      <c r="P468" s="12">
        <v>1909200</v>
      </c>
      <c r="Q468" s="12"/>
      <c r="R468" s="12">
        <f t="shared" si="136"/>
        <v>0</v>
      </c>
      <c r="S468" s="12"/>
      <c r="T468" s="12"/>
      <c r="U468" s="12">
        <f t="shared" si="137"/>
        <v>0</v>
      </c>
      <c r="V468" s="12"/>
      <c r="W468" s="12"/>
      <c r="X468" s="12">
        <f t="shared" si="138"/>
        <v>0</v>
      </c>
      <c r="Y468" s="12"/>
      <c r="Z468" s="12"/>
      <c r="AA468" s="13">
        <f t="shared" si="139"/>
        <v>0</v>
      </c>
      <c r="AB468" s="14">
        <v>46042</v>
      </c>
    </row>
    <row r="469" spans="1:28" ht="15.75" hidden="1" x14ac:dyDescent="0.25">
      <c r="A469" s="65">
        <v>46041</v>
      </c>
      <c r="B469" s="10" t="s">
        <v>346</v>
      </c>
      <c r="C469" s="10"/>
      <c r="D469" s="10" t="s">
        <v>32</v>
      </c>
      <c r="E469" s="10" t="s">
        <v>60</v>
      </c>
      <c r="F469" s="10">
        <v>9</v>
      </c>
      <c r="G469" s="10" t="s">
        <v>61</v>
      </c>
      <c r="H469" s="10">
        <v>147000</v>
      </c>
      <c r="I469" s="10">
        <f t="shared" si="127"/>
        <v>1323000</v>
      </c>
      <c r="J469" s="29" t="s">
        <v>110</v>
      </c>
      <c r="K469" s="10"/>
      <c r="L469" s="12">
        <f t="shared" si="134"/>
        <v>453000</v>
      </c>
      <c r="M469" s="12">
        <v>453000</v>
      </c>
      <c r="N469" s="12"/>
      <c r="O469" s="12">
        <f t="shared" si="135"/>
        <v>870000</v>
      </c>
      <c r="P469" s="12">
        <v>870000</v>
      </c>
      <c r="Q469" s="12"/>
      <c r="R469" s="12">
        <f t="shared" si="136"/>
        <v>0</v>
      </c>
      <c r="S469" s="12"/>
      <c r="T469" s="12"/>
      <c r="U469" s="12">
        <f t="shared" si="137"/>
        <v>0</v>
      </c>
      <c r="V469" s="12"/>
      <c r="W469" s="12"/>
      <c r="X469" s="12">
        <f t="shared" si="138"/>
        <v>0</v>
      </c>
      <c r="Y469" s="12"/>
      <c r="Z469" s="12"/>
      <c r="AA469" s="13">
        <f t="shared" si="139"/>
        <v>0</v>
      </c>
      <c r="AB469" s="14">
        <v>46037</v>
      </c>
    </row>
    <row r="470" spans="1:28" ht="15.75" hidden="1" x14ac:dyDescent="0.25">
      <c r="A470" s="65">
        <v>46041</v>
      </c>
      <c r="B470" s="10" t="s">
        <v>346</v>
      </c>
      <c r="C470" s="10"/>
      <c r="D470" s="10" t="s">
        <v>32</v>
      </c>
      <c r="E470" s="10" t="s">
        <v>300</v>
      </c>
      <c r="F470" s="10">
        <v>1</v>
      </c>
      <c r="G470" s="10" t="s">
        <v>61</v>
      </c>
      <c r="H470" s="10">
        <v>147000</v>
      </c>
      <c r="I470" s="10">
        <f t="shared" si="127"/>
        <v>147000</v>
      </c>
      <c r="J470" s="29" t="s">
        <v>110</v>
      </c>
      <c r="K470" s="10"/>
      <c r="L470" s="12">
        <f t="shared" si="134"/>
        <v>147000</v>
      </c>
      <c r="M470" s="12">
        <v>147000</v>
      </c>
      <c r="N470" s="12"/>
      <c r="O470" s="12">
        <f t="shared" si="135"/>
        <v>0</v>
      </c>
      <c r="P470" s="12"/>
      <c r="Q470" s="12"/>
      <c r="R470" s="12">
        <f t="shared" si="136"/>
        <v>0</v>
      </c>
      <c r="S470" s="12"/>
      <c r="T470" s="12"/>
      <c r="U470" s="12">
        <f t="shared" si="137"/>
        <v>0</v>
      </c>
      <c r="V470" s="12"/>
      <c r="W470" s="12"/>
      <c r="X470" s="12">
        <f t="shared" si="138"/>
        <v>0</v>
      </c>
      <c r="Y470" s="12"/>
      <c r="Z470" s="12"/>
      <c r="AA470" s="13">
        <f t="shared" si="139"/>
        <v>0</v>
      </c>
      <c r="AB470" s="14">
        <v>46041</v>
      </c>
    </row>
    <row r="471" spans="1:28" ht="15.75" hidden="1" x14ac:dyDescent="0.25">
      <c r="A471" s="65">
        <v>46041</v>
      </c>
      <c r="B471" s="10" t="s">
        <v>347</v>
      </c>
      <c r="C471" s="10"/>
      <c r="D471" s="10" t="s">
        <v>195</v>
      </c>
      <c r="E471" s="10" t="s">
        <v>214</v>
      </c>
      <c r="F471" s="10">
        <v>100</v>
      </c>
      <c r="G471" s="10" t="s">
        <v>39</v>
      </c>
      <c r="H471" s="10">
        <v>1700</v>
      </c>
      <c r="I471" s="10">
        <f t="shared" si="127"/>
        <v>170000</v>
      </c>
      <c r="J471" s="29" t="s">
        <v>113</v>
      </c>
      <c r="K471" s="10"/>
      <c r="L471" s="12">
        <f t="shared" si="134"/>
        <v>0</v>
      </c>
      <c r="M471" s="12"/>
      <c r="N471" s="12"/>
      <c r="O471" s="12">
        <f t="shared" si="135"/>
        <v>0</v>
      </c>
      <c r="P471" s="12"/>
      <c r="Q471" s="12"/>
      <c r="R471" s="12">
        <f t="shared" si="136"/>
        <v>0</v>
      </c>
      <c r="S471" s="12"/>
      <c r="T471" s="12"/>
      <c r="U471" s="12">
        <f t="shared" si="137"/>
        <v>170000</v>
      </c>
      <c r="V471" s="12">
        <v>170000</v>
      </c>
      <c r="W471" s="12"/>
      <c r="X471" s="12">
        <f t="shared" si="138"/>
        <v>0</v>
      </c>
      <c r="Y471" s="12"/>
      <c r="Z471" s="12"/>
      <c r="AA471" s="13">
        <f t="shared" si="139"/>
        <v>0</v>
      </c>
      <c r="AB471" s="14">
        <v>46041</v>
      </c>
    </row>
    <row r="472" spans="1:28" ht="15.75" hidden="1" x14ac:dyDescent="0.25">
      <c r="A472" s="65">
        <v>46041</v>
      </c>
      <c r="B472" s="10" t="s">
        <v>348</v>
      </c>
      <c r="C472" s="10"/>
      <c r="D472" s="10" t="s">
        <v>32</v>
      </c>
      <c r="E472" s="10" t="s">
        <v>130</v>
      </c>
      <c r="F472" s="10">
        <v>10</v>
      </c>
      <c r="G472" s="10" t="s">
        <v>67</v>
      </c>
      <c r="H472" s="10">
        <v>50000</v>
      </c>
      <c r="I472" s="10">
        <f t="shared" si="127"/>
        <v>500000</v>
      </c>
      <c r="J472" s="29" t="s">
        <v>113</v>
      </c>
      <c r="K472" s="10"/>
      <c r="L472" s="12">
        <f t="shared" si="134"/>
        <v>0</v>
      </c>
      <c r="M472" s="12"/>
      <c r="N472" s="12"/>
      <c r="O472" s="12">
        <f t="shared" si="135"/>
        <v>0</v>
      </c>
      <c r="P472" s="12"/>
      <c r="Q472" s="12"/>
      <c r="R472" s="12">
        <f t="shared" si="136"/>
        <v>0</v>
      </c>
      <c r="S472" s="12"/>
      <c r="T472" s="12"/>
      <c r="U472" s="12">
        <f t="shared" si="137"/>
        <v>500000</v>
      </c>
      <c r="V472" s="12">
        <v>500000</v>
      </c>
      <c r="W472" s="12"/>
      <c r="X472" s="12">
        <f t="shared" si="138"/>
        <v>0</v>
      </c>
      <c r="Y472" s="12"/>
      <c r="Z472" s="12"/>
      <c r="AA472" s="13">
        <f t="shared" si="139"/>
        <v>0</v>
      </c>
      <c r="AB472" s="14">
        <v>46041</v>
      </c>
    </row>
    <row r="473" spans="1:28" ht="15.75" hidden="1" x14ac:dyDescent="0.25">
      <c r="A473" s="65">
        <v>46041</v>
      </c>
      <c r="B473" s="10" t="s">
        <v>349</v>
      </c>
      <c r="C473" s="10"/>
      <c r="D473" s="10" t="s">
        <v>28</v>
      </c>
      <c r="E473" s="10" t="s">
        <v>107</v>
      </c>
      <c r="F473" s="10">
        <v>20</v>
      </c>
      <c r="G473" s="10" t="s">
        <v>36</v>
      </c>
      <c r="H473" s="10">
        <v>60000</v>
      </c>
      <c r="I473" s="10">
        <f t="shared" si="127"/>
        <v>1200000</v>
      </c>
      <c r="J473" s="29" t="s">
        <v>110</v>
      </c>
      <c r="K473" s="10"/>
      <c r="L473" s="12">
        <f t="shared" si="134"/>
        <v>0</v>
      </c>
      <c r="M473" s="12"/>
      <c r="N473" s="12"/>
      <c r="O473" s="12">
        <f t="shared" si="135"/>
        <v>0</v>
      </c>
      <c r="P473" s="12"/>
      <c r="Q473" s="12"/>
      <c r="R473" s="12">
        <f t="shared" si="136"/>
        <v>1200000</v>
      </c>
      <c r="S473" s="12">
        <v>1200000</v>
      </c>
      <c r="T473" s="12"/>
      <c r="U473" s="12">
        <f t="shared" si="137"/>
        <v>0</v>
      </c>
      <c r="V473" s="12"/>
      <c r="W473" s="12"/>
      <c r="X473" s="12">
        <f t="shared" si="138"/>
        <v>0</v>
      </c>
      <c r="Y473" s="12"/>
      <c r="Z473" s="12"/>
      <c r="AA473" s="13">
        <f t="shared" si="139"/>
        <v>0</v>
      </c>
      <c r="AB473" s="14">
        <v>46041</v>
      </c>
    </row>
    <row r="474" spans="1:28" ht="15.75" hidden="1" x14ac:dyDescent="0.25">
      <c r="A474" s="65">
        <v>46041</v>
      </c>
      <c r="B474" s="10" t="s">
        <v>349</v>
      </c>
      <c r="C474" s="10"/>
      <c r="D474" s="10" t="s">
        <v>28</v>
      </c>
      <c r="E474" s="10" t="s">
        <v>276</v>
      </c>
      <c r="F474" s="10">
        <v>25</v>
      </c>
      <c r="G474" s="10" t="s">
        <v>36</v>
      </c>
      <c r="H474" s="10">
        <v>55000</v>
      </c>
      <c r="I474" s="10">
        <f t="shared" si="127"/>
        <v>1375000</v>
      </c>
      <c r="J474" s="29" t="s">
        <v>110</v>
      </c>
      <c r="K474" s="95" t="s">
        <v>357</v>
      </c>
      <c r="L474" s="12">
        <f t="shared" si="134"/>
        <v>0</v>
      </c>
      <c r="M474" s="12"/>
      <c r="N474" s="12"/>
      <c r="O474" s="12">
        <f t="shared" si="135"/>
        <v>0</v>
      </c>
      <c r="P474" s="12"/>
      <c r="Q474" s="12"/>
      <c r="R474" s="12">
        <f t="shared" si="136"/>
        <v>1375000</v>
      </c>
      <c r="S474" s="12">
        <v>200000</v>
      </c>
      <c r="T474" s="12">
        <v>1175000</v>
      </c>
      <c r="U474" s="12">
        <f t="shared" si="137"/>
        <v>0</v>
      </c>
      <c r="V474" s="12"/>
      <c r="W474" s="12"/>
      <c r="X474" s="12">
        <f t="shared" si="138"/>
        <v>0</v>
      </c>
      <c r="Y474" s="12"/>
      <c r="Z474" s="12"/>
      <c r="AA474" s="13">
        <f t="shared" si="139"/>
        <v>0</v>
      </c>
      <c r="AB474" s="14">
        <v>46041</v>
      </c>
    </row>
    <row r="475" spans="1:28" ht="15.75" hidden="1" x14ac:dyDescent="0.25">
      <c r="A475" s="65">
        <v>46041</v>
      </c>
      <c r="B475" s="10" t="s">
        <v>274</v>
      </c>
      <c r="C475" s="10"/>
      <c r="D475" s="10" t="s">
        <v>28</v>
      </c>
      <c r="E475" s="10" t="s">
        <v>129</v>
      </c>
      <c r="F475" s="10">
        <v>1000</v>
      </c>
      <c r="G475" s="10" t="s">
        <v>26</v>
      </c>
      <c r="H475" s="10">
        <v>3800</v>
      </c>
      <c r="I475" s="10">
        <f t="shared" si="127"/>
        <v>3800000</v>
      </c>
      <c r="J475" s="29" t="s">
        <v>113</v>
      </c>
      <c r="K475" s="10"/>
      <c r="L475" s="12">
        <f t="shared" si="134"/>
        <v>3800000</v>
      </c>
      <c r="M475" s="12">
        <v>3800000</v>
      </c>
      <c r="N475" s="12"/>
      <c r="O475" s="12">
        <f t="shared" si="135"/>
        <v>0</v>
      </c>
      <c r="P475" s="12"/>
      <c r="Q475" s="12"/>
      <c r="R475" s="12">
        <f t="shared" si="136"/>
        <v>0</v>
      </c>
      <c r="S475" s="12"/>
      <c r="T475" s="12"/>
      <c r="U475" s="12">
        <f t="shared" si="137"/>
        <v>0</v>
      </c>
      <c r="V475" s="12"/>
      <c r="W475" s="12"/>
      <c r="X475" s="12">
        <f t="shared" si="138"/>
        <v>0</v>
      </c>
      <c r="Y475" s="12"/>
      <c r="Z475" s="12"/>
      <c r="AA475" s="13">
        <f t="shared" si="139"/>
        <v>0</v>
      </c>
      <c r="AB475" s="14">
        <v>46041</v>
      </c>
    </row>
    <row r="476" spans="1:28" ht="15.75" hidden="1" x14ac:dyDescent="0.25">
      <c r="A476" s="65">
        <v>46041</v>
      </c>
      <c r="B476" s="10" t="s">
        <v>350</v>
      </c>
      <c r="C476" s="10"/>
      <c r="D476" s="10" t="s">
        <v>206</v>
      </c>
      <c r="E476" s="10" t="s">
        <v>104</v>
      </c>
      <c r="F476" s="10">
        <v>3200</v>
      </c>
      <c r="G476" s="10" t="s">
        <v>26</v>
      </c>
      <c r="H476" s="10">
        <v>2000</v>
      </c>
      <c r="I476" s="10">
        <f t="shared" si="127"/>
        <v>6400000</v>
      </c>
      <c r="J476" s="29" t="s">
        <v>110</v>
      </c>
      <c r="K476" s="10"/>
      <c r="L476" s="12">
        <f t="shared" si="134"/>
        <v>0</v>
      </c>
      <c r="M476" s="12"/>
      <c r="N476" s="12"/>
      <c r="O476" s="12">
        <f t="shared" si="135"/>
        <v>6400000</v>
      </c>
      <c r="P476" s="12">
        <v>6400000</v>
      </c>
      <c r="Q476" s="12"/>
      <c r="R476" s="12">
        <f t="shared" si="136"/>
        <v>0</v>
      </c>
      <c r="S476" s="12"/>
      <c r="T476" s="12"/>
      <c r="U476" s="12">
        <f t="shared" si="137"/>
        <v>0</v>
      </c>
      <c r="V476" s="12"/>
      <c r="W476" s="12"/>
      <c r="X476" s="12">
        <f t="shared" si="138"/>
        <v>0</v>
      </c>
      <c r="Y476" s="12"/>
      <c r="Z476" s="12"/>
      <c r="AA476" s="13">
        <f t="shared" si="139"/>
        <v>0</v>
      </c>
      <c r="AB476" s="14">
        <v>46041</v>
      </c>
    </row>
    <row r="477" spans="1:28" ht="15.75" hidden="1" x14ac:dyDescent="0.25">
      <c r="A477" s="65">
        <v>46041</v>
      </c>
      <c r="B477" s="10" t="s">
        <v>351</v>
      </c>
      <c r="C477" s="10"/>
      <c r="D477" s="10" t="s">
        <v>195</v>
      </c>
      <c r="E477" s="10" t="s">
        <v>189</v>
      </c>
      <c r="F477" s="10">
        <v>3</v>
      </c>
      <c r="G477" s="10" t="s">
        <v>61</v>
      </c>
      <c r="H477" s="10">
        <v>300000</v>
      </c>
      <c r="I477" s="10">
        <f t="shared" si="127"/>
        <v>900000</v>
      </c>
      <c r="J477" s="29" t="s">
        <v>110</v>
      </c>
      <c r="K477" s="10" t="s">
        <v>357</v>
      </c>
      <c r="L477" s="12">
        <f t="shared" si="134"/>
        <v>0</v>
      </c>
      <c r="M477" s="12"/>
      <c r="N477" s="12"/>
      <c r="O477" s="12">
        <f t="shared" si="135"/>
        <v>900000</v>
      </c>
      <c r="P477" s="12">
        <v>900000</v>
      </c>
      <c r="Q477" s="12"/>
      <c r="R477" s="12">
        <f t="shared" si="136"/>
        <v>0</v>
      </c>
      <c r="S477" s="12"/>
      <c r="T477" s="12"/>
      <c r="U477" s="12">
        <f t="shared" si="137"/>
        <v>0</v>
      </c>
      <c r="V477" s="12"/>
      <c r="W477" s="12"/>
      <c r="X477" s="12">
        <f t="shared" si="138"/>
        <v>0</v>
      </c>
      <c r="Y477" s="12"/>
      <c r="Z477" s="12"/>
      <c r="AA477" s="13">
        <f t="shared" si="139"/>
        <v>0</v>
      </c>
      <c r="AB477" s="14">
        <v>46043</v>
      </c>
    </row>
    <row r="478" spans="1:28" ht="15.75" hidden="1" x14ac:dyDescent="0.25">
      <c r="A478" s="65">
        <v>46041</v>
      </c>
      <c r="B478" s="10" t="s">
        <v>352</v>
      </c>
      <c r="C478" s="10"/>
      <c r="D478" s="10" t="s">
        <v>28</v>
      </c>
      <c r="E478" s="10" t="s">
        <v>86</v>
      </c>
      <c r="F478" s="10">
        <v>179</v>
      </c>
      <c r="G478" s="10" t="s">
        <v>36</v>
      </c>
      <c r="H478" s="10">
        <v>43000</v>
      </c>
      <c r="I478" s="10">
        <f t="shared" si="127"/>
        <v>7697000</v>
      </c>
      <c r="J478" s="52" t="s">
        <v>90</v>
      </c>
      <c r="K478" s="10"/>
      <c r="L478" s="12">
        <f t="shared" si="134"/>
        <v>0</v>
      </c>
      <c r="M478" s="12"/>
      <c r="N478" s="12"/>
      <c r="O478" s="12">
        <f t="shared" si="135"/>
        <v>0</v>
      </c>
      <c r="P478" s="12"/>
      <c r="Q478" s="12"/>
      <c r="R478" s="12">
        <f t="shared" si="136"/>
        <v>0</v>
      </c>
      <c r="S478" s="12"/>
      <c r="T478" s="12"/>
      <c r="U478" s="12">
        <f t="shared" si="137"/>
        <v>0</v>
      </c>
      <c r="V478" s="12"/>
      <c r="W478" s="12"/>
      <c r="X478" s="12">
        <f t="shared" si="138"/>
        <v>0</v>
      </c>
      <c r="Y478" s="12"/>
      <c r="Z478" s="12"/>
      <c r="AA478" s="13">
        <f t="shared" si="139"/>
        <v>7697000</v>
      </c>
      <c r="AB478" s="14"/>
    </row>
    <row r="479" spans="1:28" ht="15.75" hidden="1" x14ac:dyDescent="0.25">
      <c r="A479" s="65">
        <v>46041</v>
      </c>
      <c r="B479" s="10" t="s">
        <v>285</v>
      </c>
      <c r="C479" s="10"/>
      <c r="D479" s="10" t="s">
        <v>28</v>
      </c>
      <c r="E479" s="10" t="s">
        <v>98</v>
      </c>
      <c r="F479" s="10">
        <v>10400</v>
      </c>
      <c r="G479" s="10" t="s">
        <v>26</v>
      </c>
      <c r="H479" s="10">
        <v>1800</v>
      </c>
      <c r="I479" s="10">
        <f t="shared" si="127"/>
        <v>18720000</v>
      </c>
      <c r="J479" s="29" t="s">
        <v>110</v>
      </c>
      <c r="K479" s="10"/>
      <c r="L479" s="12">
        <f t="shared" si="134"/>
        <v>0</v>
      </c>
      <c r="M479" s="12"/>
      <c r="N479" s="12"/>
      <c r="O479" s="12">
        <f t="shared" si="135"/>
        <v>18720000</v>
      </c>
      <c r="P479" s="12">
        <v>18720000</v>
      </c>
      <c r="Q479" s="12"/>
      <c r="R479" s="12">
        <f t="shared" si="136"/>
        <v>0</v>
      </c>
      <c r="S479" s="12"/>
      <c r="T479" s="12"/>
      <c r="U479" s="12">
        <f t="shared" si="137"/>
        <v>0</v>
      </c>
      <c r="V479" s="12"/>
      <c r="W479" s="12"/>
      <c r="X479" s="12">
        <f t="shared" si="138"/>
        <v>0</v>
      </c>
      <c r="Y479" s="12"/>
      <c r="Z479" s="12"/>
      <c r="AA479" s="13">
        <f t="shared" si="139"/>
        <v>0</v>
      </c>
      <c r="AB479" s="14">
        <v>46042</v>
      </c>
    </row>
    <row r="480" spans="1:28" ht="15.75" hidden="1" x14ac:dyDescent="0.25">
      <c r="A480" s="65">
        <v>46041</v>
      </c>
      <c r="B480" s="10" t="s">
        <v>56</v>
      </c>
      <c r="C480" s="10"/>
      <c r="D480" s="10" t="s">
        <v>28</v>
      </c>
      <c r="E480" s="10" t="s">
        <v>271</v>
      </c>
      <c r="F480" s="10">
        <v>2</v>
      </c>
      <c r="G480" s="10" t="s">
        <v>36</v>
      </c>
      <c r="H480" s="10">
        <v>170000</v>
      </c>
      <c r="I480" s="10">
        <f t="shared" si="127"/>
        <v>340000</v>
      </c>
      <c r="J480" s="52" t="s">
        <v>90</v>
      </c>
      <c r="K480" s="87" t="s">
        <v>356</v>
      </c>
      <c r="L480" s="12">
        <f t="shared" si="134"/>
        <v>0</v>
      </c>
      <c r="M480" s="12"/>
      <c r="N480" s="12"/>
      <c r="O480" s="12">
        <f t="shared" si="135"/>
        <v>0</v>
      </c>
      <c r="P480" s="12"/>
      <c r="Q480" s="12"/>
      <c r="R480" s="12">
        <f t="shared" si="136"/>
        <v>0</v>
      </c>
      <c r="S480" s="12"/>
      <c r="T480" s="12"/>
      <c r="U480" s="12">
        <f t="shared" si="137"/>
        <v>0</v>
      </c>
      <c r="V480" s="12"/>
      <c r="W480" s="12"/>
      <c r="X480" s="12">
        <f t="shared" si="138"/>
        <v>0</v>
      </c>
      <c r="Y480" s="12"/>
      <c r="Z480" s="12"/>
      <c r="AA480" s="13">
        <f t="shared" si="139"/>
        <v>340000</v>
      </c>
      <c r="AB480" s="14"/>
    </row>
    <row r="481" spans="1:28" ht="15.75" hidden="1" x14ac:dyDescent="0.25">
      <c r="A481" s="65">
        <v>46041</v>
      </c>
      <c r="B481" s="10" t="s">
        <v>267</v>
      </c>
      <c r="C481" s="10"/>
      <c r="D481" s="10" t="s">
        <v>195</v>
      </c>
      <c r="E481" s="10" t="s">
        <v>60</v>
      </c>
      <c r="F481" s="10">
        <v>2</v>
      </c>
      <c r="G481" s="10" t="s">
        <v>61</v>
      </c>
      <c r="H481" s="10">
        <v>145000</v>
      </c>
      <c r="I481" s="10">
        <f t="shared" si="127"/>
        <v>290000</v>
      </c>
      <c r="J481" s="29" t="s">
        <v>113</v>
      </c>
      <c r="K481" s="10"/>
      <c r="L481" s="12">
        <f t="shared" si="134"/>
        <v>290000</v>
      </c>
      <c r="M481" s="12">
        <v>290000</v>
      </c>
      <c r="N481" s="12"/>
      <c r="O481" s="12">
        <f t="shared" si="135"/>
        <v>0</v>
      </c>
      <c r="P481" s="12"/>
      <c r="Q481" s="12"/>
      <c r="R481" s="12">
        <f t="shared" si="136"/>
        <v>0</v>
      </c>
      <c r="S481" s="12"/>
      <c r="T481" s="12"/>
      <c r="U481" s="12">
        <f t="shared" si="137"/>
        <v>0</v>
      </c>
      <c r="V481" s="12"/>
      <c r="W481" s="12"/>
      <c r="X481" s="12">
        <f t="shared" si="138"/>
        <v>0</v>
      </c>
      <c r="Y481" s="12"/>
      <c r="Z481" s="12"/>
      <c r="AA481" s="13">
        <f t="shared" si="139"/>
        <v>0</v>
      </c>
      <c r="AB481" s="14">
        <v>46041</v>
      </c>
    </row>
    <row r="482" spans="1:28" ht="15.75" hidden="1" x14ac:dyDescent="0.25">
      <c r="A482" s="65">
        <v>46041</v>
      </c>
      <c r="B482" s="10" t="s">
        <v>343</v>
      </c>
      <c r="C482" s="10"/>
      <c r="D482" s="10" t="s">
        <v>195</v>
      </c>
      <c r="E482" s="10" t="s">
        <v>313</v>
      </c>
      <c r="F482" s="10">
        <v>600</v>
      </c>
      <c r="G482" s="10" t="s">
        <v>26</v>
      </c>
      <c r="H482" s="10">
        <v>5400</v>
      </c>
      <c r="I482" s="10">
        <f t="shared" si="127"/>
        <v>3240000</v>
      </c>
      <c r="J482" s="29" t="s">
        <v>110</v>
      </c>
      <c r="K482" s="10"/>
      <c r="L482" s="12">
        <f t="shared" si="134"/>
        <v>0</v>
      </c>
      <c r="M482" s="12"/>
      <c r="N482" s="12"/>
      <c r="O482" s="12">
        <f t="shared" si="135"/>
        <v>3240000</v>
      </c>
      <c r="P482" s="12">
        <v>3240000</v>
      </c>
      <c r="Q482" s="12"/>
      <c r="R482" s="12">
        <f t="shared" si="136"/>
        <v>0</v>
      </c>
      <c r="S482" s="12"/>
      <c r="T482" s="12"/>
      <c r="U482" s="12">
        <f t="shared" si="137"/>
        <v>0</v>
      </c>
      <c r="V482" s="12"/>
      <c r="W482" s="12"/>
      <c r="X482" s="12">
        <f t="shared" si="138"/>
        <v>0</v>
      </c>
      <c r="Y482" s="12"/>
      <c r="Z482" s="12"/>
      <c r="AA482" s="13">
        <f t="shared" si="139"/>
        <v>0</v>
      </c>
      <c r="AB482" s="14">
        <v>46041</v>
      </c>
    </row>
    <row r="483" spans="1:28" ht="15.75" hidden="1" x14ac:dyDescent="0.25">
      <c r="A483" s="65">
        <v>46041</v>
      </c>
      <c r="B483" s="10" t="s">
        <v>176</v>
      </c>
      <c r="C483" s="10"/>
      <c r="D483" s="10" t="s">
        <v>32</v>
      </c>
      <c r="E483" s="10" t="s">
        <v>88</v>
      </c>
      <c r="F483" s="10">
        <v>25</v>
      </c>
      <c r="G483" s="10" t="s">
        <v>36</v>
      </c>
      <c r="H483" s="10">
        <v>125000</v>
      </c>
      <c r="I483" s="10">
        <f t="shared" si="127"/>
        <v>3125000</v>
      </c>
      <c r="J483" s="52" t="s">
        <v>30</v>
      </c>
      <c r="K483" s="87" t="s">
        <v>358</v>
      </c>
      <c r="L483" s="12">
        <f t="shared" si="134"/>
        <v>0</v>
      </c>
      <c r="M483" s="12"/>
      <c r="N483" s="12"/>
      <c r="O483" s="12">
        <f t="shared" si="135"/>
        <v>0</v>
      </c>
      <c r="P483" s="12"/>
      <c r="Q483" s="12"/>
      <c r="R483" s="12">
        <f t="shared" si="136"/>
        <v>0</v>
      </c>
      <c r="S483" s="12"/>
      <c r="T483" s="12"/>
      <c r="U483" s="12">
        <f t="shared" si="137"/>
        <v>0</v>
      </c>
      <c r="V483" s="12"/>
      <c r="W483" s="12"/>
      <c r="X483" s="12">
        <f t="shared" si="138"/>
        <v>0</v>
      </c>
      <c r="Y483" s="12"/>
      <c r="Z483" s="12"/>
      <c r="AA483" s="13">
        <f t="shared" si="139"/>
        <v>3125000</v>
      </c>
      <c r="AB483" s="14"/>
    </row>
    <row r="484" spans="1:28" ht="15.75" hidden="1" x14ac:dyDescent="0.25">
      <c r="A484" s="65">
        <v>46041</v>
      </c>
      <c r="B484" s="10" t="s">
        <v>176</v>
      </c>
      <c r="C484" s="10"/>
      <c r="D484" s="10" t="s">
        <v>32</v>
      </c>
      <c r="E484" s="10" t="s">
        <v>104</v>
      </c>
      <c r="F484" s="10">
        <v>3000</v>
      </c>
      <c r="G484" s="10" t="s">
        <v>26</v>
      </c>
      <c r="H484" s="10">
        <v>1750</v>
      </c>
      <c r="I484" s="10">
        <f t="shared" si="127"/>
        <v>5250000</v>
      </c>
      <c r="J484" s="52" t="s">
        <v>30</v>
      </c>
      <c r="K484" s="87" t="s">
        <v>358</v>
      </c>
      <c r="L484" s="12">
        <f t="shared" si="134"/>
        <v>0</v>
      </c>
      <c r="M484" s="12"/>
      <c r="N484" s="12"/>
      <c r="O484" s="12">
        <f t="shared" si="135"/>
        <v>0</v>
      </c>
      <c r="P484" s="12"/>
      <c r="Q484" s="12"/>
      <c r="R484" s="12">
        <f t="shared" si="136"/>
        <v>0</v>
      </c>
      <c r="S484" s="12"/>
      <c r="T484" s="12"/>
      <c r="U484" s="12">
        <f t="shared" si="137"/>
        <v>0</v>
      </c>
      <c r="V484" s="12"/>
      <c r="W484" s="12"/>
      <c r="X484" s="12">
        <f t="shared" si="138"/>
        <v>0</v>
      </c>
      <c r="Y484" s="12"/>
      <c r="Z484" s="12"/>
      <c r="AA484" s="13">
        <f t="shared" si="139"/>
        <v>5250000</v>
      </c>
      <c r="AB484" s="14"/>
    </row>
    <row r="485" spans="1:28" ht="15.75" hidden="1" x14ac:dyDescent="0.25">
      <c r="A485" s="65">
        <v>46041</v>
      </c>
      <c r="B485" s="10" t="s">
        <v>239</v>
      </c>
      <c r="C485" s="10"/>
      <c r="D485" s="10" t="s">
        <v>206</v>
      </c>
      <c r="E485" s="10" t="s">
        <v>98</v>
      </c>
      <c r="F485" s="10">
        <v>2000</v>
      </c>
      <c r="G485" s="10" t="s">
        <v>26</v>
      </c>
      <c r="H485" s="10">
        <v>2000</v>
      </c>
      <c r="I485" s="10">
        <f t="shared" si="127"/>
        <v>4000000</v>
      </c>
      <c r="J485" s="29" t="s">
        <v>110</v>
      </c>
      <c r="K485" s="10"/>
      <c r="L485" s="12">
        <f t="shared" si="134"/>
        <v>0</v>
      </c>
      <c r="M485" s="12"/>
      <c r="N485" s="12"/>
      <c r="O485" s="12">
        <f t="shared" si="135"/>
        <v>4000000</v>
      </c>
      <c r="P485" s="12">
        <v>4000000</v>
      </c>
      <c r="Q485" s="12"/>
      <c r="R485" s="12">
        <f t="shared" si="136"/>
        <v>0</v>
      </c>
      <c r="S485" s="12"/>
      <c r="T485" s="12"/>
      <c r="U485" s="12">
        <f t="shared" si="137"/>
        <v>0</v>
      </c>
      <c r="V485" s="12"/>
      <c r="W485" s="12"/>
      <c r="X485" s="12">
        <f t="shared" si="138"/>
        <v>0</v>
      </c>
      <c r="Y485" s="12"/>
      <c r="Z485" s="12"/>
      <c r="AA485" s="13">
        <f t="shared" si="139"/>
        <v>0</v>
      </c>
      <c r="AB485" s="14">
        <v>46041</v>
      </c>
    </row>
    <row r="486" spans="1:28" ht="15.75" hidden="1" x14ac:dyDescent="0.25">
      <c r="A486" s="65">
        <v>46041</v>
      </c>
      <c r="B486" s="10" t="s">
        <v>281</v>
      </c>
      <c r="C486" s="10"/>
      <c r="D486" s="10" t="s">
        <v>195</v>
      </c>
      <c r="E486" s="10" t="s">
        <v>130</v>
      </c>
      <c r="F486" s="10">
        <v>20</v>
      </c>
      <c r="G486" s="10" t="s">
        <v>67</v>
      </c>
      <c r="H486" s="10">
        <v>50000</v>
      </c>
      <c r="I486" s="10">
        <f t="shared" si="127"/>
        <v>1000000</v>
      </c>
      <c r="J486" s="29" t="s">
        <v>110</v>
      </c>
      <c r="K486" s="10"/>
      <c r="L486" s="12">
        <f t="shared" si="134"/>
        <v>0</v>
      </c>
      <c r="M486" s="12"/>
      <c r="N486" s="12"/>
      <c r="O486" s="12">
        <f t="shared" si="135"/>
        <v>1000000</v>
      </c>
      <c r="P486" s="12">
        <v>1000000</v>
      </c>
      <c r="Q486" s="12"/>
      <c r="R486" s="12">
        <f t="shared" si="136"/>
        <v>0</v>
      </c>
      <c r="S486" s="12"/>
      <c r="T486" s="12"/>
      <c r="U486" s="12">
        <f t="shared" si="137"/>
        <v>0</v>
      </c>
      <c r="V486" s="12"/>
      <c r="W486" s="12"/>
      <c r="X486" s="12">
        <f t="shared" si="138"/>
        <v>0</v>
      </c>
      <c r="Y486" s="12"/>
      <c r="Z486" s="12"/>
      <c r="AA486" s="13">
        <f t="shared" si="139"/>
        <v>0</v>
      </c>
      <c r="AB486" s="14">
        <v>46041</v>
      </c>
    </row>
    <row r="487" spans="1:28" ht="15.75" hidden="1" x14ac:dyDescent="0.25">
      <c r="A487" s="65">
        <v>46041</v>
      </c>
      <c r="B487" s="10" t="s">
        <v>281</v>
      </c>
      <c r="C487" s="10"/>
      <c r="D487" s="10" t="s">
        <v>195</v>
      </c>
      <c r="E487" s="10" t="s">
        <v>117</v>
      </c>
      <c r="F487" s="10">
        <v>10</v>
      </c>
      <c r="G487" s="10" t="s">
        <v>36</v>
      </c>
      <c r="H487" s="10">
        <v>70000</v>
      </c>
      <c r="I487" s="10">
        <f t="shared" si="127"/>
        <v>700000</v>
      </c>
      <c r="J487" s="29" t="s">
        <v>110</v>
      </c>
      <c r="K487" s="10"/>
      <c r="L487" s="12">
        <f t="shared" si="134"/>
        <v>0</v>
      </c>
      <c r="M487" s="12"/>
      <c r="N487" s="12"/>
      <c r="O487" s="12">
        <f t="shared" si="135"/>
        <v>700000</v>
      </c>
      <c r="P487" s="12">
        <v>700000</v>
      </c>
      <c r="Q487" s="12"/>
      <c r="R487" s="12">
        <f t="shared" si="136"/>
        <v>0</v>
      </c>
      <c r="S487" s="12"/>
      <c r="T487" s="12"/>
      <c r="U487" s="12">
        <f t="shared" si="137"/>
        <v>0</v>
      </c>
      <c r="V487" s="12"/>
      <c r="W487" s="12"/>
      <c r="X487" s="12">
        <f t="shared" si="138"/>
        <v>0</v>
      </c>
      <c r="Y487" s="12"/>
      <c r="Z487" s="12"/>
      <c r="AA487" s="13">
        <f t="shared" si="139"/>
        <v>0</v>
      </c>
      <c r="AB487" s="14">
        <v>46041</v>
      </c>
    </row>
    <row r="488" spans="1:28" ht="15.75" hidden="1" x14ac:dyDescent="0.25">
      <c r="A488" s="65">
        <v>46041</v>
      </c>
      <c r="B488" s="10" t="s">
        <v>196</v>
      </c>
      <c r="C488" s="10"/>
      <c r="D488" s="10" t="s">
        <v>28</v>
      </c>
      <c r="E488" s="10" t="s">
        <v>209</v>
      </c>
      <c r="F488" s="10">
        <v>2</v>
      </c>
      <c r="G488" s="10" t="s">
        <v>61</v>
      </c>
      <c r="H488" s="10">
        <v>230000</v>
      </c>
      <c r="I488" s="10">
        <f t="shared" si="127"/>
        <v>460000</v>
      </c>
      <c r="J488" s="29" t="s">
        <v>110</v>
      </c>
      <c r="K488" s="10" t="s">
        <v>358</v>
      </c>
      <c r="L488" s="12">
        <f t="shared" si="134"/>
        <v>0</v>
      </c>
      <c r="M488" s="12"/>
      <c r="N488" s="12"/>
      <c r="O488" s="12">
        <f t="shared" si="135"/>
        <v>460000</v>
      </c>
      <c r="P488" s="12">
        <v>460000</v>
      </c>
      <c r="Q488" s="12"/>
      <c r="R488" s="12">
        <f t="shared" si="136"/>
        <v>0</v>
      </c>
      <c r="S488" s="12"/>
      <c r="T488" s="12"/>
      <c r="U488" s="12">
        <f t="shared" si="137"/>
        <v>0</v>
      </c>
      <c r="V488" s="12"/>
      <c r="W488" s="12"/>
      <c r="X488" s="12">
        <f t="shared" si="138"/>
        <v>0</v>
      </c>
      <c r="Y488" s="12"/>
      <c r="Z488" s="12"/>
      <c r="AA488" s="13">
        <f t="shared" si="139"/>
        <v>0</v>
      </c>
      <c r="AB488" s="14">
        <v>46043</v>
      </c>
    </row>
    <row r="489" spans="1:28" ht="15.75" hidden="1" x14ac:dyDescent="0.25">
      <c r="A489" s="65">
        <v>46041</v>
      </c>
      <c r="B489" s="10" t="s">
        <v>196</v>
      </c>
      <c r="C489" s="10"/>
      <c r="D489" s="10" t="s">
        <v>28</v>
      </c>
      <c r="E489" s="10" t="s">
        <v>80</v>
      </c>
      <c r="F489" s="10">
        <v>89.5</v>
      </c>
      <c r="G489" s="10" t="s">
        <v>36</v>
      </c>
      <c r="H489" s="10">
        <v>41000</v>
      </c>
      <c r="I489" s="10">
        <f t="shared" si="127"/>
        <v>3669500</v>
      </c>
      <c r="J489" s="29" t="s">
        <v>110</v>
      </c>
      <c r="K489" s="10" t="s">
        <v>358</v>
      </c>
      <c r="L489" s="12">
        <f t="shared" si="134"/>
        <v>0</v>
      </c>
      <c r="M489" s="12"/>
      <c r="N489" s="12"/>
      <c r="O489" s="12">
        <f t="shared" si="135"/>
        <v>3669500</v>
      </c>
      <c r="P489" s="12">
        <v>3669500</v>
      </c>
      <c r="Q489" s="12"/>
      <c r="R489" s="12">
        <f t="shared" si="136"/>
        <v>0</v>
      </c>
      <c r="S489" s="12"/>
      <c r="T489" s="12"/>
      <c r="U489" s="12">
        <f t="shared" si="137"/>
        <v>0</v>
      </c>
      <c r="V489" s="12"/>
      <c r="W489" s="12"/>
      <c r="X489" s="12">
        <f t="shared" si="138"/>
        <v>0</v>
      </c>
      <c r="Y489" s="12"/>
      <c r="Z489" s="12"/>
      <c r="AA489" s="13">
        <f t="shared" si="139"/>
        <v>0</v>
      </c>
      <c r="AB489" s="14">
        <v>46043</v>
      </c>
    </row>
    <row r="490" spans="1:28" ht="15.75" hidden="1" x14ac:dyDescent="0.25">
      <c r="A490" s="65">
        <v>46041</v>
      </c>
      <c r="B490" s="10" t="s">
        <v>196</v>
      </c>
      <c r="C490" s="10"/>
      <c r="D490" s="10" t="s">
        <v>28</v>
      </c>
      <c r="E490" s="10" t="s">
        <v>198</v>
      </c>
      <c r="F490" s="10">
        <v>97.9</v>
      </c>
      <c r="G490" s="10" t="s">
        <v>36</v>
      </c>
      <c r="H490" s="10">
        <v>41000</v>
      </c>
      <c r="I490" s="10">
        <f t="shared" si="127"/>
        <v>4013900.0000000005</v>
      </c>
      <c r="J490" s="29" t="s">
        <v>110</v>
      </c>
      <c r="K490" s="10" t="s">
        <v>358</v>
      </c>
      <c r="L490" s="12">
        <f t="shared" si="134"/>
        <v>0</v>
      </c>
      <c r="M490" s="12"/>
      <c r="N490" s="12"/>
      <c r="O490" s="12">
        <f t="shared" si="135"/>
        <v>4013900</v>
      </c>
      <c r="P490" s="12">
        <v>4013900</v>
      </c>
      <c r="Q490" s="12"/>
      <c r="R490" s="12">
        <f t="shared" si="136"/>
        <v>0</v>
      </c>
      <c r="S490" s="12"/>
      <c r="T490" s="12"/>
      <c r="U490" s="12">
        <f t="shared" si="137"/>
        <v>0</v>
      </c>
      <c r="V490" s="12"/>
      <c r="W490" s="12"/>
      <c r="X490" s="12">
        <f t="shared" si="138"/>
        <v>0</v>
      </c>
      <c r="Y490" s="12"/>
      <c r="Z490" s="12"/>
      <c r="AA490" s="13">
        <f t="shared" si="139"/>
        <v>4.6566128730773926E-10</v>
      </c>
      <c r="AB490" s="14">
        <v>46043</v>
      </c>
    </row>
    <row r="491" spans="1:28" ht="15.75" hidden="1" x14ac:dyDescent="0.25">
      <c r="A491" s="65">
        <v>46041</v>
      </c>
      <c r="B491" s="10" t="s">
        <v>196</v>
      </c>
      <c r="C491" s="10"/>
      <c r="D491" s="10" t="s">
        <v>28</v>
      </c>
      <c r="E491" s="10" t="s">
        <v>93</v>
      </c>
      <c r="F491" s="10">
        <v>32.1</v>
      </c>
      <c r="G491" s="10" t="s">
        <v>36</v>
      </c>
      <c r="H491" s="10">
        <v>41000</v>
      </c>
      <c r="I491" s="10">
        <f t="shared" si="127"/>
        <v>1316100</v>
      </c>
      <c r="J491" s="29" t="s">
        <v>110</v>
      </c>
      <c r="K491" s="10" t="s">
        <v>358</v>
      </c>
      <c r="L491" s="12">
        <f t="shared" si="134"/>
        <v>0</v>
      </c>
      <c r="M491" s="12"/>
      <c r="N491" s="12"/>
      <c r="O491" s="12">
        <f t="shared" si="135"/>
        <v>1316100</v>
      </c>
      <c r="P491" s="12">
        <v>1316100</v>
      </c>
      <c r="Q491" s="12"/>
      <c r="R491" s="12">
        <f t="shared" si="136"/>
        <v>0</v>
      </c>
      <c r="S491" s="12"/>
      <c r="T491" s="12"/>
      <c r="U491" s="12">
        <f t="shared" si="137"/>
        <v>0</v>
      </c>
      <c r="V491" s="12"/>
      <c r="W491" s="12"/>
      <c r="X491" s="12">
        <f t="shared" si="138"/>
        <v>0</v>
      </c>
      <c r="Y491" s="12"/>
      <c r="Z491" s="12"/>
      <c r="AA491" s="13">
        <f t="shared" si="139"/>
        <v>0</v>
      </c>
      <c r="AB491" s="14">
        <v>46043</v>
      </c>
    </row>
    <row r="492" spans="1:28" ht="15.75" hidden="1" x14ac:dyDescent="0.25">
      <c r="A492" s="65">
        <v>46041</v>
      </c>
      <c r="B492" s="10" t="s">
        <v>353</v>
      </c>
      <c r="C492" s="10"/>
      <c r="D492" s="10" t="s">
        <v>28</v>
      </c>
      <c r="E492" s="10" t="s">
        <v>354</v>
      </c>
      <c r="F492" s="10">
        <v>30</v>
      </c>
      <c r="G492" s="10" t="s">
        <v>36</v>
      </c>
      <c r="H492" s="10">
        <v>88000</v>
      </c>
      <c r="I492" s="10">
        <f t="shared" si="127"/>
        <v>2640000</v>
      </c>
      <c r="J492" s="29" t="s">
        <v>113</v>
      </c>
      <c r="K492" s="10"/>
      <c r="L492" s="12">
        <f t="shared" si="134"/>
        <v>2640000</v>
      </c>
      <c r="M492" s="12">
        <v>2640000</v>
      </c>
      <c r="N492" s="12"/>
      <c r="O492" s="12">
        <f t="shared" si="135"/>
        <v>0</v>
      </c>
      <c r="P492" s="12"/>
      <c r="Q492" s="12"/>
      <c r="R492" s="12">
        <f t="shared" si="136"/>
        <v>0</v>
      </c>
      <c r="S492" s="12"/>
      <c r="T492" s="12"/>
      <c r="U492" s="12">
        <f t="shared" si="137"/>
        <v>0</v>
      </c>
      <c r="V492" s="12"/>
      <c r="W492" s="12"/>
      <c r="X492" s="12">
        <f t="shared" si="138"/>
        <v>0</v>
      </c>
      <c r="Y492" s="12"/>
      <c r="Z492" s="12"/>
      <c r="AA492" s="13">
        <f t="shared" si="139"/>
        <v>0</v>
      </c>
      <c r="AB492" s="14">
        <v>46041</v>
      </c>
    </row>
    <row r="493" spans="1:28" ht="15.75" hidden="1" x14ac:dyDescent="0.25">
      <c r="A493" s="65">
        <v>46041</v>
      </c>
      <c r="B493" s="10" t="s">
        <v>353</v>
      </c>
      <c r="C493" s="10"/>
      <c r="D493" s="10" t="s">
        <v>28</v>
      </c>
      <c r="E493" s="10" t="s">
        <v>355</v>
      </c>
      <c r="F493" s="10">
        <v>50</v>
      </c>
      <c r="G493" s="10" t="s">
        <v>36</v>
      </c>
      <c r="H493" s="10">
        <v>88000</v>
      </c>
      <c r="I493" s="10">
        <f t="shared" si="127"/>
        <v>4400000</v>
      </c>
      <c r="J493" s="29" t="s">
        <v>113</v>
      </c>
      <c r="K493" s="10"/>
      <c r="L493" s="12">
        <f t="shared" si="134"/>
        <v>4400000</v>
      </c>
      <c r="M493" s="12">
        <v>4400000</v>
      </c>
      <c r="N493" s="12"/>
      <c r="O493" s="12">
        <f t="shared" si="135"/>
        <v>0</v>
      </c>
      <c r="P493" s="12"/>
      <c r="Q493" s="12"/>
      <c r="R493" s="12">
        <f t="shared" si="136"/>
        <v>0</v>
      </c>
      <c r="S493" s="12"/>
      <c r="T493" s="12"/>
      <c r="U493" s="12">
        <f t="shared" si="137"/>
        <v>0</v>
      </c>
      <c r="V493" s="12"/>
      <c r="W493" s="12"/>
      <c r="X493" s="12">
        <f t="shared" si="138"/>
        <v>0</v>
      </c>
      <c r="Y493" s="12"/>
      <c r="Z493" s="12"/>
      <c r="AA493" s="13">
        <f t="shared" si="139"/>
        <v>0</v>
      </c>
      <c r="AB493" s="14">
        <v>46041</v>
      </c>
    </row>
    <row r="494" spans="1:28" ht="15.75" hidden="1" x14ac:dyDescent="0.25">
      <c r="A494" s="28">
        <v>46041</v>
      </c>
      <c r="B494" s="10" t="s">
        <v>353</v>
      </c>
      <c r="C494" s="10"/>
      <c r="D494" s="10" t="s">
        <v>28</v>
      </c>
      <c r="E494" s="10" t="s">
        <v>114</v>
      </c>
      <c r="F494" s="10">
        <v>10</v>
      </c>
      <c r="G494" s="10" t="s">
        <v>67</v>
      </c>
      <c r="H494" s="10">
        <v>50000</v>
      </c>
      <c r="I494" s="10">
        <f t="shared" si="127"/>
        <v>500000</v>
      </c>
      <c r="J494" s="29" t="s">
        <v>113</v>
      </c>
      <c r="K494" s="10"/>
      <c r="L494" s="12">
        <f t="shared" si="134"/>
        <v>500000</v>
      </c>
      <c r="M494" s="12">
        <v>500000</v>
      </c>
      <c r="N494" s="12"/>
      <c r="O494" s="12">
        <f t="shared" si="135"/>
        <v>0</v>
      </c>
      <c r="P494" s="12"/>
      <c r="Q494" s="12"/>
      <c r="R494" s="12">
        <f t="shared" si="136"/>
        <v>0</v>
      </c>
      <c r="S494" s="12"/>
      <c r="T494" s="12"/>
      <c r="U494" s="12">
        <f t="shared" si="137"/>
        <v>0</v>
      </c>
      <c r="V494" s="12"/>
      <c r="W494" s="12"/>
      <c r="X494" s="12">
        <f t="shared" si="138"/>
        <v>0</v>
      </c>
      <c r="Y494" s="12"/>
      <c r="Z494" s="12"/>
      <c r="AA494" s="13">
        <f t="shared" si="139"/>
        <v>0</v>
      </c>
      <c r="AB494" s="14">
        <v>46041</v>
      </c>
    </row>
    <row r="495" spans="1:28" ht="15.75" hidden="1" x14ac:dyDescent="0.25">
      <c r="A495" s="65">
        <v>46041</v>
      </c>
      <c r="B495" s="10" t="s">
        <v>353</v>
      </c>
      <c r="C495" s="10"/>
      <c r="D495" s="10" t="s">
        <v>28</v>
      </c>
      <c r="E495" s="10" t="s">
        <v>129</v>
      </c>
      <c r="F495" s="10">
        <v>5000</v>
      </c>
      <c r="G495" s="10" t="s">
        <v>26</v>
      </c>
      <c r="H495" s="10">
        <v>3700</v>
      </c>
      <c r="I495" s="10">
        <f t="shared" si="127"/>
        <v>18500000</v>
      </c>
      <c r="J495" s="29" t="s">
        <v>113</v>
      </c>
      <c r="K495" s="10"/>
      <c r="L495" s="12">
        <f t="shared" si="134"/>
        <v>18500000</v>
      </c>
      <c r="M495" s="12">
        <v>18500000</v>
      </c>
      <c r="N495" s="12"/>
      <c r="O495" s="12">
        <f t="shared" si="135"/>
        <v>0</v>
      </c>
      <c r="P495" s="12"/>
      <c r="Q495" s="12"/>
      <c r="R495" s="12">
        <f t="shared" si="136"/>
        <v>0</v>
      </c>
      <c r="S495" s="12"/>
      <c r="T495" s="12"/>
      <c r="U495" s="12">
        <f t="shared" si="137"/>
        <v>0</v>
      </c>
      <c r="V495" s="12"/>
      <c r="W495" s="12"/>
      <c r="X495" s="12">
        <f t="shared" si="138"/>
        <v>0</v>
      </c>
      <c r="Y495" s="12"/>
      <c r="Z495" s="12"/>
      <c r="AA495" s="13">
        <f t="shared" si="139"/>
        <v>0</v>
      </c>
      <c r="AB495" s="14">
        <v>46041</v>
      </c>
    </row>
    <row r="496" spans="1:28" ht="15.75" hidden="1" x14ac:dyDescent="0.25">
      <c r="A496" s="65">
        <v>46041</v>
      </c>
      <c r="B496" s="10" t="s">
        <v>246</v>
      </c>
      <c r="C496" s="10"/>
      <c r="D496" s="10" t="s">
        <v>195</v>
      </c>
      <c r="E496" s="10" t="s">
        <v>65</v>
      </c>
      <c r="F496" s="10">
        <v>800</v>
      </c>
      <c r="G496" s="10" t="s">
        <v>26</v>
      </c>
      <c r="H496" s="10">
        <v>3900</v>
      </c>
      <c r="I496" s="10">
        <f t="shared" si="127"/>
        <v>3120000</v>
      </c>
      <c r="J496" s="29" t="s">
        <v>110</v>
      </c>
      <c r="K496" s="10"/>
      <c r="L496" s="12">
        <f t="shared" si="134"/>
        <v>0</v>
      </c>
      <c r="M496" s="12"/>
      <c r="N496" s="12"/>
      <c r="O496" s="12">
        <f t="shared" si="135"/>
        <v>3120000</v>
      </c>
      <c r="P496" s="12">
        <v>3120000</v>
      </c>
      <c r="Q496" s="12"/>
      <c r="R496" s="12">
        <f t="shared" si="136"/>
        <v>0</v>
      </c>
      <c r="S496" s="12"/>
      <c r="T496" s="12"/>
      <c r="U496" s="12">
        <f t="shared" si="137"/>
        <v>0</v>
      </c>
      <c r="V496" s="12"/>
      <c r="W496" s="12"/>
      <c r="X496" s="12">
        <f t="shared" si="138"/>
        <v>0</v>
      </c>
      <c r="Y496" s="12"/>
      <c r="Z496" s="12"/>
      <c r="AA496" s="13">
        <f t="shared" si="139"/>
        <v>0</v>
      </c>
      <c r="AB496" s="14">
        <v>46041</v>
      </c>
    </row>
    <row r="497" spans="1:28" ht="16.5" hidden="1" thickBot="1" x14ac:dyDescent="0.3">
      <c r="A497" s="53">
        <v>46041</v>
      </c>
      <c r="B497" s="31" t="s">
        <v>246</v>
      </c>
      <c r="C497" s="31"/>
      <c r="D497" s="31" t="s">
        <v>195</v>
      </c>
      <c r="E497" s="31" t="s">
        <v>315</v>
      </c>
      <c r="F497" s="31">
        <v>26.8</v>
      </c>
      <c r="G497" s="31" t="s">
        <v>36</v>
      </c>
      <c r="H497" s="31">
        <v>43000</v>
      </c>
      <c r="I497" s="31">
        <f t="shared" si="127"/>
        <v>1152400</v>
      </c>
      <c r="J497" s="51" t="s">
        <v>110</v>
      </c>
      <c r="K497" s="31"/>
      <c r="L497" s="34">
        <f t="shared" si="134"/>
        <v>0</v>
      </c>
      <c r="M497" s="34"/>
      <c r="N497" s="34"/>
      <c r="O497" s="34">
        <f t="shared" si="135"/>
        <v>1152400</v>
      </c>
      <c r="P497" s="34">
        <v>1152400</v>
      </c>
      <c r="Q497" s="34"/>
      <c r="R497" s="34">
        <f t="shared" si="136"/>
        <v>0</v>
      </c>
      <c r="S497" s="34"/>
      <c r="T497" s="34"/>
      <c r="U497" s="34">
        <f t="shared" si="137"/>
        <v>0</v>
      </c>
      <c r="V497" s="34"/>
      <c r="W497" s="34"/>
      <c r="X497" s="34">
        <f t="shared" si="138"/>
        <v>0</v>
      </c>
      <c r="Y497" s="34"/>
      <c r="Z497" s="34"/>
      <c r="AA497" s="35">
        <f t="shared" si="139"/>
        <v>0</v>
      </c>
      <c r="AB497" s="36">
        <v>46041</v>
      </c>
    </row>
    <row r="498" spans="1:28" ht="15.75" hidden="1" x14ac:dyDescent="0.25">
      <c r="A498" s="65">
        <v>46042</v>
      </c>
      <c r="B498" s="66" t="s">
        <v>359</v>
      </c>
      <c r="C498" s="66"/>
      <c r="D498" s="66" t="s">
        <v>195</v>
      </c>
      <c r="E498" s="66" t="s">
        <v>173</v>
      </c>
      <c r="F498" s="66">
        <v>25</v>
      </c>
      <c r="G498" s="66" t="s">
        <v>36</v>
      </c>
      <c r="H498" s="66">
        <v>125000</v>
      </c>
      <c r="I498" s="10">
        <f t="shared" si="127"/>
        <v>3125000</v>
      </c>
      <c r="J498" s="84" t="s">
        <v>110</v>
      </c>
      <c r="K498" s="66"/>
      <c r="L498" s="12">
        <f t="shared" si="134"/>
        <v>0</v>
      </c>
      <c r="M498" s="12"/>
      <c r="N498" s="12"/>
      <c r="O498" s="12">
        <f t="shared" si="135"/>
        <v>3125000</v>
      </c>
      <c r="P498" s="12">
        <v>3125000</v>
      </c>
      <c r="Q498" s="12"/>
      <c r="R498" s="12">
        <f t="shared" si="136"/>
        <v>0</v>
      </c>
      <c r="S498" s="12"/>
      <c r="T498" s="12"/>
      <c r="U498" s="12">
        <f t="shared" si="137"/>
        <v>0</v>
      </c>
      <c r="V498" s="12"/>
      <c r="W498" s="12"/>
      <c r="X498" s="12">
        <f t="shared" si="138"/>
        <v>0</v>
      </c>
      <c r="Y498" s="12"/>
      <c r="Z498" s="12"/>
      <c r="AA498" s="13">
        <f t="shared" si="139"/>
        <v>0</v>
      </c>
      <c r="AB498" s="14">
        <v>46042</v>
      </c>
    </row>
    <row r="499" spans="1:28" ht="15.75" hidden="1" x14ac:dyDescent="0.25">
      <c r="A499" s="65">
        <v>46042</v>
      </c>
      <c r="B499" s="10" t="s">
        <v>341</v>
      </c>
      <c r="C499" s="10"/>
      <c r="D499" s="66" t="s">
        <v>195</v>
      </c>
      <c r="E499" s="10" t="s">
        <v>114</v>
      </c>
      <c r="F499" s="10">
        <v>100</v>
      </c>
      <c r="G499" s="10" t="s">
        <v>67</v>
      </c>
      <c r="H499" s="10">
        <v>50000</v>
      </c>
      <c r="I499" s="10">
        <f t="shared" si="127"/>
        <v>5000000</v>
      </c>
      <c r="J499" s="29" t="s">
        <v>110</v>
      </c>
      <c r="K499" s="10"/>
      <c r="L499" s="12">
        <f t="shared" ref="L499:L513" si="140">M499+N499</f>
        <v>0</v>
      </c>
      <c r="M499" s="12"/>
      <c r="N499" s="12"/>
      <c r="O499" s="12">
        <f t="shared" ref="O499:O513" si="141">P499+Q499</f>
        <v>0</v>
      </c>
      <c r="P499" s="12"/>
      <c r="Q499" s="12"/>
      <c r="R499" s="12">
        <f t="shared" ref="R499:R513" si="142">S499+T499</f>
        <v>5000000</v>
      </c>
      <c r="S499" s="12">
        <v>5000000</v>
      </c>
      <c r="T499" s="12"/>
      <c r="U499" s="12">
        <f t="shared" ref="U499:U513" si="143">V499+W499</f>
        <v>0</v>
      </c>
      <c r="V499" s="12"/>
      <c r="W499" s="12"/>
      <c r="X499" s="12">
        <f t="shared" ref="X499:X513" si="144">Y499+Z499</f>
        <v>0</v>
      </c>
      <c r="Y499" s="12"/>
      <c r="Z499" s="12"/>
      <c r="AA499" s="13">
        <f t="shared" ref="AA499:AA513" si="145">C499+I499-L499-O499-U499-X499-R499</f>
        <v>0</v>
      </c>
      <c r="AB499" s="14">
        <v>46042</v>
      </c>
    </row>
    <row r="500" spans="1:28" ht="15.75" hidden="1" x14ac:dyDescent="0.25">
      <c r="A500" s="65">
        <v>46042</v>
      </c>
      <c r="B500" s="10" t="s">
        <v>309</v>
      </c>
      <c r="C500" s="10"/>
      <c r="D500" s="66" t="s">
        <v>195</v>
      </c>
      <c r="E500" s="10" t="s">
        <v>310</v>
      </c>
      <c r="F500" s="10">
        <v>8</v>
      </c>
      <c r="G500" s="10" t="s">
        <v>39</v>
      </c>
      <c r="H500" s="10">
        <v>250000</v>
      </c>
      <c r="I500" s="10">
        <f t="shared" si="127"/>
        <v>2000000</v>
      </c>
      <c r="J500" s="29" t="s">
        <v>110</v>
      </c>
      <c r="K500" s="10"/>
      <c r="L500" s="12">
        <f t="shared" si="140"/>
        <v>0</v>
      </c>
      <c r="M500" s="12"/>
      <c r="N500" s="12"/>
      <c r="O500" s="12">
        <f t="shared" si="141"/>
        <v>2000000</v>
      </c>
      <c r="P500" s="12">
        <v>2000000</v>
      </c>
      <c r="Q500" s="12"/>
      <c r="R500" s="12">
        <f t="shared" si="142"/>
        <v>0</v>
      </c>
      <c r="S500" s="12"/>
      <c r="T500" s="12"/>
      <c r="U500" s="12">
        <f t="shared" si="143"/>
        <v>0</v>
      </c>
      <c r="V500" s="12"/>
      <c r="W500" s="12"/>
      <c r="X500" s="12">
        <f t="shared" si="144"/>
        <v>0</v>
      </c>
      <c r="Y500" s="12"/>
      <c r="Z500" s="12"/>
      <c r="AA500" s="13">
        <f t="shared" si="145"/>
        <v>0</v>
      </c>
      <c r="AB500" s="14">
        <v>46042</v>
      </c>
    </row>
    <row r="501" spans="1:28" ht="15.75" hidden="1" x14ac:dyDescent="0.25">
      <c r="A501" s="65">
        <v>46042</v>
      </c>
      <c r="B501" s="10" t="s">
        <v>309</v>
      </c>
      <c r="C501" s="10"/>
      <c r="D501" s="66" t="s">
        <v>195</v>
      </c>
      <c r="E501" s="10" t="s">
        <v>360</v>
      </c>
      <c r="F501" s="10">
        <v>1000</v>
      </c>
      <c r="G501" s="10" t="s">
        <v>26</v>
      </c>
      <c r="H501" s="10">
        <v>2720</v>
      </c>
      <c r="I501" s="10">
        <f t="shared" si="127"/>
        <v>2720000</v>
      </c>
      <c r="J501" s="29" t="s">
        <v>110</v>
      </c>
      <c r="K501" s="10"/>
      <c r="L501" s="12">
        <f t="shared" si="140"/>
        <v>0</v>
      </c>
      <c r="M501" s="12"/>
      <c r="N501" s="12"/>
      <c r="O501" s="12">
        <f t="shared" si="141"/>
        <v>2720000</v>
      </c>
      <c r="P501" s="12">
        <v>2720000</v>
      </c>
      <c r="Q501" s="12"/>
      <c r="R501" s="12">
        <f t="shared" si="142"/>
        <v>0</v>
      </c>
      <c r="S501" s="12"/>
      <c r="T501" s="12"/>
      <c r="U501" s="12">
        <f t="shared" si="143"/>
        <v>0</v>
      </c>
      <c r="V501" s="12"/>
      <c r="W501" s="12"/>
      <c r="X501" s="12">
        <f t="shared" si="144"/>
        <v>0</v>
      </c>
      <c r="Y501" s="12"/>
      <c r="Z501" s="12"/>
      <c r="AA501" s="13">
        <f t="shared" si="145"/>
        <v>0</v>
      </c>
      <c r="AB501" s="14">
        <v>46042</v>
      </c>
    </row>
    <row r="502" spans="1:28" ht="15.75" hidden="1" x14ac:dyDescent="0.25">
      <c r="A502" s="65">
        <v>46042</v>
      </c>
      <c r="B502" s="10" t="s">
        <v>222</v>
      </c>
      <c r="C502" s="10"/>
      <c r="D502" s="66" t="s">
        <v>195</v>
      </c>
      <c r="E502" s="10" t="s">
        <v>229</v>
      </c>
      <c r="F502" s="10">
        <v>145.6</v>
      </c>
      <c r="G502" s="10" t="s">
        <v>36</v>
      </c>
      <c r="H502" s="10">
        <v>43000</v>
      </c>
      <c r="I502" s="10">
        <f t="shared" si="127"/>
        <v>6260800</v>
      </c>
      <c r="J502" s="29" t="s">
        <v>110</v>
      </c>
      <c r="K502" s="10" t="s">
        <v>367</v>
      </c>
      <c r="L502" s="12">
        <f t="shared" si="140"/>
        <v>0</v>
      </c>
      <c r="M502" s="12"/>
      <c r="N502" s="12"/>
      <c r="O502" s="12">
        <f t="shared" si="141"/>
        <v>6260800</v>
      </c>
      <c r="P502" s="12">
        <v>6260800</v>
      </c>
      <c r="Q502" s="12"/>
      <c r="R502" s="12">
        <f t="shared" si="142"/>
        <v>0</v>
      </c>
      <c r="S502" s="12"/>
      <c r="T502" s="12"/>
      <c r="U502" s="12">
        <f t="shared" si="143"/>
        <v>0</v>
      </c>
      <c r="V502" s="12"/>
      <c r="W502" s="12"/>
      <c r="X502" s="12">
        <f t="shared" si="144"/>
        <v>0</v>
      </c>
      <c r="Y502" s="12"/>
      <c r="Z502" s="12"/>
      <c r="AA502" s="13">
        <f t="shared" si="145"/>
        <v>0</v>
      </c>
      <c r="AB502" s="14">
        <v>46043</v>
      </c>
    </row>
    <row r="503" spans="1:28" ht="15.75" hidden="1" x14ac:dyDescent="0.25">
      <c r="A503" s="65">
        <v>46042</v>
      </c>
      <c r="B503" s="10" t="s">
        <v>361</v>
      </c>
      <c r="C503" s="10"/>
      <c r="D503" s="10" t="s">
        <v>206</v>
      </c>
      <c r="E503" s="10" t="s">
        <v>229</v>
      </c>
      <c r="F503" s="10">
        <v>14.5</v>
      </c>
      <c r="G503" s="10" t="s">
        <v>36</v>
      </c>
      <c r="H503" s="10">
        <v>43000</v>
      </c>
      <c r="I503" s="10">
        <f t="shared" si="127"/>
        <v>623500</v>
      </c>
      <c r="J503" s="29" t="s">
        <v>113</v>
      </c>
      <c r="K503" s="10"/>
      <c r="L503" s="12">
        <f t="shared" si="140"/>
        <v>0</v>
      </c>
      <c r="M503" s="12"/>
      <c r="N503" s="12"/>
      <c r="O503" s="12">
        <f t="shared" si="141"/>
        <v>0</v>
      </c>
      <c r="P503" s="12"/>
      <c r="Q503" s="12"/>
      <c r="R503" s="12">
        <f t="shared" si="142"/>
        <v>0</v>
      </c>
      <c r="S503" s="12"/>
      <c r="T503" s="12"/>
      <c r="U503" s="12">
        <f t="shared" si="143"/>
        <v>623500</v>
      </c>
      <c r="V503" s="12">
        <v>623500</v>
      </c>
      <c r="W503" s="12"/>
      <c r="X503" s="12">
        <f t="shared" si="144"/>
        <v>0</v>
      </c>
      <c r="Y503" s="12"/>
      <c r="Z503" s="12"/>
      <c r="AA503" s="13">
        <f t="shared" si="145"/>
        <v>0</v>
      </c>
      <c r="AB503" s="14">
        <v>46042</v>
      </c>
    </row>
    <row r="504" spans="1:28" ht="15.75" hidden="1" x14ac:dyDescent="0.25">
      <c r="A504" s="65">
        <v>46042</v>
      </c>
      <c r="B504" s="10" t="s">
        <v>56</v>
      </c>
      <c r="C504" s="10"/>
      <c r="D504" s="10" t="s">
        <v>28</v>
      </c>
      <c r="E504" s="10" t="s">
        <v>160</v>
      </c>
      <c r="F504" s="10">
        <v>2</v>
      </c>
      <c r="G504" s="10" t="s">
        <v>22</v>
      </c>
      <c r="H504" s="10">
        <v>350000</v>
      </c>
      <c r="I504" s="10">
        <f t="shared" si="127"/>
        <v>700000</v>
      </c>
      <c r="J504" s="52" t="s">
        <v>90</v>
      </c>
      <c r="K504" s="88" t="s">
        <v>367</v>
      </c>
      <c r="L504" s="12">
        <f t="shared" si="140"/>
        <v>0</v>
      </c>
      <c r="M504" s="12"/>
      <c r="N504" s="12"/>
      <c r="O504" s="12">
        <f t="shared" si="141"/>
        <v>0</v>
      </c>
      <c r="P504" s="12"/>
      <c r="Q504" s="12"/>
      <c r="R504" s="12">
        <f t="shared" si="142"/>
        <v>0</v>
      </c>
      <c r="S504" s="12"/>
      <c r="T504" s="12"/>
      <c r="U504" s="12">
        <f t="shared" si="143"/>
        <v>0</v>
      </c>
      <c r="V504" s="12"/>
      <c r="W504" s="12"/>
      <c r="X504" s="12">
        <f t="shared" si="144"/>
        <v>0</v>
      </c>
      <c r="Y504" s="12"/>
      <c r="Z504" s="12"/>
      <c r="AA504" s="13">
        <f t="shared" si="145"/>
        <v>700000</v>
      </c>
      <c r="AB504" s="14"/>
    </row>
    <row r="505" spans="1:28" ht="15.75" hidden="1" x14ac:dyDescent="0.25">
      <c r="A505" s="65">
        <v>46042</v>
      </c>
      <c r="B505" s="10" t="s">
        <v>285</v>
      </c>
      <c r="C505" s="10"/>
      <c r="D505" s="10" t="s">
        <v>28</v>
      </c>
      <c r="E505" s="10" t="s">
        <v>117</v>
      </c>
      <c r="F505" s="10">
        <v>2</v>
      </c>
      <c r="G505" s="10" t="s">
        <v>36</v>
      </c>
      <c r="H505" s="10">
        <v>70000</v>
      </c>
      <c r="I505" s="10">
        <f t="shared" si="127"/>
        <v>140000</v>
      </c>
      <c r="J505" s="29" t="s">
        <v>113</v>
      </c>
      <c r="K505" s="10"/>
      <c r="L505" s="12">
        <f t="shared" si="140"/>
        <v>140000</v>
      </c>
      <c r="M505" s="12">
        <v>140000</v>
      </c>
      <c r="N505" s="12"/>
      <c r="O505" s="12">
        <f t="shared" si="141"/>
        <v>0</v>
      </c>
      <c r="P505" s="12"/>
      <c r="Q505" s="12"/>
      <c r="R505" s="12">
        <f t="shared" si="142"/>
        <v>0</v>
      </c>
      <c r="S505" s="12"/>
      <c r="T505" s="12"/>
      <c r="U505" s="12">
        <f t="shared" si="143"/>
        <v>0</v>
      </c>
      <c r="V505" s="12"/>
      <c r="W505" s="12"/>
      <c r="X505" s="12">
        <f t="shared" si="144"/>
        <v>0</v>
      </c>
      <c r="Y505" s="12"/>
      <c r="Z505" s="12"/>
      <c r="AA505" s="13">
        <f t="shared" si="145"/>
        <v>0</v>
      </c>
      <c r="AB505" s="14">
        <v>46042</v>
      </c>
    </row>
    <row r="506" spans="1:28" ht="15.75" hidden="1" x14ac:dyDescent="0.25">
      <c r="A506" s="65">
        <v>46042</v>
      </c>
      <c r="B506" s="10" t="s">
        <v>285</v>
      </c>
      <c r="C506" s="10"/>
      <c r="D506" s="10" t="s">
        <v>28</v>
      </c>
      <c r="E506" s="10" t="s">
        <v>38</v>
      </c>
      <c r="F506" s="10">
        <v>2</v>
      </c>
      <c r="G506" s="10" t="s">
        <v>39</v>
      </c>
      <c r="H506" s="10">
        <v>45000</v>
      </c>
      <c r="I506" s="10">
        <f t="shared" si="127"/>
        <v>90000</v>
      </c>
      <c r="J506" s="29" t="s">
        <v>113</v>
      </c>
      <c r="K506" s="10"/>
      <c r="L506" s="12">
        <f t="shared" si="140"/>
        <v>90000</v>
      </c>
      <c r="M506" s="12">
        <v>90000</v>
      </c>
      <c r="N506" s="12"/>
      <c r="O506" s="12">
        <f t="shared" si="141"/>
        <v>0</v>
      </c>
      <c r="P506" s="12"/>
      <c r="Q506" s="12"/>
      <c r="R506" s="12">
        <f t="shared" si="142"/>
        <v>0</v>
      </c>
      <c r="S506" s="12"/>
      <c r="T506" s="12"/>
      <c r="U506" s="12">
        <f t="shared" si="143"/>
        <v>0</v>
      </c>
      <c r="V506" s="12"/>
      <c r="W506" s="12"/>
      <c r="X506" s="12">
        <f t="shared" si="144"/>
        <v>0</v>
      </c>
      <c r="Y506" s="12"/>
      <c r="Z506" s="12"/>
      <c r="AA506" s="13">
        <f t="shared" si="145"/>
        <v>0</v>
      </c>
      <c r="AB506" s="14">
        <v>46042</v>
      </c>
    </row>
    <row r="507" spans="1:28" ht="15.75" hidden="1" x14ac:dyDescent="0.25">
      <c r="A507" s="65">
        <v>46042</v>
      </c>
      <c r="B507" s="10" t="s">
        <v>362</v>
      </c>
      <c r="C507" s="10"/>
      <c r="D507" s="10" t="s">
        <v>195</v>
      </c>
      <c r="E507" s="10" t="s">
        <v>291</v>
      </c>
      <c r="F507" s="10">
        <v>2</v>
      </c>
      <c r="G507" s="10" t="s">
        <v>39</v>
      </c>
      <c r="H507" s="10">
        <v>460000</v>
      </c>
      <c r="I507" s="10">
        <f t="shared" si="127"/>
        <v>920000</v>
      </c>
      <c r="J507" s="29" t="s">
        <v>110</v>
      </c>
      <c r="K507" s="10" t="s">
        <v>367</v>
      </c>
      <c r="L507" s="12">
        <f t="shared" si="140"/>
        <v>0</v>
      </c>
      <c r="M507" s="12"/>
      <c r="N507" s="12"/>
      <c r="O507" s="12">
        <f t="shared" si="141"/>
        <v>920000</v>
      </c>
      <c r="P507" s="12">
        <v>920000</v>
      </c>
      <c r="Q507" s="12"/>
      <c r="R507" s="12">
        <f t="shared" si="142"/>
        <v>0</v>
      </c>
      <c r="S507" s="12"/>
      <c r="T507" s="12"/>
      <c r="U507" s="12">
        <f t="shared" si="143"/>
        <v>0</v>
      </c>
      <c r="V507" s="12"/>
      <c r="W507" s="12"/>
      <c r="X507" s="12">
        <f t="shared" si="144"/>
        <v>0</v>
      </c>
      <c r="Y507" s="12"/>
      <c r="Z507" s="12"/>
      <c r="AA507" s="13">
        <f t="shared" si="145"/>
        <v>0</v>
      </c>
      <c r="AB507" s="14">
        <v>46042</v>
      </c>
    </row>
    <row r="508" spans="1:28" ht="15.75" hidden="1" x14ac:dyDescent="0.25">
      <c r="A508" s="65">
        <v>46042</v>
      </c>
      <c r="B508" s="10" t="s">
        <v>363</v>
      </c>
      <c r="C508" s="10"/>
      <c r="D508" s="10" t="s">
        <v>206</v>
      </c>
      <c r="E508" s="10" t="s">
        <v>307</v>
      </c>
      <c r="F508" s="10">
        <v>53.5</v>
      </c>
      <c r="G508" s="10" t="s">
        <v>36</v>
      </c>
      <c r="H508" s="10">
        <v>43000</v>
      </c>
      <c r="I508" s="10">
        <f t="shared" si="127"/>
        <v>2300500</v>
      </c>
      <c r="J508" s="29" t="s">
        <v>113</v>
      </c>
      <c r="K508" s="10"/>
      <c r="L508" s="12">
        <f t="shared" si="140"/>
        <v>0</v>
      </c>
      <c r="M508" s="12"/>
      <c r="N508" s="12"/>
      <c r="O508" s="12">
        <f t="shared" si="141"/>
        <v>0</v>
      </c>
      <c r="P508" s="12"/>
      <c r="Q508" s="12"/>
      <c r="R508" s="12">
        <f t="shared" si="142"/>
        <v>0</v>
      </c>
      <c r="S508" s="12"/>
      <c r="T508" s="12"/>
      <c r="U508" s="12">
        <f t="shared" si="143"/>
        <v>2300500</v>
      </c>
      <c r="V508" s="12">
        <v>2300500</v>
      </c>
      <c r="W508" s="12"/>
      <c r="X508" s="12">
        <f t="shared" si="144"/>
        <v>0</v>
      </c>
      <c r="Y508" s="12"/>
      <c r="Z508" s="12"/>
      <c r="AA508" s="13">
        <f t="shared" si="145"/>
        <v>0</v>
      </c>
      <c r="AB508" s="14">
        <v>46042</v>
      </c>
    </row>
    <row r="509" spans="1:28" ht="15.75" hidden="1" x14ac:dyDescent="0.25">
      <c r="A509" s="28">
        <v>46042</v>
      </c>
      <c r="B509" s="10" t="s">
        <v>144</v>
      </c>
      <c r="C509" s="10"/>
      <c r="D509" s="10" t="s">
        <v>206</v>
      </c>
      <c r="E509" s="10" t="s">
        <v>164</v>
      </c>
      <c r="F509" s="10">
        <v>67.8</v>
      </c>
      <c r="G509" s="10" t="s">
        <v>36</v>
      </c>
      <c r="H509" s="10">
        <v>43000</v>
      </c>
      <c r="I509" s="10">
        <f t="shared" si="127"/>
        <v>2915400</v>
      </c>
      <c r="J509" s="52" t="s">
        <v>90</v>
      </c>
      <c r="K509" s="87" t="s">
        <v>356</v>
      </c>
      <c r="L509" s="12">
        <f t="shared" si="140"/>
        <v>0</v>
      </c>
      <c r="M509" s="12"/>
      <c r="N509" s="12"/>
      <c r="O509" s="12">
        <f t="shared" si="141"/>
        <v>0</v>
      </c>
      <c r="P509" s="12"/>
      <c r="Q509" s="12"/>
      <c r="R509" s="12">
        <f t="shared" si="142"/>
        <v>0</v>
      </c>
      <c r="S509" s="12"/>
      <c r="T509" s="12"/>
      <c r="U509" s="12">
        <f t="shared" si="143"/>
        <v>0</v>
      </c>
      <c r="V509" s="12"/>
      <c r="W509" s="12"/>
      <c r="X509" s="12">
        <f t="shared" si="144"/>
        <v>0</v>
      </c>
      <c r="Y509" s="12"/>
      <c r="Z509" s="12"/>
      <c r="AA509" s="13">
        <f t="shared" si="145"/>
        <v>2915400</v>
      </c>
      <c r="AB509" s="14"/>
    </row>
    <row r="510" spans="1:28" ht="15.75" hidden="1" x14ac:dyDescent="0.25">
      <c r="A510" s="65">
        <v>46042</v>
      </c>
      <c r="B510" s="10" t="s">
        <v>364</v>
      </c>
      <c r="C510" s="10"/>
      <c r="D510" s="10" t="s">
        <v>206</v>
      </c>
      <c r="E510" s="10" t="s">
        <v>164</v>
      </c>
      <c r="F510" s="10">
        <v>34.1</v>
      </c>
      <c r="G510" s="10" t="s">
        <v>36</v>
      </c>
      <c r="H510" s="10">
        <v>43000</v>
      </c>
      <c r="I510" s="10">
        <f t="shared" si="127"/>
        <v>1466300</v>
      </c>
      <c r="J510" s="29" t="s">
        <v>113</v>
      </c>
      <c r="K510" s="10"/>
      <c r="L510" s="12">
        <f t="shared" si="140"/>
        <v>0</v>
      </c>
      <c r="M510" s="12"/>
      <c r="N510" s="12"/>
      <c r="O510" s="12">
        <f t="shared" si="141"/>
        <v>0</v>
      </c>
      <c r="P510" s="12"/>
      <c r="Q510" s="12"/>
      <c r="R510" s="12">
        <f t="shared" si="142"/>
        <v>0</v>
      </c>
      <c r="S510" s="12"/>
      <c r="T510" s="12"/>
      <c r="U510" s="12">
        <f t="shared" si="143"/>
        <v>1466300</v>
      </c>
      <c r="V510" s="12">
        <v>1466300</v>
      </c>
      <c r="W510" s="12"/>
      <c r="X510" s="12">
        <f t="shared" si="144"/>
        <v>0</v>
      </c>
      <c r="Y510" s="12"/>
      <c r="Z510" s="12"/>
      <c r="AA510" s="13">
        <f t="shared" si="145"/>
        <v>0</v>
      </c>
      <c r="AB510" s="14">
        <v>46042</v>
      </c>
    </row>
    <row r="511" spans="1:28" ht="15.75" hidden="1" x14ac:dyDescent="0.25">
      <c r="A511" s="65">
        <v>46042</v>
      </c>
      <c r="B511" s="10" t="s">
        <v>365</v>
      </c>
      <c r="C511" s="10"/>
      <c r="D511" s="10" t="s">
        <v>28</v>
      </c>
      <c r="E511" s="10" t="s">
        <v>366</v>
      </c>
      <c r="F511" s="10">
        <v>1200</v>
      </c>
      <c r="G511" s="10" t="s">
        <v>26</v>
      </c>
      <c r="H511" s="10">
        <v>900</v>
      </c>
      <c r="I511" s="10">
        <f t="shared" si="127"/>
        <v>1080000</v>
      </c>
      <c r="J511" s="29" t="s">
        <v>110</v>
      </c>
      <c r="K511" s="10" t="s">
        <v>367</v>
      </c>
      <c r="L511" s="12">
        <f t="shared" si="140"/>
        <v>0</v>
      </c>
      <c r="M511" s="12"/>
      <c r="N511" s="12"/>
      <c r="O511" s="12">
        <f t="shared" si="141"/>
        <v>0</v>
      </c>
      <c r="P511" s="12"/>
      <c r="Q511" s="12"/>
      <c r="R511" s="12">
        <f t="shared" si="142"/>
        <v>1080000</v>
      </c>
      <c r="S511" s="12">
        <v>1080000</v>
      </c>
      <c r="T511" s="12"/>
      <c r="U511" s="12">
        <f t="shared" si="143"/>
        <v>0</v>
      </c>
      <c r="V511" s="12"/>
      <c r="W511" s="12"/>
      <c r="X511" s="12">
        <f t="shared" si="144"/>
        <v>0</v>
      </c>
      <c r="Y511" s="12"/>
      <c r="Z511" s="12"/>
      <c r="AA511" s="13">
        <f t="shared" si="145"/>
        <v>0</v>
      </c>
      <c r="AB511" s="14">
        <v>46043</v>
      </c>
    </row>
    <row r="512" spans="1:28" ht="16.5" hidden="1" thickBot="1" x14ac:dyDescent="0.3">
      <c r="A512" s="53">
        <v>46042</v>
      </c>
      <c r="B512" s="31" t="s">
        <v>275</v>
      </c>
      <c r="C512" s="31"/>
      <c r="D512" s="31" t="s">
        <v>28</v>
      </c>
      <c r="E512" s="31" t="s">
        <v>276</v>
      </c>
      <c r="F512" s="31">
        <v>50</v>
      </c>
      <c r="G512" s="31" t="s">
        <v>36</v>
      </c>
      <c r="H512" s="31">
        <v>55000</v>
      </c>
      <c r="I512" s="31">
        <f t="shared" si="127"/>
        <v>2750000</v>
      </c>
      <c r="J512" s="51" t="s">
        <v>110</v>
      </c>
      <c r="K512" s="31"/>
      <c r="L512" s="34">
        <f t="shared" si="140"/>
        <v>0</v>
      </c>
      <c r="M512" s="34"/>
      <c r="N512" s="34"/>
      <c r="O512" s="34">
        <f t="shared" si="141"/>
        <v>0</v>
      </c>
      <c r="P512" s="34"/>
      <c r="Q512" s="34"/>
      <c r="R512" s="34">
        <f t="shared" si="142"/>
        <v>2750000</v>
      </c>
      <c r="S512" s="34">
        <v>2750000</v>
      </c>
      <c r="T512" s="34"/>
      <c r="U512" s="34">
        <f t="shared" si="143"/>
        <v>0</v>
      </c>
      <c r="V512" s="34"/>
      <c r="W512" s="34"/>
      <c r="X512" s="34">
        <f t="shared" si="144"/>
        <v>0</v>
      </c>
      <c r="Y512" s="34"/>
      <c r="Z512" s="34"/>
      <c r="AA512" s="35">
        <f t="shared" si="145"/>
        <v>0</v>
      </c>
      <c r="AB512" s="36">
        <v>46042</v>
      </c>
    </row>
    <row r="513" spans="1:28" ht="15.75" hidden="1" x14ac:dyDescent="0.25">
      <c r="A513" s="65">
        <v>46043</v>
      </c>
      <c r="B513" s="66" t="s">
        <v>368</v>
      </c>
      <c r="C513" s="66"/>
      <c r="D513" s="66" t="s">
        <v>206</v>
      </c>
      <c r="E513" s="66" t="s">
        <v>104</v>
      </c>
      <c r="F513" s="66">
        <v>2000</v>
      </c>
      <c r="G513" s="66" t="s">
        <v>26</v>
      </c>
      <c r="H513" s="66">
        <v>2000</v>
      </c>
      <c r="I513" s="10">
        <f t="shared" si="127"/>
        <v>4000000</v>
      </c>
      <c r="J513" s="29" t="s">
        <v>110</v>
      </c>
      <c r="K513" s="66"/>
      <c r="L513" s="12">
        <f t="shared" si="140"/>
        <v>0</v>
      </c>
      <c r="M513" s="12"/>
      <c r="N513" s="12"/>
      <c r="O513" s="12">
        <f t="shared" si="141"/>
        <v>4000000</v>
      </c>
      <c r="P513" s="12">
        <v>4000000</v>
      </c>
      <c r="Q513" s="12"/>
      <c r="R513" s="12">
        <f t="shared" si="142"/>
        <v>0</v>
      </c>
      <c r="S513" s="12"/>
      <c r="T513" s="12"/>
      <c r="U513" s="12">
        <f t="shared" si="143"/>
        <v>0</v>
      </c>
      <c r="V513" s="12"/>
      <c r="W513" s="12"/>
      <c r="X513" s="12">
        <f t="shared" si="144"/>
        <v>0</v>
      </c>
      <c r="Y513" s="12"/>
      <c r="Z513" s="12"/>
      <c r="AA513" s="13">
        <f t="shared" si="145"/>
        <v>0</v>
      </c>
      <c r="AB513" s="14">
        <v>46043</v>
      </c>
    </row>
    <row r="514" spans="1:28" ht="15.75" hidden="1" x14ac:dyDescent="0.25">
      <c r="A514" s="65">
        <v>46043</v>
      </c>
      <c r="B514" s="10" t="s">
        <v>323</v>
      </c>
      <c r="C514" s="10"/>
      <c r="D514" s="10" t="s">
        <v>195</v>
      </c>
      <c r="E514" s="10" t="s">
        <v>114</v>
      </c>
      <c r="F514" s="10">
        <v>10</v>
      </c>
      <c r="G514" s="10" t="s">
        <v>67</v>
      </c>
      <c r="H514" s="10">
        <v>50000</v>
      </c>
      <c r="I514" s="10">
        <f t="shared" si="127"/>
        <v>500000</v>
      </c>
      <c r="J514" s="29" t="s">
        <v>113</v>
      </c>
      <c r="K514" s="10"/>
      <c r="L514" s="12">
        <f t="shared" ref="L514:L532" si="146">M514+N514</f>
        <v>0</v>
      </c>
      <c r="M514" s="12"/>
      <c r="N514" s="12"/>
      <c r="O514" s="12">
        <f t="shared" ref="O514:O532" si="147">P514+Q514</f>
        <v>0</v>
      </c>
      <c r="P514" s="12"/>
      <c r="Q514" s="12"/>
      <c r="R514" s="12">
        <f t="shared" ref="R514:R532" si="148">S514+T514</f>
        <v>0</v>
      </c>
      <c r="S514" s="12"/>
      <c r="T514" s="12"/>
      <c r="U514" s="12">
        <f t="shared" ref="U514:U532" si="149">V514+W514</f>
        <v>500000</v>
      </c>
      <c r="V514" s="12">
        <v>500000</v>
      </c>
      <c r="W514" s="12"/>
      <c r="X514" s="12">
        <f t="shared" ref="X514:X532" si="150">Y514+Z514</f>
        <v>0</v>
      </c>
      <c r="Y514" s="12"/>
      <c r="Z514" s="12"/>
      <c r="AA514" s="13">
        <f t="shared" ref="AA514:AA532" si="151">C514+I514-L514-O514-U514-X514-R514</f>
        <v>0</v>
      </c>
      <c r="AB514" s="14">
        <v>46042</v>
      </c>
    </row>
    <row r="515" spans="1:28" ht="15.75" hidden="1" x14ac:dyDescent="0.25">
      <c r="A515" s="65">
        <v>46043</v>
      </c>
      <c r="B515" s="10" t="s">
        <v>69</v>
      </c>
      <c r="C515" s="10"/>
      <c r="D515" s="10" t="s">
        <v>28</v>
      </c>
      <c r="E515" s="10" t="s">
        <v>70</v>
      </c>
      <c r="F515" s="10">
        <v>100</v>
      </c>
      <c r="G515" s="10" t="s">
        <v>36</v>
      </c>
      <c r="H515" s="10">
        <v>55000</v>
      </c>
      <c r="I515" s="10">
        <f t="shared" si="127"/>
        <v>5500000</v>
      </c>
      <c r="J515" s="29" t="s">
        <v>110</v>
      </c>
      <c r="K515" s="10" t="s">
        <v>374</v>
      </c>
      <c r="L515" s="12">
        <f t="shared" si="146"/>
        <v>0</v>
      </c>
      <c r="M515" s="12"/>
      <c r="N515" s="12"/>
      <c r="O515" s="12">
        <f t="shared" si="147"/>
        <v>5500000</v>
      </c>
      <c r="P515" s="12">
        <v>5500000</v>
      </c>
      <c r="Q515" s="12"/>
      <c r="R515" s="12">
        <f t="shared" si="148"/>
        <v>0</v>
      </c>
      <c r="S515" s="12"/>
      <c r="T515" s="12"/>
      <c r="U515" s="12">
        <f t="shared" si="149"/>
        <v>0</v>
      </c>
      <c r="V515" s="12"/>
      <c r="W515" s="12"/>
      <c r="X515" s="12">
        <f t="shared" si="150"/>
        <v>0</v>
      </c>
      <c r="Y515" s="12"/>
      <c r="Z515" s="12"/>
      <c r="AA515" s="13">
        <f t="shared" si="151"/>
        <v>0</v>
      </c>
      <c r="AB515" s="14">
        <v>46052</v>
      </c>
    </row>
    <row r="516" spans="1:28" ht="15.75" hidden="1" x14ac:dyDescent="0.25">
      <c r="A516" s="65">
        <v>46043</v>
      </c>
      <c r="B516" s="10" t="s">
        <v>69</v>
      </c>
      <c r="C516" s="10"/>
      <c r="D516" s="10" t="s">
        <v>28</v>
      </c>
      <c r="E516" s="10" t="s">
        <v>136</v>
      </c>
      <c r="F516" s="10">
        <v>45.1</v>
      </c>
      <c r="G516" s="10" t="s">
        <v>36</v>
      </c>
      <c r="H516" s="10">
        <v>43000</v>
      </c>
      <c r="I516" s="10">
        <f t="shared" si="127"/>
        <v>1939300</v>
      </c>
      <c r="J516" s="29" t="s">
        <v>110</v>
      </c>
      <c r="K516" s="10" t="s">
        <v>374</v>
      </c>
      <c r="L516" s="12">
        <f t="shared" si="146"/>
        <v>0</v>
      </c>
      <c r="M516" s="12"/>
      <c r="N516" s="12"/>
      <c r="O516" s="12">
        <f t="shared" si="147"/>
        <v>1939300</v>
      </c>
      <c r="P516" s="12">
        <v>1939300</v>
      </c>
      <c r="Q516" s="12"/>
      <c r="R516" s="12">
        <f t="shared" si="148"/>
        <v>0</v>
      </c>
      <c r="S516" s="12"/>
      <c r="T516" s="12"/>
      <c r="U516" s="12">
        <f t="shared" si="149"/>
        <v>0</v>
      </c>
      <c r="V516" s="12"/>
      <c r="W516" s="12"/>
      <c r="X516" s="12">
        <f t="shared" si="150"/>
        <v>0</v>
      </c>
      <c r="Y516" s="12"/>
      <c r="Z516" s="12"/>
      <c r="AA516" s="13">
        <f t="shared" si="151"/>
        <v>0</v>
      </c>
      <c r="AB516" s="14">
        <v>46052</v>
      </c>
    </row>
    <row r="517" spans="1:28" ht="15.75" hidden="1" x14ac:dyDescent="0.25">
      <c r="A517" s="65">
        <v>46043</v>
      </c>
      <c r="B517" s="10" t="s">
        <v>69</v>
      </c>
      <c r="C517" s="10"/>
      <c r="D517" s="10" t="s">
        <v>28</v>
      </c>
      <c r="E517" s="10" t="s">
        <v>229</v>
      </c>
      <c r="F517" s="10">
        <v>14.7</v>
      </c>
      <c r="G517" s="10" t="s">
        <v>36</v>
      </c>
      <c r="H517" s="10">
        <v>43000</v>
      </c>
      <c r="I517" s="10">
        <f t="shared" si="127"/>
        <v>632100</v>
      </c>
      <c r="J517" s="29" t="s">
        <v>110</v>
      </c>
      <c r="K517" s="10" t="s">
        <v>374</v>
      </c>
      <c r="L517" s="12">
        <f t="shared" si="146"/>
        <v>0</v>
      </c>
      <c r="M517" s="12"/>
      <c r="N517" s="12"/>
      <c r="O517" s="12">
        <f t="shared" si="147"/>
        <v>632100</v>
      </c>
      <c r="P517" s="12">
        <v>632100</v>
      </c>
      <c r="Q517" s="12"/>
      <c r="R517" s="12">
        <f t="shared" si="148"/>
        <v>0</v>
      </c>
      <c r="S517" s="12"/>
      <c r="T517" s="12"/>
      <c r="U517" s="12">
        <f t="shared" si="149"/>
        <v>0</v>
      </c>
      <c r="V517" s="12"/>
      <c r="W517" s="12"/>
      <c r="X517" s="12">
        <f t="shared" si="150"/>
        <v>0</v>
      </c>
      <c r="Y517" s="12"/>
      <c r="Z517" s="12"/>
      <c r="AA517" s="13">
        <f t="shared" si="151"/>
        <v>0</v>
      </c>
      <c r="AB517" s="14">
        <v>46052</v>
      </c>
    </row>
    <row r="518" spans="1:28" ht="15.75" hidden="1" x14ac:dyDescent="0.25">
      <c r="A518" s="65">
        <v>46043</v>
      </c>
      <c r="B518" s="10" t="s">
        <v>69</v>
      </c>
      <c r="C518" s="10"/>
      <c r="D518" s="10" t="s">
        <v>28</v>
      </c>
      <c r="E518" s="10" t="s">
        <v>104</v>
      </c>
      <c r="F518" s="10">
        <v>2000</v>
      </c>
      <c r="G518" s="10" t="s">
        <v>26</v>
      </c>
      <c r="H518" s="10">
        <v>2000</v>
      </c>
      <c r="I518" s="10">
        <f t="shared" si="127"/>
        <v>4000000</v>
      </c>
      <c r="J518" s="29" t="s">
        <v>110</v>
      </c>
      <c r="K518" s="10" t="s">
        <v>374</v>
      </c>
      <c r="L518" s="12">
        <f t="shared" si="146"/>
        <v>0</v>
      </c>
      <c r="M518" s="12"/>
      <c r="N518" s="12"/>
      <c r="O518" s="12">
        <f t="shared" si="147"/>
        <v>4000000</v>
      </c>
      <c r="P518" s="12">
        <v>4000000</v>
      </c>
      <c r="Q518" s="12"/>
      <c r="R518" s="12">
        <f t="shared" si="148"/>
        <v>0</v>
      </c>
      <c r="S518" s="12"/>
      <c r="T518" s="12"/>
      <c r="U518" s="12">
        <f t="shared" si="149"/>
        <v>0</v>
      </c>
      <c r="V518" s="12"/>
      <c r="W518" s="12"/>
      <c r="X518" s="12">
        <f t="shared" si="150"/>
        <v>0</v>
      </c>
      <c r="Y518" s="12"/>
      <c r="Z518" s="12"/>
      <c r="AA518" s="13">
        <f t="shared" si="151"/>
        <v>0</v>
      </c>
      <c r="AB518" s="14">
        <v>46052</v>
      </c>
    </row>
    <row r="519" spans="1:28" ht="15.75" hidden="1" x14ac:dyDescent="0.25">
      <c r="A519" s="65">
        <v>46043</v>
      </c>
      <c r="B519" s="10" t="s">
        <v>369</v>
      </c>
      <c r="C519" s="10"/>
      <c r="D519" s="10" t="s">
        <v>195</v>
      </c>
      <c r="E519" s="10" t="s">
        <v>114</v>
      </c>
      <c r="F519" s="10">
        <v>10</v>
      </c>
      <c r="G519" s="10" t="s">
        <v>67</v>
      </c>
      <c r="H519" s="10">
        <v>50000</v>
      </c>
      <c r="I519" s="10">
        <f t="shared" si="127"/>
        <v>500000</v>
      </c>
      <c r="J519" s="29" t="s">
        <v>110</v>
      </c>
      <c r="K519" s="82"/>
      <c r="L519" s="12">
        <f t="shared" si="146"/>
        <v>0</v>
      </c>
      <c r="M519" s="12"/>
      <c r="N519" s="12"/>
      <c r="O519" s="12">
        <f t="shared" si="147"/>
        <v>500000</v>
      </c>
      <c r="P519" s="12">
        <v>500000</v>
      </c>
      <c r="Q519" s="12"/>
      <c r="R519" s="12">
        <f t="shared" si="148"/>
        <v>0</v>
      </c>
      <c r="S519" s="12"/>
      <c r="T519" s="12"/>
      <c r="U519" s="12">
        <f t="shared" si="149"/>
        <v>0</v>
      </c>
      <c r="V519" s="12"/>
      <c r="W519" s="12"/>
      <c r="X519" s="12">
        <f t="shared" si="150"/>
        <v>0</v>
      </c>
      <c r="Y519" s="12"/>
      <c r="Z519" s="12"/>
      <c r="AA519" s="13">
        <f t="shared" si="151"/>
        <v>0</v>
      </c>
      <c r="AB519" s="14">
        <v>46043</v>
      </c>
    </row>
    <row r="520" spans="1:28" ht="15.75" hidden="1" x14ac:dyDescent="0.25">
      <c r="A520" s="65">
        <v>46043</v>
      </c>
      <c r="B520" s="10" t="s">
        <v>255</v>
      </c>
      <c r="C520" s="10"/>
      <c r="D520" s="10" t="s">
        <v>28</v>
      </c>
      <c r="E520" s="10" t="s">
        <v>116</v>
      </c>
      <c r="F520" s="10">
        <v>6</v>
      </c>
      <c r="G520" s="10" t="s">
        <v>67</v>
      </c>
      <c r="H520" s="10">
        <v>65000</v>
      </c>
      <c r="I520" s="10">
        <f t="shared" si="127"/>
        <v>390000</v>
      </c>
      <c r="J520" s="29" t="s">
        <v>113</v>
      </c>
      <c r="K520" s="82"/>
      <c r="L520" s="12">
        <f t="shared" si="146"/>
        <v>390000</v>
      </c>
      <c r="M520" s="12">
        <v>390000</v>
      </c>
      <c r="N520" s="12"/>
      <c r="O520" s="12">
        <f t="shared" si="147"/>
        <v>0</v>
      </c>
      <c r="P520" s="12"/>
      <c r="Q520" s="12"/>
      <c r="R520" s="12">
        <f t="shared" si="148"/>
        <v>0</v>
      </c>
      <c r="S520" s="12"/>
      <c r="T520" s="12"/>
      <c r="U520" s="12">
        <f t="shared" si="149"/>
        <v>0</v>
      </c>
      <c r="V520" s="12"/>
      <c r="W520" s="12"/>
      <c r="X520" s="12">
        <f t="shared" si="150"/>
        <v>0</v>
      </c>
      <c r="Y520" s="12"/>
      <c r="Z520" s="12"/>
      <c r="AA520" s="13">
        <f t="shared" si="151"/>
        <v>0</v>
      </c>
      <c r="AB520" s="14">
        <v>46043</v>
      </c>
    </row>
    <row r="521" spans="1:28" ht="15.75" hidden="1" x14ac:dyDescent="0.25">
      <c r="A521" s="65">
        <v>46043</v>
      </c>
      <c r="B521" s="10" t="s">
        <v>289</v>
      </c>
      <c r="C521" s="10"/>
      <c r="D521" s="10" t="s">
        <v>28</v>
      </c>
      <c r="E521" s="10" t="s">
        <v>104</v>
      </c>
      <c r="F521" s="10">
        <v>400</v>
      </c>
      <c r="G521" s="10" t="s">
        <v>26</v>
      </c>
      <c r="H521" s="10">
        <v>1800</v>
      </c>
      <c r="I521" s="10">
        <f t="shared" ref="I521:I585" si="152">F521*H521</f>
        <v>720000</v>
      </c>
      <c r="J521" s="29" t="s">
        <v>110</v>
      </c>
      <c r="K521" s="82"/>
      <c r="L521" s="12">
        <f t="shared" si="146"/>
        <v>0</v>
      </c>
      <c r="M521" s="12"/>
      <c r="N521" s="12"/>
      <c r="O521" s="12">
        <f t="shared" si="147"/>
        <v>720000</v>
      </c>
      <c r="P521" s="12">
        <v>720000</v>
      </c>
      <c r="Q521" s="12"/>
      <c r="R521" s="12">
        <f t="shared" si="148"/>
        <v>0</v>
      </c>
      <c r="S521" s="12"/>
      <c r="T521" s="12"/>
      <c r="U521" s="12">
        <f t="shared" si="149"/>
        <v>0</v>
      </c>
      <c r="V521" s="12"/>
      <c r="W521" s="12"/>
      <c r="X521" s="12">
        <f t="shared" si="150"/>
        <v>0</v>
      </c>
      <c r="Y521" s="12"/>
      <c r="Z521" s="12"/>
      <c r="AA521" s="13">
        <f t="shared" si="151"/>
        <v>0</v>
      </c>
      <c r="AB521" s="14">
        <v>46043</v>
      </c>
    </row>
    <row r="522" spans="1:28" ht="15.75" hidden="1" x14ac:dyDescent="0.25">
      <c r="A522" s="65">
        <v>46043</v>
      </c>
      <c r="B522" s="10" t="s">
        <v>149</v>
      </c>
      <c r="C522" s="10"/>
      <c r="D522" s="10" t="s">
        <v>28</v>
      </c>
      <c r="E522" s="10" t="s">
        <v>107</v>
      </c>
      <c r="F522" s="10">
        <v>300</v>
      </c>
      <c r="G522" s="10" t="s">
        <v>36</v>
      </c>
      <c r="H522" s="10">
        <v>60000</v>
      </c>
      <c r="I522" s="10">
        <f t="shared" si="152"/>
        <v>18000000</v>
      </c>
      <c r="J522" s="52" t="s">
        <v>90</v>
      </c>
      <c r="K522" s="82" t="s">
        <v>375</v>
      </c>
      <c r="L522" s="12">
        <f t="shared" si="146"/>
        <v>0</v>
      </c>
      <c r="M522" s="12"/>
      <c r="N522" s="12"/>
      <c r="O522" s="12">
        <f t="shared" si="147"/>
        <v>0</v>
      </c>
      <c r="P522" s="12"/>
      <c r="Q522" s="12"/>
      <c r="R522" s="12">
        <f t="shared" si="148"/>
        <v>0</v>
      </c>
      <c r="S522" s="12"/>
      <c r="T522" s="12"/>
      <c r="U522" s="12">
        <f t="shared" si="149"/>
        <v>0</v>
      </c>
      <c r="V522" s="12"/>
      <c r="W522" s="12"/>
      <c r="X522" s="12">
        <f t="shared" si="150"/>
        <v>0</v>
      </c>
      <c r="Y522" s="12"/>
      <c r="Z522" s="12"/>
      <c r="AA522" s="13">
        <f t="shared" si="151"/>
        <v>18000000</v>
      </c>
      <c r="AB522" s="14"/>
    </row>
    <row r="523" spans="1:28" ht="15.75" hidden="1" x14ac:dyDescent="0.25">
      <c r="A523" s="65">
        <v>46043</v>
      </c>
      <c r="B523" s="10" t="s">
        <v>55</v>
      </c>
      <c r="C523" s="10"/>
      <c r="D523" s="10" t="s">
        <v>28</v>
      </c>
      <c r="E523" s="10" t="s">
        <v>98</v>
      </c>
      <c r="F523" s="10">
        <v>2000</v>
      </c>
      <c r="G523" s="10" t="s">
        <v>26</v>
      </c>
      <c r="H523" s="10">
        <v>1900</v>
      </c>
      <c r="I523" s="10">
        <f t="shared" si="152"/>
        <v>3800000</v>
      </c>
      <c r="J523" s="52" t="s">
        <v>90</v>
      </c>
      <c r="K523" s="82" t="s">
        <v>376</v>
      </c>
      <c r="L523" s="12">
        <f t="shared" si="146"/>
        <v>0</v>
      </c>
      <c r="M523" s="12"/>
      <c r="N523" s="12"/>
      <c r="O523" s="12">
        <f t="shared" si="147"/>
        <v>0</v>
      </c>
      <c r="P523" s="12"/>
      <c r="Q523" s="12"/>
      <c r="R523" s="12">
        <f t="shared" si="148"/>
        <v>0</v>
      </c>
      <c r="S523" s="12"/>
      <c r="T523" s="12"/>
      <c r="U523" s="12">
        <f t="shared" si="149"/>
        <v>0</v>
      </c>
      <c r="V523" s="12"/>
      <c r="W523" s="12"/>
      <c r="X523" s="12">
        <f t="shared" si="150"/>
        <v>0</v>
      </c>
      <c r="Y523" s="12"/>
      <c r="Z523" s="12"/>
      <c r="AA523" s="13">
        <f t="shared" si="151"/>
        <v>3800000</v>
      </c>
      <c r="AB523" s="14"/>
    </row>
    <row r="524" spans="1:28" ht="15.75" hidden="1" x14ac:dyDescent="0.25">
      <c r="A524" s="65">
        <v>46043</v>
      </c>
      <c r="B524" s="10" t="s">
        <v>335</v>
      </c>
      <c r="C524" s="10"/>
      <c r="D524" s="10" t="s">
        <v>206</v>
      </c>
      <c r="E524" s="10" t="s">
        <v>370</v>
      </c>
      <c r="F524" s="10">
        <v>2.5</v>
      </c>
      <c r="G524" s="10" t="s">
        <v>36</v>
      </c>
      <c r="H524" s="10">
        <v>86000</v>
      </c>
      <c r="I524" s="10">
        <f t="shared" si="152"/>
        <v>215000</v>
      </c>
      <c r="J524" s="29" t="s">
        <v>113</v>
      </c>
      <c r="K524" s="82"/>
      <c r="L524" s="12">
        <f t="shared" si="146"/>
        <v>215000</v>
      </c>
      <c r="M524" s="12">
        <v>215000</v>
      </c>
      <c r="N524" s="12"/>
      <c r="O524" s="12">
        <f t="shared" si="147"/>
        <v>0</v>
      </c>
      <c r="P524" s="12"/>
      <c r="Q524" s="12"/>
      <c r="R524" s="12">
        <f t="shared" si="148"/>
        <v>0</v>
      </c>
      <c r="S524" s="12"/>
      <c r="T524" s="12"/>
      <c r="U524" s="12">
        <f t="shared" si="149"/>
        <v>0</v>
      </c>
      <c r="V524" s="12"/>
      <c r="W524" s="12"/>
      <c r="X524" s="12">
        <f t="shared" si="150"/>
        <v>0</v>
      </c>
      <c r="Y524" s="12"/>
      <c r="Z524" s="12"/>
      <c r="AA524" s="13">
        <f t="shared" si="151"/>
        <v>0</v>
      </c>
      <c r="AB524" s="14">
        <v>46043</v>
      </c>
    </row>
    <row r="525" spans="1:28" ht="15.75" hidden="1" x14ac:dyDescent="0.25">
      <c r="A525" s="65">
        <v>46043</v>
      </c>
      <c r="B525" s="10" t="s">
        <v>335</v>
      </c>
      <c r="C525" s="10"/>
      <c r="D525" s="10" t="s">
        <v>206</v>
      </c>
      <c r="E525" s="10" t="s">
        <v>167</v>
      </c>
      <c r="F525" s="10">
        <v>2.5</v>
      </c>
      <c r="G525" s="10" t="s">
        <v>36</v>
      </c>
      <c r="H525" s="10">
        <v>90000</v>
      </c>
      <c r="I525" s="10">
        <f t="shared" si="152"/>
        <v>225000</v>
      </c>
      <c r="J525" s="29" t="s">
        <v>113</v>
      </c>
      <c r="K525" s="82"/>
      <c r="L525" s="12">
        <f t="shared" si="146"/>
        <v>225000</v>
      </c>
      <c r="M525" s="12">
        <v>225000</v>
      </c>
      <c r="N525" s="12"/>
      <c r="O525" s="12">
        <f t="shared" si="147"/>
        <v>0</v>
      </c>
      <c r="P525" s="12"/>
      <c r="Q525" s="12"/>
      <c r="R525" s="12">
        <f t="shared" si="148"/>
        <v>0</v>
      </c>
      <c r="S525" s="12"/>
      <c r="T525" s="12"/>
      <c r="U525" s="12">
        <f t="shared" si="149"/>
        <v>0</v>
      </c>
      <c r="V525" s="12"/>
      <c r="W525" s="12"/>
      <c r="X525" s="12">
        <f t="shared" si="150"/>
        <v>0</v>
      </c>
      <c r="Y525" s="12"/>
      <c r="Z525" s="12"/>
      <c r="AA525" s="13">
        <f t="shared" si="151"/>
        <v>0</v>
      </c>
      <c r="AB525" s="14">
        <v>46043</v>
      </c>
    </row>
    <row r="526" spans="1:28" ht="15.75" hidden="1" x14ac:dyDescent="0.25">
      <c r="A526" s="65">
        <v>46043</v>
      </c>
      <c r="B526" s="10" t="s">
        <v>342</v>
      </c>
      <c r="C526" s="10"/>
      <c r="D526" s="10" t="s">
        <v>28</v>
      </c>
      <c r="E526" s="10" t="s">
        <v>104</v>
      </c>
      <c r="F526" s="10">
        <v>2000</v>
      </c>
      <c r="G526" s="10" t="s">
        <v>26</v>
      </c>
      <c r="H526" s="10">
        <v>2000</v>
      </c>
      <c r="I526" s="10">
        <f t="shared" si="152"/>
        <v>4000000</v>
      </c>
      <c r="J526" s="29" t="s">
        <v>110</v>
      </c>
      <c r="K526" s="10"/>
      <c r="L526" s="12">
        <f t="shared" si="146"/>
        <v>0</v>
      </c>
      <c r="M526" s="12"/>
      <c r="N526" s="12"/>
      <c r="O526" s="12">
        <f t="shared" si="147"/>
        <v>4000000</v>
      </c>
      <c r="P526" s="12">
        <v>4000000</v>
      </c>
      <c r="Q526" s="12"/>
      <c r="R526" s="12">
        <f t="shared" si="148"/>
        <v>0</v>
      </c>
      <c r="S526" s="12"/>
      <c r="T526" s="12"/>
      <c r="U526" s="12">
        <f t="shared" si="149"/>
        <v>0</v>
      </c>
      <c r="V526" s="12"/>
      <c r="W526" s="12"/>
      <c r="X526" s="12">
        <f t="shared" si="150"/>
        <v>0</v>
      </c>
      <c r="Y526" s="12"/>
      <c r="Z526" s="12"/>
      <c r="AA526" s="13">
        <f t="shared" si="151"/>
        <v>0</v>
      </c>
      <c r="AB526" s="14">
        <v>46043</v>
      </c>
    </row>
    <row r="527" spans="1:28" ht="15.75" hidden="1" x14ac:dyDescent="0.25">
      <c r="A527" s="28">
        <v>46043</v>
      </c>
      <c r="B527" s="10" t="s">
        <v>342</v>
      </c>
      <c r="C527" s="10"/>
      <c r="D527" s="10" t="s">
        <v>28</v>
      </c>
      <c r="E527" s="10" t="s">
        <v>170</v>
      </c>
      <c r="F527" s="10">
        <v>375</v>
      </c>
      <c r="G527" s="10" t="s">
        <v>26</v>
      </c>
      <c r="H527" s="10">
        <v>2630</v>
      </c>
      <c r="I527" s="10">
        <f t="shared" si="152"/>
        <v>986250</v>
      </c>
      <c r="J527" s="29" t="s">
        <v>110</v>
      </c>
      <c r="K527" s="10"/>
      <c r="L527" s="12">
        <f t="shared" si="146"/>
        <v>0</v>
      </c>
      <c r="M527" s="12"/>
      <c r="N527" s="12"/>
      <c r="O527" s="12">
        <f t="shared" si="147"/>
        <v>986250</v>
      </c>
      <c r="P527" s="12">
        <v>986250</v>
      </c>
      <c r="Q527" s="12"/>
      <c r="R527" s="12">
        <f t="shared" si="148"/>
        <v>0</v>
      </c>
      <c r="S527" s="12"/>
      <c r="T527" s="12"/>
      <c r="U527" s="12">
        <f t="shared" si="149"/>
        <v>0</v>
      </c>
      <c r="V527" s="12"/>
      <c r="W527" s="12"/>
      <c r="X527" s="12">
        <f t="shared" si="150"/>
        <v>0</v>
      </c>
      <c r="Y527" s="12"/>
      <c r="Z527" s="12"/>
      <c r="AA527" s="13">
        <f t="shared" si="151"/>
        <v>0</v>
      </c>
      <c r="AB527" s="14">
        <v>46043</v>
      </c>
    </row>
    <row r="528" spans="1:28" ht="15.75" hidden="1" x14ac:dyDescent="0.25">
      <c r="A528" s="65">
        <v>46043</v>
      </c>
      <c r="B528" s="10" t="s">
        <v>275</v>
      </c>
      <c r="C528" s="10"/>
      <c r="D528" s="10" t="s">
        <v>28</v>
      </c>
      <c r="E528" s="10" t="s">
        <v>371</v>
      </c>
      <c r="F528" s="10">
        <v>20</v>
      </c>
      <c r="G528" s="10" t="s">
        <v>67</v>
      </c>
      <c r="H528" s="10">
        <v>45000</v>
      </c>
      <c r="I528" s="10">
        <f t="shared" si="152"/>
        <v>900000</v>
      </c>
      <c r="J528" s="29" t="s">
        <v>113</v>
      </c>
      <c r="K528" s="10"/>
      <c r="L528" s="12">
        <f t="shared" si="146"/>
        <v>900000</v>
      </c>
      <c r="M528" s="12">
        <v>900000</v>
      </c>
      <c r="N528" s="12"/>
      <c r="O528" s="12">
        <f t="shared" si="147"/>
        <v>0</v>
      </c>
      <c r="P528" s="12"/>
      <c r="Q528" s="12"/>
      <c r="R528" s="12">
        <f t="shared" si="148"/>
        <v>0</v>
      </c>
      <c r="S528" s="12"/>
      <c r="T528" s="12"/>
      <c r="U528" s="12">
        <f t="shared" si="149"/>
        <v>0</v>
      </c>
      <c r="V528" s="12"/>
      <c r="W528" s="12"/>
      <c r="X528" s="12">
        <f t="shared" si="150"/>
        <v>0</v>
      </c>
      <c r="Y528" s="12"/>
      <c r="Z528" s="12"/>
      <c r="AA528" s="13">
        <f t="shared" si="151"/>
        <v>0</v>
      </c>
      <c r="AB528" s="14">
        <v>46043</v>
      </c>
    </row>
    <row r="529" spans="1:28" ht="15.75" hidden="1" x14ac:dyDescent="0.25">
      <c r="A529" s="65">
        <v>46043</v>
      </c>
      <c r="B529" s="10" t="s">
        <v>194</v>
      </c>
      <c r="C529" s="10"/>
      <c r="D529" s="10" t="s">
        <v>28</v>
      </c>
      <c r="E529" s="10" t="s">
        <v>116</v>
      </c>
      <c r="F529" s="10">
        <v>12</v>
      </c>
      <c r="G529" s="10" t="s">
        <v>67</v>
      </c>
      <c r="H529" s="10">
        <v>65000</v>
      </c>
      <c r="I529" s="146">
        <f t="shared" si="152"/>
        <v>780000</v>
      </c>
      <c r="J529" s="29" t="s">
        <v>113</v>
      </c>
      <c r="K529" s="10"/>
      <c r="L529" s="12">
        <f t="shared" si="146"/>
        <v>0</v>
      </c>
      <c r="M529" s="12"/>
      <c r="N529" s="12"/>
      <c r="O529" s="12">
        <f t="shared" si="147"/>
        <v>0</v>
      </c>
      <c r="P529" s="12"/>
      <c r="Q529" s="12"/>
      <c r="R529" s="12">
        <f t="shared" si="148"/>
        <v>0</v>
      </c>
      <c r="S529" s="12"/>
      <c r="T529" s="12"/>
      <c r="U529" s="12">
        <f t="shared" si="149"/>
        <v>780000</v>
      </c>
      <c r="V529" s="12">
        <v>780000</v>
      </c>
      <c r="W529" s="12"/>
      <c r="X529" s="12">
        <f t="shared" si="150"/>
        <v>0</v>
      </c>
      <c r="Y529" s="12"/>
      <c r="Z529" s="12"/>
      <c r="AA529" s="13">
        <f t="shared" si="151"/>
        <v>0</v>
      </c>
      <c r="AB529" s="14">
        <v>46009</v>
      </c>
    </row>
    <row r="530" spans="1:28" ht="16.5" hidden="1" thickBot="1" x14ac:dyDescent="0.3">
      <c r="A530" s="53">
        <v>46043</v>
      </c>
      <c r="B530" s="31" t="s">
        <v>372</v>
      </c>
      <c r="C530" s="31"/>
      <c r="D530" s="31" t="s">
        <v>206</v>
      </c>
      <c r="E530" s="31" t="s">
        <v>373</v>
      </c>
      <c r="F530" s="31">
        <v>100</v>
      </c>
      <c r="G530" s="31" t="s">
        <v>39</v>
      </c>
      <c r="H530" s="31">
        <v>18000</v>
      </c>
      <c r="I530" s="31">
        <f t="shared" si="152"/>
        <v>1800000</v>
      </c>
      <c r="J530" s="51" t="s">
        <v>110</v>
      </c>
      <c r="K530" s="31"/>
      <c r="L530" s="34">
        <f t="shared" si="146"/>
        <v>0</v>
      </c>
      <c r="M530" s="34"/>
      <c r="N530" s="34"/>
      <c r="O530" s="34">
        <f t="shared" si="147"/>
        <v>1800000</v>
      </c>
      <c r="P530" s="34">
        <v>1800000</v>
      </c>
      <c r="Q530" s="34"/>
      <c r="R530" s="34">
        <f t="shared" si="148"/>
        <v>0</v>
      </c>
      <c r="S530" s="34"/>
      <c r="T530" s="34"/>
      <c r="U530" s="34">
        <f t="shared" si="149"/>
        <v>0</v>
      </c>
      <c r="V530" s="34"/>
      <c r="W530" s="34"/>
      <c r="X530" s="34">
        <f t="shared" si="150"/>
        <v>0</v>
      </c>
      <c r="Y530" s="34"/>
      <c r="Z530" s="34"/>
      <c r="AA530" s="35">
        <f t="shared" si="151"/>
        <v>0</v>
      </c>
      <c r="AB530" s="36">
        <v>46031</v>
      </c>
    </row>
    <row r="531" spans="1:28" ht="15.75" hidden="1" x14ac:dyDescent="0.25">
      <c r="A531" s="65">
        <v>46044</v>
      </c>
      <c r="B531" s="66" t="s">
        <v>272</v>
      </c>
      <c r="C531" s="66"/>
      <c r="D531" s="66"/>
      <c r="E531" s="66" t="s">
        <v>168</v>
      </c>
      <c r="F531" s="66">
        <v>157.69999999999999</v>
      </c>
      <c r="G531" s="66" t="s">
        <v>36</v>
      </c>
      <c r="H531" s="66"/>
      <c r="I531" s="10">
        <f t="shared" si="152"/>
        <v>0</v>
      </c>
      <c r="J531" s="52" t="s">
        <v>90</v>
      </c>
      <c r="K531" s="66"/>
      <c r="L531" s="12">
        <f t="shared" si="146"/>
        <v>0</v>
      </c>
      <c r="M531" s="12"/>
      <c r="N531" s="12"/>
      <c r="O531" s="12">
        <f t="shared" si="147"/>
        <v>0</v>
      </c>
      <c r="P531" s="12"/>
      <c r="Q531" s="12"/>
      <c r="R531" s="12">
        <f t="shared" si="148"/>
        <v>0</v>
      </c>
      <c r="S531" s="12"/>
      <c r="T531" s="12"/>
      <c r="U531" s="12">
        <f t="shared" si="149"/>
        <v>0</v>
      </c>
      <c r="V531" s="12"/>
      <c r="W531" s="12"/>
      <c r="X531" s="12">
        <f t="shared" si="150"/>
        <v>0</v>
      </c>
      <c r="Y531" s="12"/>
      <c r="Z531" s="12"/>
      <c r="AA531" s="13">
        <f t="shared" si="151"/>
        <v>0</v>
      </c>
      <c r="AB531" s="14"/>
    </row>
    <row r="532" spans="1:28" ht="15.75" hidden="1" x14ac:dyDescent="0.25">
      <c r="A532" s="65">
        <v>46044</v>
      </c>
      <c r="B532" s="66" t="s">
        <v>272</v>
      </c>
      <c r="C532" s="66"/>
      <c r="D532" s="66"/>
      <c r="E532" s="66" t="s">
        <v>168</v>
      </c>
      <c r="F532" s="66">
        <v>64</v>
      </c>
      <c r="G532" s="66" t="s">
        <v>36</v>
      </c>
      <c r="H532" s="66"/>
      <c r="I532" s="10">
        <f t="shared" si="152"/>
        <v>0</v>
      </c>
      <c r="J532" s="52" t="s">
        <v>30</v>
      </c>
      <c r="K532" s="66"/>
      <c r="L532" s="12">
        <f t="shared" si="146"/>
        <v>0</v>
      </c>
      <c r="M532" s="12"/>
      <c r="N532" s="12"/>
      <c r="O532" s="12">
        <f t="shared" si="147"/>
        <v>0</v>
      </c>
      <c r="P532" s="12"/>
      <c r="Q532" s="12"/>
      <c r="R532" s="12">
        <f t="shared" si="148"/>
        <v>0</v>
      </c>
      <c r="S532" s="12"/>
      <c r="T532" s="12"/>
      <c r="U532" s="12">
        <f t="shared" si="149"/>
        <v>0</v>
      </c>
      <c r="V532" s="12"/>
      <c r="W532" s="12"/>
      <c r="X532" s="12">
        <f t="shared" si="150"/>
        <v>0</v>
      </c>
      <c r="Y532" s="12"/>
      <c r="Z532" s="12"/>
      <c r="AA532" s="13">
        <f t="shared" si="151"/>
        <v>0</v>
      </c>
      <c r="AB532" s="14"/>
    </row>
    <row r="533" spans="1:28" ht="15.75" hidden="1" x14ac:dyDescent="0.25">
      <c r="A533" s="65">
        <v>46044</v>
      </c>
      <c r="B533" s="66" t="s">
        <v>272</v>
      </c>
      <c r="C533" s="10"/>
      <c r="D533" s="10"/>
      <c r="E533" s="10" t="s">
        <v>377</v>
      </c>
      <c r="F533" s="10">
        <v>155.30000000000001</v>
      </c>
      <c r="G533" s="10" t="s">
        <v>36</v>
      </c>
      <c r="H533" s="10"/>
      <c r="I533" s="10">
        <f t="shared" si="152"/>
        <v>0</v>
      </c>
      <c r="J533" s="52" t="s">
        <v>30</v>
      </c>
      <c r="K533" s="10"/>
      <c r="L533" s="12">
        <f t="shared" ref="L533:L553" si="153">M533+N533</f>
        <v>0</v>
      </c>
      <c r="M533" s="12"/>
      <c r="N533" s="12"/>
      <c r="O533" s="12">
        <f t="shared" ref="O533:O553" si="154">P533+Q533</f>
        <v>0</v>
      </c>
      <c r="P533" s="12"/>
      <c r="Q533" s="12"/>
      <c r="R533" s="12">
        <f t="shared" ref="R533:R553" si="155">S533+T533</f>
        <v>0</v>
      </c>
      <c r="S533" s="12"/>
      <c r="T533" s="12"/>
      <c r="U533" s="12">
        <f t="shared" ref="U533:U553" si="156">V533+W533</f>
        <v>0</v>
      </c>
      <c r="V533" s="12"/>
      <c r="W533" s="12"/>
      <c r="X533" s="12">
        <f t="shared" ref="X533:X553" si="157">Y533+Z533</f>
        <v>0</v>
      </c>
      <c r="Y533" s="12"/>
      <c r="Z533" s="12"/>
      <c r="AA533" s="13">
        <f t="shared" ref="AA533:AA553" si="158">C533+I533-L533-O533-U533-X533-R533</f>
        <v>0</v>
      </c>
      <c r="AB533" s="14"/>
    </row>
    <row r="534" spans="1:28" ht="15.75" hidden="1" x14ac:dyDescent="0.25">
      <c r="A534" s="65">
        <v>46044</v>
      </c>
      <c r="B534" s="66" t="s">
        <v>272</v>
      </c>
      <c r="C534" s="10"/>
      <c r="D534" s="10"/>
      <c r="E534" s="10" t="s">
        <v>86</v>
      </c>
      <c r="F534" s="10">
        <v>87.6</v>
      </c>
      <c r="G534" s="10" t="s">
        <v>36</v>
      </c>
      <c r="H534" s="10"/>
      <c r="I534" s="10">
        <f t="shared" si="152"/>
        <v>0</v>
      </c>
      <c r="J534" s="86" t="s">
        <v>76</v>
      </c>
      <c r="K534" s="10"/>
      <c r="L534" s="12">
        <f t="shared" si="153"/>
        <v>0</v>
      </c>
      <c r="M534" s="12"/>
      <c r="N534" s="12"/>
      <c r="O534" s="12">
        <f t="shared" si="154"/>
        <v>0</v>
      </c>
      <c r="P534" s="12"/>
      <c r="Q534" s="12"/>
      <c r="R534" s="12">
        <f t="shared" si="155"/>
        <v>0</v>
      </c>
      <c r="S534" s="12"/>
      <c r="T534" s="12"/>
      <c r="U534" s="12">
        <f t="shared" si="156"/>
        <v>0</v>
      </c>
      <c r="V534" s="12"/>
      <c r="W534" s="12"/>
      <c r="X534" s="12">
        <f t="shared" si="157"/>
        <v>0</v>
      </c>
      <c r="Y534" s="12"/>
      <c r="Z534" s="12"/>
      <c r="AA534" s="13">
        <f t="shared" si="158"/>
        <v>0</v>
      </c>
      <c r="AB534" s="14"/>
    </row>
    <row r="535" spans="1:28" ht="15.75" hidden="1" x14ac:dyDescent="0.25">
      <c r="A535" s="65">
        <v>46044</v>
      </c>
      <c r="B535" s="66" t="s">
        <v>272</v>
      </c>
      <c r="C535" s="10"/>
      <c r="D535" s="10"/>
      <c r="E535" s="10" t="s">
        <v>315</v>
      </c>
      <c r="F535" s="10">
        <v>81.3</v>
      </c>
      <c r="G535" s="10" t="s">
        <v>36</v>
      </c>
      <c r="H535" s="10"/>
      <c r="I535" s="10">
        <f t="shared" si="152"/>
        <v>0</v>
      </c>
      <c r="J535" s="86" t="s">
        <v>76</v>
      </c>
      <c r="K535" s="10"/>
      <c r="L535" s="12">
        <f t="shared" si="153"/>
        <v>0</v>
      </c>
      <c r="M535" s="12"/>
      <c r="N535" s="12"/>
      <c r="O535" s="12">
        <f t="shared" si="154"/>
        <v>0</v>
      </c>
      <c r="P535" s="12"/>
      <c r="Q535" s="12"/>
      <c r="R535" s="12">
        <f t="shared" si="155"/>
        <v>0</v>
      </c>
      <c r="S535" s="12"/>
      <c r="T535" s="12"/>
      <c r="U535" s="12">
        <f t="shared" si="156"/>
        <v>0</v>
      </c>
      <c r="V535" s="12"/>
      <c r="W535" s="12"/>
      <c r="X535" s="12">
        <f t="shared" si="157"/>
        <v>0</v>
      </c>
      <c r="Y535" s="12"/>
      <c r="Z535" s="12"/>
      <c r="AA535" s="13">
        <f t="shared" si="158"/>
        <v>0</v>
      </c>
      <c r="AB535" s="14"/>
    </row>
    <row r="536" spans="1:28" ht="15.75" hidden="1" x14ac:dyDescent="0.25">
      <c r="A536" s="65">
        <v>46044</v>
      </c>
      <c r="B536" s="66" t="s">
        <v>272</v>
      </c>
      <c r="C536" s="10"/>
      <c r="D536" s="10"/>
      <c r="E536" s="10" t="s">
        <v>229</v>
      </c>
      <c r="F536" s="10">
        <v>14.3</v>
      </c>
      <c r="G536" s="10" t="s">
        <v>36</v>
      </c>
      <c r="H536" s="10"/>
      <c r="I536" s="10">
        <f t="shared" si="152"/>
        <v>0</v>
      </c>
      <c r="J536" s="52" t="s">
        <v>90</v>
      </c>
      <c r="K536" s="10"/>
      <c r="L536" s="12">
        <f t="shared" si="153"/>
        <v>0</v>
      </c>
      <c r="M536" s="12"/>
      <c r="N536" s="12"/>
      <c r="O536" s="12">
        <f t="shared" si="154"/>
        <v>0</v>
      </c>
      <c r="P536" s="12"/>
      <c r="Q536" s="12"/>
      <c r="R536" s="12">
        <f t="shared" si="155"/>
        <v>0</v>
      </c>
      <c r="S536" s="12"/>
      <c r="T536" s="12"/>
      <c r="U536" s="12">
        <f t="shared" si="156"/>
        <v>0</v>
      </c>
      <c r="V536" s="12"/>
      <c r="W536" s="12"/>
      <c r="X536" s="12">
        <f t="shared" si="157"/>
        <v>0</v>
      </c>
      <c r="Y536" s="12"/>
      <c r="Z536" s="12"/>
      <c r="AA536" s="13">
        <f t="shared" si="158"/>
        <v>0</v>
      </c>
      <c r="AB536" s="14"/>
    </row>
    <row r="537" spans="1:28" ht="15.75" hidden="1" x14ac:dyDescent="0.25">
      <c r="A537" s="65">
        <v>46044</v>
      </c>
      <c r="B537" s="66" t="s">
        <v>272</v>
      </c>
      <c r="C537" s="10"/>
      <c r="D537" s="10"/>
      <c r="E537" s="10" t="s">
        <v>344</v>
      </c>
      <c r="F537" s="10">
        <v>26.5</v>
      </c>
      <c r="G537" s="10" t="s">
        <v>36</v>
      </c>
      <c r="H537" s="10"/>
      <c r="I537" s="10">
        <f t="shared" si="152"/>
        <v>0</v>
      </c>
      <c r="J537" s="52" t="s">
        <v>30</v>
      </c>
      <c r="K537" s="10"/>
      <c r="L537" s="12">
        <f t="shared" si="153"/>
        <v>0</v>
      </c>
      <c r="M537" s="12"/>
      <c r="N537" s="12"/>
      <c r="O537" s="12">
        <f t="shared" si="154"/>
        <v>0</v>
      </c>
      <c r="P537" s="12"/>
      <c r="Q537" s="12"/>
      <c r="R537" s="12">
        <f t="shared" si="155"/>
        <v>0</v>
      </c>
      <c r="S537" s="12"/>
      <c r="T537" s="12"/>
      <c r="U537" s="12">
        <f t="shared" si="156"/>
        <v>0</v>
      </c>
      <c r="V537" s="12"/>
      <c r="W537" s="12"/>
      <c r="X537" s="12">
        <f t="shared" si="157"/>
        <v>0</v>
      </c>
      <c r="Y537" s="12"/>
      <c r="Z537" s="12"/>
      <c r="AA537" s="13">
        <f t="shared" si="158"/>
        <v>0</v>
      </c>
      <c r="AB537" s="14"/>
    </row>
    <row r="538" spans="1:28" ht="15.75" hidden="1" x14ac:dyDescent="0.25">
      <c r="A538" s="65">
        <v>46044</v>
      </c>
      <c r="B538" s="10" t="s">
        <v>204</v>
      </c>
      <c r="C538" s="10"/>
      <c r="D538" s="10" t="s">
        <v>28</v>
      </c>
      <c r="E538" s="10" t="s">
        <v>116</v>
      </c>
      <c r="F538" s="10">
        <v>48</v>
      </c>
      <c r="G538" s="10" t="s">
        <v>67</v>
      </c>
      <c r="H538" s="10">
        <v>65000</v>
      </c>
      <c r="I538" s="10">
        <f t="shared" si="152"/>
        <v>3120000</v>
      </c>
      <c r="J538" s="29" t="s">
        <v>110</v>
      </c>
      <c r="K538" s="10" t="s">
        <v>356</v>
      </c>
      <c r="L538" s="12">
        <f t="shared" si="153"/>
        <v>0</v>
      </c>
      <c r="M538" s="12"/>
      <c r="N538" s="12"/>
      <c r="O538" s="12">
        <f t="shared" si="154"/>
        <v>3120000</v>
      </c>
      <c r="P538" s="12">
        <v>3120000</v>
      </c>
      <c r="Q538" s="12"/>
      <c r="R538" s="12">
        <f t="shared" si="155"/>
        <v>0</v>
      </c>
      <c r="S538" s="12"/>
      <c r="T538" s="12"/>
      <c r="U538" s="12">
        <f t="shared" si="156"/>
        <v>0</v>
      </c>
      <c r="V538" s="12"/>
      <c r="W538" s="12"/>
      <c r="X538" s="12">
        <f t="shared" si="157"/>
        <v>0</v>
      </c>
      <c r="Y538" s="12"/>
      <c r="Z538" s="12"/>
      <c r="AA538" s="13">
        <f t="shared" si="158"/>
        <v>0</v>
      </c>
      <c r="AB538" s="14">
        <v>46045</v>
      </c>
    </row>
    <row r="539" spans="1:28" ht="15.75" hidden="1" x14ac:dyDescent="0.25">
      <c r="A539" s="65">
        <v>46044</v>
      </c>
      <c r="B539" s="10" t="s">
        <v>302</v>
      </c>
      <c r="C539" s="10"/>
      <c r="D539" s="10" t="s">
        <v>28</v>
      </c>
      <c r="E539" s="10" t="s">
        <v>183</v>
      </c>
      <c r="F539" s="10">
        <v>50</v>
      </c>
      <c r="G539" s="10" t="s">
        <v>36</v>
      </c>
      <c r="H539" s="10">
        <v>100000</v>
      </c>
      <c r="I539" s="10">
        <f t="shared" si="152"/>
        <v>5000000</v>
      </c>
      <c r="J539" s="29" t="s">
        <v>110</v>
      </c>
      <c r="K539" s="10"/>
      <c r="L539" s="12">
        <f t="shared" si="153"/>
        <v>0</v>
      </c>
      <c r="M539" s="12"/>
      <c r="N539" s="12"/>
      <c r="O539" s="12">
        <f t="shared" si="154"/>
        <v>5000000</v>
      </c>
      <c r="P539" s="12">
        <v>5000000</v>
      </c>
      <c r="Q539" s="12"/>
      <c r="R539" s="12">
        <f t="shared" si="155"/>
        <v>0</v>
      </c>
      <c r="S539" s="12"/>
      <c r="T539" s="12"/>
      <c r="U539" s="12">
        <f t="shared" si="156"/>
        <v>0</v>
      </c>
      <c r="V539" s="12"/>
      <c r="W539" s="12"/>
      <c r="X539" s="12">
        <f t="shared" si="157"/>
        <v>0</v>
      </c>
      <c r="Y539" s="12"/>
      <c r="Z539" s="12"/>
      <c r="AA539" s="13">
        <f t="shared" si="158"/>
        <v>0</v>
      </c>
      <c r="AB539" s="14">
        <v>46044</v>
      </c>
    </row>
    <row r="540" spans="1:28" ht="15.75" hidden="1" x14ac:dyDescent="0.25">
      <c r="A540" s="65">
        <v>46044</v>
      </c>
      <c r="B540" s="10" t="s">
        <v>378</v>
      </c>
      <c r="C540" s="10"/>
      <c r="D540" s="10" t="s">
        <v>28</v>
      </c>
      <c r="E540" s="10" t="s">
        <v>138</v>
      </c>
      <c r="F540" s="85">
        <v>1</v>
      </c>
      <c r="G540" s="10" t="s">
        <v>61</v>
      </c>
      <c r="H540" s="10">
        <v>290000</v>
      </c>
      <c r="I540" s="10">
        <f t="shared" si="152"/>
        <v>290000</v>
      </c>
      <c r="J540" s="29" t="s">
        <v>113</v>
      </c>
      <c r="K540" s="10" t="s">
        <v>356</v>
      </c>
      <c r="L540" s="12">
        <f t="shared" si="153"/>
        <v>0</v>
      </c>
      <c r="M540" s="12"/>
      <c r="N540" s="12"/>
      <c r="O540" s="12">
        <f t="shared" si="154"/>
        <v>0</v>
      </c>
      <c r="P540" s="12"/>
      <c r="Q540" s="12"/>
      <c r="R540" s="12">
        <f t="shared" si="155"/>
        <v>0</v>
      </c>
      <c r="S540" s="12"/>
      <c r="T540" s="12"/>
      <c r="U540" s="12">
        <f t="shared" si="156"/>
        <v>290000</v>
      </c>
      <c r="V540" s="12">
        <v>290000</v>
      </c>
      <c r="W540" s="12"/>
      <c r="X540" s="12">
        <f t="shared" si="157"/>
        <v>0</v>
      </c>
      <c r="Y540" s="12"/>
      <c r="Z540" s="12"/>
      <c r="AA540" s="13">
        <f t="shared" si="158"/>
        <v>0</v>
      </c>
      <c r="AB540" s="14">
        <v>46048</v>
      </c>
    </row>
    <row r="541" spans="1:28" ht="15.75" hidden="1" x14ac:dyDescent="0.25">
      <c r="A541" s="65">
        <v>46044</v>
      </c>
      <c r="B541" s="10" t="s">
        <v>238</v>
      </c>
      <c r="C541" s="10"/>
      <c r="D541" s="10" t="s">
        <v>28</v>
      </c>
      <c r="E541" s="10" t="s">
        <v>65</v>
      </c>
      <c r="F541" s="10">
        <v>1300</v>
      </c>
      <c r="G541" s="10" t="s">
        <v>26</v>
      </c>
      <c r="H541" s="10">
        <v>3600</v>
      </c>
      <c r="I541" s="10">
        <f t="shared" si="152"/>
        <v>4680000</v>
      </c>
      <c r="J541" s="52" t="s">
        <v>90</v>
      </c>
      <c r="K541" s="87" t="s">
        <v>387</v>
      </c>
      <c r="L541" s="12">
        <f t="shared" si="153"/>
        <v>0</v>
      </c>
      <c r="M541" s="12"/>
      <c r="N541" s="12"/>
      <c r="O541" s="12">
        <f t="shared" si="154"/>
        <v>0</v>
      </c>
      <c r="P541" s="12"/>
      <c r="Q541" s="12"/>
      <c r="R541" s="12">
        <f t="shared" si="155"/>
        <v>0</v>
      </c>
      <c r="S541" s="12"/>
      <c r="T541" s="12"/>
      <c r="U541" s="12">
        <f t="shared" si="156"/>
        <v>0</v>
      </c>
      <c r="V541" s="12"/>
      <c r="W541" s="12"/>
      <c r="X541" s="12">
        <f t="shared" si="157"/>
        <v>0</v>
      </c>
      <c r="Y541" s="12"/>
      <c r="Z541" s="12"/>
      <c r="AA541" s="13">
        <f t="shared" si="158"/>
        <v>4680000</v>
      </c>
      <c r="AB541" s="14"/>
    </row>
    <row r="542" spans="1:28" ht="15.75" hidden="1" x14ac:dyDescent="0.25">
      <c r="A542" s="65">
        <v>46044</v>
      </c>
      <c r="B542" s="10" t="s">
        <v>270</v>
      </c>
      <c r="C542" s="10"/>
      <c r="D542" s="10" t="s">
        <v>28</v>
      </c>
      <c r="E542" s="10" t="s">
        <v>379</v>
      </c>
      <c r="F542" s="10">
        <v>400</v>
      </c>
      <c r="G542" s="10" t="s">
        <v>26</v>
      </c>
      <c r="H542" s="10">
        <v>1000</v>
      </c>
      <c r="I542" s="10">
        <f t="shared" si="152"/>
        <v>400000</v>
      </c>
      <c r="J542" s="29" t="s">
        <v>110</v>
      </c>
      <c r="K542" s="10" t="s">
        <v>356</v>
      </c>
      <c r="L542" s="12">
        <f t="shared" si="153"/>
        <v>0</v>
      </c>
      <c r="M542" s="12"/>
      <c r="N542" s="12"/>
      <c r="O542" s="12">
        <f t="shared" si="154"/>
        <v>400000</v>
      </c>
      <c r="P542" s="12">
        <v>400000</v>
      </c>
      <c r="Q542" s="12"/>
      <c r="R542" s="12">
        <f t="shared" si="155"/>
        <v>0</v>
      </c>
      <c r="S542" s="12"/>
      <c r="T542" s="12"/>
      <c r="U542" s="12">
        <f t="shared" si="156"/>
        <v>0</v>
      </c>
      <c r="V542" s="12"/>
      <c r="W542" s="12"/>
      <c r="X542" s="12">
        <f t="shared" si="157"/>
        <v>0</v>
      </c>
      <c r="Y542" s="12"/>
      <c r="Z542" s="12"/>
      <c r="AA542" s="13">
        <f t="shared" si="158"/>
        <v>0</v>
      </c>
      <c r="AB542" s="14">
        <v>46048</v>
      </c>
    </row>
    <row r="543" spans="1:28" ht="15.75" hidden="1" x14ac:dyDescent="0.25">
      <c r="A543" s="65">
        <v>46044</v>
      </c>
      <c r="B543" s="10" t="s">
        <v>380</v>
      </c>
      <c r="C543" s="10"/>
      <c r="D543" s="10" t="s">
        <v>28</v>
      </c>
      <c r="E543" s="10" t="s">
        <v>160</v>
      </c>
      <c r="F543" s="10">
        <v>1</v>
      </c>
      <c r="G543" s="10" t="s">
        <v>22</v>
      </c>
      <c r="H543" s="10">
        <v>400000</v>
      </c>
      <c r="I543" s="10">
        <f t="shared" si="152"/>
        <v>400000</v>
      </c>
      <c r="J543" s="52" t="s">
        <v>90</v>
      </c>
      <c r="K543" s="87" t="s">
        <v>356</v>
      </c>
      <c r="L543" s="12">
        <f t="shared" si="153"/>
        <v>0</v>
      </c>
      <c r="M543" s="12"/>
      <c r="N543" s="12"/>
      <c r="O543" s="12">
        <f t="shared" si="154"/>
        <v>0</v>
      </c>
      <c r="P543" s="12"/>
      <c r="Q543" s="12"/>
      <c r="R543" s="12">
        <f t="shared" si="155"/>
        <v>0</v>
      </c>
      <c r="S543" s="12"/>
      <c r="T543" s="12"/>
      <c r="U543" s="12">
        <f t="shared" si="156"/>
        <v>0</v>
      </c>
      <c r="V543" s="12"/>
      <c r="W543" s="12"/>
      <c r="X543" s="12">
        <f t="shared" si="157"/>
        <v>0</v>
      </c>
      <c r="Y543" s="12"/>
      <c r="Z543" s="12"/>
      <c r="AA543" s="13">
        <f t="shared" si="158"/>
        <v>400000</v>
      </c>
      <c r="AB543" s="14"/>
    </row>
    <row r="544" spans="1:28" ht="15.75" hidden="1" x14ac:dyDescent="0.25">
      <c r="A544" s="65">
        <v>46044</v>
      </c>
      <c r="B544" s="10" t="s">
        <v>280</v>
      </c>
      <c r="C544" s="10"/>
      <c r="D544" s="10" t="s">
        <v>32</v>
      </c>
      <c r="E544" s="10" t="s">
        <v>300</v>
      </c>
      <c r="F544" s="10">
        <v>1</v>
      </c>
      <c r="G544" s="10" t="s">
        <v>61</v>
      </c>
      <c r="H544" s="10">
        <v>150000</v>
      </c>
      <c r="I544" s="10">
        <f t="shared" si="152"/>
        <v>150000</v>
      </c>
      <c r="J544" s="29" t="s">
        <v>113</v>
      </c>
      <c r="K544" s="10"/>
      <c r="L544" s="12">
        <f t="shared" si="153"/>
        <v>0</v>
      </c>
      <c r="M544" s="12"/>
      <c r="N544" s="12"/>
      <c r="O544" s="12">
        <f t="shared" si="154"/>
        <v>0</v>
      </c>
      <c r="P544" s="12"/>
      <c r="Q544" s="12"/>
      <c r="R544" s="12">
        <f t="shared" si="155"/>
        <v>0</v>
      </c>
      <c r="S544" s="12"/>
      <c r="T544" s="12"/>
      <c r="U544" s="12">
        <f t="shared" si="156"/>
        <v>150000</v>
      </c>
      <c r="V544" s="12">
        <v>150000</v>
      </c>
      <c r="W544" s="12"/>
      <c r="X544" s="12">
        <f t="shared" si="157"/>
        <v>0</v>
      </c>
      <c r="Y544" s="12"/>
      <c r="Z544" s="12"/>
      <c r="AA544" s="13">
        <f t="shared" si="158"/>
        <v>0</v>
      </c>
      <c r="AB544" s="14">
        <v>46044</v>
      </c>
    </row>
    <row r="545" spans="1:28" ht="15.75" hidden="1" x14ac:dyDescent="0.25">
      <c r="A545" s="65">
        <v>46044</v>
      </c>
      <c r="B545" s="10" t="s">
        <v>296</v>
      </c>
      <c r="C545" s="10"/>
      <c r="D545" s="10" t="s">
        <v>28</v>
      </c>
      <c r="E545" s="10" t="s">
        <v>170</v>
      </c>
      <c r="F545" s="10">
        <v>1000</v>
      </c>
      <c r="G545" s="10" t="s">
        <v>26</v>
      </c>
      <c r="H545" s="10">
        <v>2630</v>
      </c>
      <c r="I545" s="10">
        <f t="shared" si="152"/>
        <v>2630000</v>
      </c>
      <c r="J545" s="29" t="s">
        <v>110</v>
      </c>
      <c r="K545" s="10"/>
      <c r="L545" s="12">
        <f t="shared" si="153"/>
        <v>0</v>
      </c>
      <c r="M545" s="12"/>
      <c r="N545" s="12"/>
      <c r="O545" s="12">
        <f t="shared" si="154"/>
        <v>2630000</v>
      </c>
      <c r="P545" s="12">
        <v>2630000</v>
      </c>
      <c r="Q545" s="12"/>
      <c r="R545" s="12">
        <f t="shared" si="155"/>
        <v>0</v>
      </c>
      <c r="S545" s="12"/>
      <c r="T545" s="12"/>
      <c r="U545" s="12">
        <f t="shared" si="156"/>
        <v>0</v>
      </c>
      <c r="V545" s="12"/>
      <c r="W545" s="12"/>
      <c r="X545" s="12">
        <f t="shared" si="157"/>
        <v>0</v>
      </c>
      <c r="Y545" s="12"/>
      <c r="Z545" s="12"/>
      <c r="AA545" s="13">
        <f t="shared" si="158"/>
        <v>0</v>
      </c>
      <c r="AB545" s="14">
        <v>46044</v>
      </c>
    </row>
    <row r="546" spans="1:28" ht="15.75" hidden="1" x14ac:dyDescent="0.25">
      <c r="A546" s="65">
        <v>46044</v>
      </c>
      <c r="B546" s="10" t="s">
        <v>381</v>
      </c>
      <c r="C546" s="10"/>
      <c r="D546" s="10" t="s">
        <v>32</v>
      </c>
      <c r="E546" s="10" t="s">
        <v>198</v>
      </c>
      <c r="F546" s="10">
        <v>33.799999999999997</v>
      </c>
      <c r="G546" s="10" t="s">
        <v>36</v>
      </c>
      <c r="H546" s="10">
        <v>38610</v>
      </c>
      <c r="I546" s="10">
        <f t="shared" si="152"/>
        <v>1305018</v>
      </c>
      <c r="J546" s="29" t="s">
        <v>113</v>
      </c>
      <c r="K546" s="10" t="s">
        <v>387</v>
      </c>
      <c r="L546" s="12">
        <f t="shared" si="153"/>
        <v>1305018</v>
      </c>
      <c r="M546" s="12">
        <v>1305018</v>
      </c>
      <c r="N546" s="12"/>
      <c r="O546" s="12">
        <f t="shared" si="154"/>
        <v>0</v>
      </c>
      <c r="P546" s="12"/>
      <c r="Q546" s="12"/>
      <c r="R546" s="12">
        <f t="shared" si="155"/>
        <v>0</v>
      </c>
      <c r="S546" s="12"/>
      <c r="T546" s="12"/>
      <c r="U546" s="12">
        <f t="shared" si="156"/>
        <v>0</v>
      </c>
      <c r="V546" s="12"/>
      <c r="W546" s="12"/>
      <c r="X546" s="12">
        <f t="shared" si="157"/>
        <v>0</v>
      </c>
      <c r="Y546" s="12"/>
      <c r="Z546" s="12"/>
      <c r="AA546" s="13">
        <f t="shared" si="158"/>
        <v>0</v>
      </c>
      <c r="AB546" s="14">
        <v>46048</v>
      </c>
    </row>
    <row r="547" spans="1:28" ht="15.75" hidden="1" x14ac:dyDescent="0.25">
      <c r="A547" s="65">
        <v>46044</v>
      </c>
      <c r="B547" s="10" t="s">
        <v>381</v>
      </c>
      <c r="C547" s="10"/>
      <c r="D547" s="10" t="s">
        <v>32</v>
      </c>
      <c r="E547" s="10" t="s">
        <v>138</v>
      </c>
      <c r="F547" s="10">
        <v>24</v>
      </c>
      <c r="G547" s="10" t="s">
        <v>61</v>
      </c>
      <c r="H547" s="10">
        <v>285000</v>
      </c>
      <c r="I547" s="10">
        <f t="shared" si="152"/>
        <v>6840000</v>
      </c>
      <c r="J547" s="29" t="s">
        <v>113</v>
      </c>
      <c r="K547" s="10" t="s">
        <v>387</v>
      </c>
      <c r="L547" s="12">
        <f t="shared" si="153"/>
        <v>6840000</v>
      </c>
      <c r="M547" s="12">
        <v>6840000</v>
      </c>
      <c r="N547" s="12"/>
      <c r="O547" s="12">
        <f t="shared" si="154"/>
        <v>0</v>
      </c>
      <c r="P547" s="12"/>
      <c r="Q547" s="12"/>
      <c r="R547" s="12">
        <f t="shared" si="155"/>
        <v>0</v>
      </c>
      <c r="S547" s="12"/>
      <c r="T547" s="12"/>
      <c r="U547" s="12">
        <f t="shared" si="156"/>
        <v>0</v>
      </c>
      <c r="V547" s="12"/>
      <c r="W547" s="12"/>
      <c r="X547" s="12">
        <f t="shared" si="157"/>
        <v>0</v>
      </c>
      <c r="Y547" s="12"/>
      <c r="Z547" s="12"/>
      <c r="AA547" s="13">
        <f t="shared" si="158"/>
        <v>0</v>
      </c>
      <c r="AB547" s="14">
        <v>46048</v>
      </c>
    </row>
    <row r="548" spans="1:28" ht="15.75" hidden="1" x14ac:dyDescent="0.25">
      <c r="A548" s="65">
        <v>46044</v>
      </c>
      <c r="B548" s="10" t="s">
        <v>382</v>
      </c>
      <c r="C548" s="10"/>
      <c r="D548" s="10" t="s">
        <v>195</v>
      </c>
      <c r="E548" s="10" t="s">
        <v>104</v>
      </c>
      <c r="F548" s="10">
        <v>200</v>
      </c>
      <c r="G548" s="10" t="s">
        <v>26</v>
      </c>
      <c r="H548" s="10">
        <v>1900</v>
      </c>
      <c r="I548" s="10">
        <f t="shared" si="152"/>
        <v>380000</v>
      </c>
      <c r="J548" s="29" t="s">
        <v>113</v>
      </c>
      <c r="K548" s="10"/>
      <c r="L548" s="12">
        <f t="shared" si="153"/>
        <v>380000</v>
      </c>
      <c r="M548" s="12">
        <v>380000</v>
      </c>
      <c r="N548" s="12"/>
      <c r="O548" s="12">
        <f t="shared" si="154"/>
        <v>0</v>
      </c>
      <c r="P548" s="12"/>
      <c r="Q548" s="12"/>
      <c r="R548" s="12">
        <f t="shared" si="155"/>
        <v>0</v>
      </c>
      <c r="S548" s="12"/>
      <c r="T548" s="12"/>
      <c r="U548" s="12">
        <f t="shared" si="156"/>
        <v>0</v>
      </c>
      <c r="V548" s="12"/>
      <c r="W548" s="12"/>
      <c r="X548" s="12">
        <f t="shared" si="157"/>
        <v>0</v>
      </c>
      <c r="Y548" s="12"/>
      <c r="Z548" s="12"/>
      <c r="AA548" s="13">
        <f t="shared" si="158"/>
        <v>0</v>
      </c>
      <c r="AB548" s="14">
        <v>46044</v>
      </c>
    </row>
    <row r="549" spans="1:28" ht="15.75" hidden="1" x14ac:dyDescent="0.25">
      <c r="A549" s="28">
        <v>46044</v>
      </c>
      <c r="B549" s="10" t="s">
        <v>259</v>
      </c>
      <c r="C549" s="10"/>
      <c r="D549" s="10" t="s">
        <v>383</v>
      </c>
      <c r="E549" s="10" t="s">
        <v>114</v>
      </c>
      <c r="F549" s="10">
        <v>100</v>
      </c>
      <c r="G549" s="10" t="s">
        <v>67</v>
      </c>
      <c r="H549" s="10">
        <v>45000</v>
      </c>
      <c r="I549" s="10">
        <f t="shared" si="152"/>
        <v>4500000</v>
      </c>
      <c r="J549" s="29" t="s">
        <v>113</v>
      </c>
      <c r="K549" s="10"/>
      <c r="L549" s="12">
        <f t="shared" si="153"/>
        <v>4500000</v>
      </c>
      <c r="M549" s="12">
        <v>4500000</v>
      </c>
      <c r="N549" s="12"/>
      <c r="O549" s="12">
        <f t="shared" si="154"/>
        <v>0</v>
      </c>
      <c r="P549" s="12"/>
      <c r="Q549" s="12"/>
      <c r="R549" s="12">
        <f t="shared" si="155"/>
        <v>0</v>
      </c>
      <c r="S549" s="12"/>
      <c r="T549" s="12"/>
      <c r="U549" s="12">
        <f t="shared" si="156"/>
        <v>0</v>
      </c>
      <c r="V549" s="12"/>
      <c r="W549" s="12"/>
      <c r="X549" s="12">
        <f t="shared" si="157"/>
        <v>0</v>
      </c>
      <c r="Y549" s="12"/>
      <c r="Z549" s="12"/>
      <c r="AA549" s="13">
        <f t="shared" si="158"/>
        <v>0</v>
      </c>
      <c r="AB549" s="14">
        <v>46044</v>
      </c>
    </row>
    <row r="550" spans="1:28" ht="15.75" hidden="1" x14ac:dyDescent="0.25">
      <c r="A550" s="28">
        <v>46044</v>
      </c>
      <c r="B550" s="10" t="s">
        <v>384</v>
      </c>
      <c r="C550" s="10"/>
      <c r="D550" s="10" t="s">
        <v>28</v>
      </c>
      <c r="E550" s="10" t="s">
        <v>385</v>
      </c>
      <c r="F550" s="10">
        <v>11</v>
      </c>
      <c r="G550" s="10" t="s">
        <v>36</v>
      </c>
      <c r="H550" s="10">
        <v>150000</v>
      </c>
      <c r="I550" s="10">
        <f t="shared" si="152"/>
        <v>1650000</v>
      </c>
      <c r="J550" s="29" t="s">
        <v>110</v>
      </c>
      <c r="K550" s="10"/>
      <c r="L550" s="12">
        <f t="shared" si="153"/>
        <v>0</v>
      </c>
      <c r="M550" s="12"/>
      <c r="N550" s="12"/>
      <c r="O550" s="12">
        <f t="shared" si="154"/>
        <v>0</v>
      </c>
      <c r="P550" s="12"/>
      <c r="Q550" s="12"/>
      <c r="R550" s="12">
        <f t="shared" si="155"/>
        <v>1650000</v>
      </c>
      <c r="S550" s="12">
        <v>1650000</v>
      </c>
      <c r="T550" s="12"/>
      <c r="U550" s="12">
        <f t="shared" si="156"/>
        <v>0</v>
      </c>
      <c r="V550" s="12"/>
      <c r="W550" s="12"/>
      <c r="X550" s="12">
        <f t="shared" si="157"/>
        <v>0</v>
      </c>
      <c r="Y550" s="12"/>
      <c r="Z550" s="12"/>
      <c r="AA550" s="13">
        <f t="shared" si="158"/>
        <v>0</v>
      </c>
      <c r="AB550" s="14">
        <v>46044</v>
      </c>
    </row>
    <row r="551" spans="1:28" ht="15.75" hidden="1" x14ac:dyDescent="0.25">
      <c r="A551" s="65">
        <v>46044</v>
      </c>
      <c r="B551" s="10" t="s">
        <v>384</v>
      </c>
      <c r="C551" s="10"/>
      <c r="D551" s="10" t="s">
        <v>28</v>
      </c>
      <c r="E551" s="10" t="s">
        <v>191</v>
      </c>
      <c r="F551" s="10">
        <v>1</v>
      </c>
      <c r="G551" s="10" t="s">
        <v>192</v>
      </c>
      <c r="H551" s="10">
        <v>1200000</v>
      </c>
      <c r="I551" s="10">
        <f t="shared" si="152"/>
        <v>1200000</v>
      </c>
      <c r="J551" s="29" t="s">
        <v>110</v>
      </c>
      <c r="K551" s="10"/>
      <c r="L551" s="12">
        <f t="shared" si="153"/>
        <v>0</v>
      </c>
      <c r="M551" s="12"/>
      <c r="N551" s="12"/>
      <c r="O551" s="12">
        <f t="shared" si="154"/>
        <v>0</v>
      </c>
      <c r="P551" s="12"/>
      <c r="Q551" s="12"/>
      <c r="R551" s="12">
        <f t="shared" si="155"/>
        <v>1200000</v>
      </c>
      <c r="S551" s="12">
        <v>1200000</v>
      </c>
      <c r="T551" s="12"/>
      <c r="U551" s="12">
        <f t="shared" si="156"/>
        <v>0</v>
      </c>
      <c r="V551" s="12"/>
      <c r="W551" s="12"/>
      <c r="X551" s="12">
        <f t="shared" si="157"/>
        <v>0</v>
      </c>
      <c r="Y551" s="12"/>
      <c r="Z551" s="12"/>
      <c r="AA551" s="13">
        <f t="shared" si="158"/>
        <v>0</v>
      </c>
      <c r="AB551" s="14">
        <v>46044</v>
      </c>
    </row>
    <row r="552" spans="1:28" ht="15.75" hidden="1" x14ac:dyDescent="0.25">
      <c r="A552" s="65">
        <v>46044</v>
      </c>
      <c r="B552" s="10" t="s">
        <v>77</v>
      </c>
      <c r="C552" s="10"/>
      <c r="D552" s="10" t="s">
        <v>383</v>
      </c>
      <c r="E552" s="10" t="s">
        <v>78</v>
      </c>
      <c r="F552" s="10">
        <v>5</v>
      </c>
      <c r="G552" s="10" t="s">
        <v>61</v>
      </c>
      <c r="H552" s="10">
        <v>250000</v>
      </c>
      <c r="I552" s="10">
        <f t="shared" si="152"/>
        <v>1250000</v>
      </c>
      <c r="J552" s="29" t="s">
        <v>110</v>
      </c>
      <c r="K552" s="10"/>
      <c r="L552" s="12">
        <f t="shared" si="153"/>
        <v>0</v>
      </c>
      <c r="M552" s="12"/>
      <c r="N552" s="12"/>
      <c r="O552" s="12">
        <f t="shared" si="154"/>
        <v>1250000</v>
      </c>
      <c r="P552" s="12">
        <v>1250000</v>
      </c>
      <c r="Q552" s="12"/>
      <c r="R552" s="12">
        <f t="shared" si="155"/>
        <v>0</v>
      </c>
      <c r="S552" s="12"/>
      <c r="T552" s="12"/>
      <c r="U552" s="12">
        <f t="shared" si="156"/>
        <v>0</v>
      </c>
      <c r="V552" s="12"/>
      <c r="W552" s="12"/>
      <c r="X552" s="12">
        <f t="shared" si="157"/>
        <v>0</v>
      </c>
      <c r="Y552" s="12"/>
      <c r="Z552" s="12"/>
      <c r="AA552" s="13">
        <f t="shared" si="158"/>
        <v>0</v>
      </c>
      <c r="AB552" s="14">
        <v>46044</v>
      </c>
    </row>
    <row r="553" spans="1:28" ht="15.75" hidden="1" x14ac:dyDescent="0.25">
      <c r="A553" s="65">
        <v>46044</v>
      </c>
      <c r="B553" s="10" t="s">
        <v>279</v>
      </c>
      <c r="C553" s="10"/>
      <c r="D553" s="10" t="s">
        <v>28</v>
      </c>
      <c r="E553" s="10" t="s">
        <v>84</v>
      </c>
      <c r="F553" s="10">
        <v>35</v>
      </c>
      <c r="G553" s="10" t="s">
        <v>36</v>
      </c>
      <c r="H553" s="10">
        <v>43000</v>
      </c>
      <c r="I553" s="10">
        <f t="shared" si="152"/>
        <v>1505000</v>
      </c>
      <c r="J553" s="29" t="s">
        <v>110</v>
      </c>
      <c r="K553" s="10" t="s">
        <v>356</v>
      </c>
      <c r="L553" s="12">
        <f t="shared" si="153"/>
        <v>0</v>
      </c>
      <c r="M553" s="12"/>
      <c r="N553" s="12"/>
      <c r="O553" s="12">
        <f t="shared" si="154"/>
        <v>1505000</v>
      </c>
      <c r="P553" s="12">
        <v>1505000</v>
      </c>
      <c r="Q553" s="12"/>
      <c r="R553" s="12">
        <f t="shared" si="155"/>
        <v>0</v>
      </c>
      <c r="S553" s="12"/>
      <c r="T553" s="12"/>
      <c r="U553" s="12">
        <f t="shared" si="156"/>
        <v>0</v>
      </c>
      <c r="V553" s="12"/>
      <c r="W553" s="12"/>
      <c r="X553" s="12">
        <f t="shared" si="157"/>
        <v>0</v>
      </c>
      <c r="Y553" s="12"/>
      <c r="Z553" s="12"/>
      <c r="AA553" s="13">
        <f t="shared" si="158"/>
        <v>0</v>
      </c>
      <c r="AB553" s="14">
        <v>46045</v>
      </c>
    </row>
    <row r="554" spans="1:28" ht="15.75" hidden="1" x14ac:dyDescent="0.25">
      <c r="A554" s="65">
        <v>46044</v>
      </c>
      <c r="B554" s="66" t="s">
        <v>267</v>
      </c>
      <c r="C554" s="66"/>
      <c r="D554" s="66" t="s">
        <v>28</v>
      </c>
      <c r="E554" s="66" t="s">
        <v>84</v>
      </c>
      <c r="F554" s="66">
        <v>17.600000000000001</v>
      </c>
      <c r="G554" s="66" t="s">
        <v>36</v>
      </c>
      <c r="H554" s="66">
        <v>43000</v>
      </c>
      <c r="I554" s="10">
        <f t="shared" si="152"/>
        <v>756800.00000000012</v>
      </c>
      <c r="J554" s="84" t="s">
        <v>113</v>
      </c>
      <c r="K554" s="66"/>
      <c r="L554" s="12">
        <f t="shared" ref="L554:L561" si="159">M554+N554</f>
        <v>756800</v>
      </c>
      <c r="M554" s="12">
        <v>756800</v>
      </c>
      <c r="N554" s="12"/>
      <c r="O554" s="12">
        <f t="shared" ref="O554:O561" si="160">P554+Q554</f>
        <v>0</v>
      </c>
      <c r="P554" s="12"/>
      <c r="Q554" s="12"/>
      <c r="R554" s="12">
        <f t="shared" ref="R554:R561" si="161">S554+T554</f>
        <v>0</v>
      </c>
      <c r="S554" s="12"/>
      <c r="T554" s="12"/>
      <c r="U554" s="12">
        <f t="shared" ref="U554:U561" si="162">V554+W554</f>
        <v>0</v>
      </c>
      <c r="V554" s="12"/>
      <c r="W554" s="12"/>
      <c r="X554" s="12">
        <f t="shared" ref="X554:X561" si="163">Y554+Z554</f>
        <v>0</v>
      </c>
      <c r="Y554" s="12"/>
      <c r="Z554" s="12"/>
      <c r="AA554" s="13">
        <f t="shared" ref="AA554:AA561" si="164">C554+I554-L554-O554-U554-X554-R554</f>
        <v>1.1641532182693481E-10</v>
      </c>
      <c r="AB554" s="14">
        <v>46044</v>
      </c>
    </row>
    <row r="555" spans="1:28" ht="15.75" hidden="1" x14ac:dyDescent="0.25">
      <c r="A555" s="65">
        <v>46044</v>
      </c>
      <c r="B555" s="66" t="s">
        <v>267</v>
      </c>
      <c r="C555" s="10"/>
      <c r="D555" s="66" t="s">
        <v>28</v>
      </c>
      <c r="E555" s="10" t="s">
        <v>164</v>
      </c>
      <c r="F555" s="10">
        <v>17</v>
      </c>
      <c r="G555" s="10" t="s">
        <v>36</v>
      </c>
      <c r="H555" s="10">
        <v>43000</v>
      </c>
      <c r="I555" s="10">
        <f t="shared" si="152"/>
        <v>731000</v>
      </c>
      <c r="J555" s="84" t="s">
        <v>113</v>
      </c>
      <c r="K555" s="10"/>
      <c r="L555" s="12">
        <f t="shared" si="159"/>
        <v>731000</v>
      </c>
      <c r="M555" s="12">
        <v>731000</v>
      </c>
      <c r="N555" s="12"/>
      <c r="O555" s="12">
        <f t="shared" si="160"/>
        <v>0</v>
      </c>
      <c r="P555" s="12"/>
      <c r="Q555" s="12"/>
      <c r="R555" s="12">
        <f t="shared" si="161"/>
        <v>0</v>
      </c>
      <c r="S555" s="12"/>
      <c r="T555" s="12"/>
      <c r="U555" s="12">
        <f t="shared" si="162"/>
        <v>0</v>
      </c>
      <c r="V555" s="12"/>
      <c r="W555" s="12"/>
      <c r="X555" s="12">
        <f t="shared" si="163"/>
        <v>0</v>
      </c>
      <c r="Y555" s="12"/>
      <c r="Z555" s="12"/>
      <c r="AA555" s="13">
        <f t="shared" si="164"/>
        <v>0</v>
      </c>
      <c r="AB555" s="14">
        <v>46044</v>
      </c>
    </row>
    <row r="556" spans="1:28" ht="15.75" hidden="1" x14ac:dyDescent="0.25">
      <c r="A556" s="28">
        <v>46044</v>
      </c>
      <c r="B556" s="10" t="s">
        <v>176</v>
      </c>
      <c r="C556" s="10"/>
      <c r="D556" s="10" t="s">
        <v>28</v>
      </c>
      <c r="E556" s="10" t="s">
        <v>344</v>
      </c>
      <c r="F556" s="10">
        <v>13.3</v>
      </c>
      <c r="G556" s="10" t="s">
        <v>36</v>
      </c>
      <c r="H556" s="10">
        <v>43000</v>
      </c>
      <c r="I556" s="10">
        <f t="shared" si="152"/>
        <v>571900</v>
      </c>
      <c r="J556" s="52" t="s">
        <v>30</v>
      </c>
      <c r="K556" s="10" t="s">
        <v>376</v>
      </c>
      <c r="L556" s="12">
        <f t="shared" si="159"/>
        <v>0</v>
      </c>
      <c r="M556" s="12"/>
      <c r="N556" s="12"/>
      <c r="O556" s="12">
        <f t="shared" si="160"/>
        <v>0</v>
      </c>
      <c r="P556" s="12"/>
      <c r="Q556" s="12"/>
      <c r="R556" s="12">
        <f t="shared" si="161"/>
        <v>0</v>
      </c>
      <c r="S556" s="12"/>
      <c r="T556" s="12"/>
      <c r="U556" s="12">
        <f t="shared" si="162"/>
        <v>0</v>
      </c>
      <c r="V556" s="12"/>
      <c r="W556" s="12"/>
      <c r="X556" s="12">
        <f t="shared" si="163"/>
        <v>0</v>
      </c>
      <c r="Y556" s="12"/>
      <c r="Z556" s="12"/>
      <c r="AA556" s="13">
        <f t="shared" si="164"/>
        <v>571900</v>
      </c>
      <c r="AB556" s="14"/>
    </row>
    <row r="557" spans="1:28" ht="15.75" hidden="1" x14ac:dyDescent="0.25">
      <c r="A557" s="65">
        <v>46044</v>
      </c>
      <c r="B557" s="10" t="s">
        <v>176</v>
      </c>
      <c r="C557" s="10"/>
      <c r="D557" s="10" t="s">
        <v>28</v>
      </c>
      <c r="E557" s="10" t="s">
        <v>136</v>
      </c>
      <c r="F557" s="10">
        <v>24.5</v>
      </c>
      <c r="G557" s="10" t="s">
        <v>36</v>
      </c>
      <c r="H557" s="10">
        <v>43000</v>
      </c>
      <c r="I557" s="10">
        <f t="shared" si="152"/>
        <v>1053500</v>
      </c>
      <c r="J557" s="52" t="s">
        <v>30</v>
      </c>
      <c r="K557" s="10" t="s">
        <v>376</v>
      </c>
      <c r="L557" s="12">
        <f t="shared" si="159"/>
        <v>0</v>
      </c>
      <c r="M557" s="12"/>
      <c r="N557" s="12"/>
      <c r="O557" s="12">
        <f t="shared" si="160"/>
        <v>0</v>
      </c>
      <c r="P557" s="12"/>
      <c r="Q557" s="12"/>
      <c r="R557" s="12">
        <f t="shared" si="161"/>
        <v>0</v>
      </c>
      <c r="S557" s="12"/>
      <c r="T557" s="12"/>
      <c r="U557" s="12">
        <f t="shared" si="162"/>
        <v>0</v>
      </c>
      <c r="V557" s="12"/>
      <c r="W557" s="12"/>
      <c r="X557" s="12">
        <f t="shared" si="163"/>
        <v>0</v>
      </c>
      <c r="Y557" s="12"/>
      <c r="Z557" s="12"/>
      <c r="AA557" s="13">
        <f t="shared" si="164"/>
        <v>1053500</v>
      </c>
      <c r="AB557" s="14"/>
    </row>
    <row r="558" spans="1:28" ht="15.75" hidden="1" x14ac:dyDescent="0.25">
      <c r="A558" s="65">
        <v>46044</v>
      </c>
      <c r="B558" s="10" t="s">
        <v>176</v>
      </c>
      <c r="C558" s="10"/>
      <c r="D558" s="10" t="s">
        <v>28</v>
      </c>
      <c r="E558" s="10" t="s">
        <v>300</v>
      </c>
      <c r="F558" s="10">
        <v>5</v>
      </c>
      <c r="G558" s="10" t="s">
        <v>61</v>
      </c>
      <c r="H558" s="10">
        <v>150000</v>
      </c>
      <c r="I558" s="10">
        <f t="shared" si="152"/>
        <v>750000</v>
      </c>
      <c r="J558" s="52" t="s">
        <v>30</v>
      </c>
      <c r="K558" s="10" t="s">
        <v>376</v>
      </c>
      <c r="L558" s="12">
        <f t="shared" si="159"/>
        <v>0</v>
      </c>
      <c r="M558" s="12"/>
      <c r="N558" s="12"/>
      <c r="O558" s="12">
        <f t="shared" si="160"/>
        <v>0</v>
      </c>
      <c r="P558" s="12"/>
      <c r="Q558" s="12"/>
      <c r="R558" s="12">
        <f t="shared" si="161"/>
        <v>0</v>
      </c>
      <c r="S558" s="12"/>
      <c r="T558" s="12"/>
      <c r="U558" s="12">
        <f t="shared" si="162"/>
        <v>0</v>
      </c>
      <c r="V558" s="12"/>
      <c r="W558" s="12"/>
      <c r="X558" s="12">
        <f t="shared" si="163"/>
        <v>0</v>
      </c>
      <c r="Y558" s="12"/>
      <c r="Z558" s="12"/>
      <c r="AA558" s="13">
        <f t="shared" si="164"/>
        <v>750000</v>
      </c>
      <c r="AB558" s="14"/>
    </row>
    <row r="559" spans="1:28" ht="15.75" hidden="1" x14ac:dyDescent="0.25">
      <c r="A559" s="65">
        <v>46044</v>
      </c>
      <c r="B559" s="10" t="s">
        <v>386</v>
      </c>
      <c r="C559" s="10"/>
      <c r="D559" s="10" t="s">
        <v>383</v>
      </c>
      <c r="E559" s="10" t="s">
        <v>271</v>
      </c>
      <c r="F559" s="10">
        <v>5</v>
      </c>
      <c r="G559" s="10" t="s">
        <v>36</v>
      </c>
      <c r="H559" s="10">
        <v>170000</v>
      </c>
      <c r="I559" s="10">
        <f t="shared" si="152"/>
        <v>850000</v>
      </c>
      <c r="J559" s="29" t="s">
        <v>113</v>
      </c>
      <c r="K559" s="10"/>
      <c r="L559" s="12">
        <f t="shared" si="159"/>
        <v>0</v>
      </c>
      <c r="M559" s="12"/>
      <c r="N559" s="12"/>
      <c r="O559" s="12">
        <f t="shared" si="160"/>
        <v>0</v>
      </c>
      <c r="P559" s="12"/>
      <c r="Q559" s="12"/>
      <c r="R559" s="12">
        <f t="shared" si="161"/>
        <v>0</v>
      </c>
      <c r="S559" s="12"/>
      <c r="T559" s="12"/>
      <c r="U559" s="12">
        <f t="shared" si="162"/>
        <v>850000</v>
      </c>
      <c r="V559" s="12">
        <v>850000</v>
      </c>
      <c r="W559" s="12"/>
      <c r="X559" s="12">
        <f t="shared" si="163"/>
        <v>0</v>
      </c>
      <c r="Y559" s="12"/>
      <c r="Z559" s="12"/>
      <c r="AA559" s="13">
        <f t="shared" si="164"/>
        <v>0</v>
      </c>
      <c r="AB559" s="14">
        <v>46044</v>
      </c>
    </row>
    <row r="560" spans="1:28" ht="16.5" hidden="1" thickBot="1" x14ac:dyDescent="0.3">
      <c r="A560" s="53">
        <v>46044</v>
      </c>
      <c r="B560" s="31" t="s">
        <v>386</v>
      </c>
      <c r="C560" s="31"/>
      <c r="D560" s="31" t="s">
        <v>383</v>
      </c>
      <c r="E560" s="31" t="s">
        <v>314</v>
      </c>
      <c r="F560" s="31">
        <v>1</v>
      </c>
      <c r="G560" s="31" t="s">
        <v>22</v>
      </c>
      <c r="H560" s="31">
        <v>400000</v>
      </c>
      <c r="I560" s="31">
        <f t="shared" si="152"/>
        <v>400000</v>
      </c>
      <c r="J560" s="51" t="s">
        <v>113</v>
      </c>
      <c r="K560" s="31"/>
      <c r="L560" s="34">
        <f t="shared" si="159"/>
        <v>0</v>
      </c>
      <c r="M560" s="34"/>
      <c r="N560" s="34"/>
      <c r="O560" s="34">
        <f t="shared" si="160"/>
        <v>0</v>
      </c>
      <c r="P560" s="34"/>
      <c r="Q560" s="34"/>
      <c r="R560" s="34">
        <f t="shared" si="161"/>
        <v>0</v>
      </c>
      <c r="S560" s="34"/>
      <c r="T560" s="34"/>
      <c r="U560" s="34">
        <f t="shared" si="162"/>
        <v>400000</v>
      </c>
      <c r="V560" s="34">
        <v>400000</v>
      </c>
      <c r="W560" s="34"/>
      <c r="X560" s="34">
        <f t="shared" si="163"/>
        <v>0</v>
      </c>
      <c r="Y560" s="34"/>
      <c r="Z560" s="34"/>
      <c r="AA560" s="35">
        <f t="shared" si="164"/>
        <v>0</v>
      </c>
      <c r="AB560" s="36">
        <v>46044</v>
      </c>
    </row>
    <row r="561" spans="1:28" ht="15.75" hidden="1" x14ac:dyDescent="0.25">
      <c r="A561" s="65">
        <v>46045</v>
      </c>
      <c r="B561" s="66" t="s">
        <v>388</v>
      </c>
      <c r="C561" s="66"/>
      <c r="D561" s="66" t="s">
        <v>195</v>
      </c>
      <c r="E561" s="66" t="s">
        <v>170</v>
      </c>
      <c r="F561" s="66">
        <v>250</v>
      </c>
      <c r="G561" s="66" t="s">
        <v>26</v>
      </c>
      <c r="H561" s="66">
        <v>2630</v>
      </c>
      <c r="I561" s="10">
        <f t="shared" si="152"/>
        <v>657500</v>
      </c>
      <c r="J561" s="84" t="s">
        <v>110</v>
      </c>
      <c r="K561" s="66"/>
      <c r="L561" s="12">
        <f t="shared" si="159"/>
        <v>0</v>
      </c>
      <c r="M561" s="12"/>
      <c r="N561" s="12"/>
      <c r="O561" s="12">
        <f t="shared" si="160"/>
        <v>657500</v>
      </c>
      <c r="P561" s="12">
        <v>657500</v>
      </c>
      <c r="Q561" s="12"/>
      <c r="R561" s="12">
        <f t="shared" si="161"/>
        <v>0</v>
      </c>
      <c r="S561" s="12"/>
      <c r="T561" s="12"/>
      <c r="U561" s="12">
        <f t="shared" si="162"/>
        <v>0</v>
      </c>
      <c r="V561" s="12"/>
      <c r="W561" s="12"/>
      <c r="X561" s="12">
        <f t="shared" si="163"/>
        <v>0</v>
      </c>
      <c r="Y561" s="12"/>
      <c r="Z561" s="12"/>
      <c r="AA561" s="13">
        <f t="shared" si="164"/>
        <v>0</v>
      </c>
      <c r="AB561" s="14">
        <v>46044</v>
      </c>
    </row>
    <row r="562" spans="1:28" ht="15.75" hidden="1" x14ac:dyDescent="0.25">
      <c r="A562" s="65">
        <v>46045</v>
      </c>
      <c r="B562" s="10" t="s">
        <v>336</v>
      </c>
      <c r="C562" s="10"/>
      <c r="D562" s="10" t="s">
        <v>32</v>
      </c>
      <c r="E562" s="10" t="s">
        <v>183</v>
      </c>
      <c r="F562" s="10">
        <v>250</v>
      </c>
      <c r="G562" s="10" t="s">
        <v>36</v>
      </c>
      <c r="H562" s="10">
        <v>125000</v>
      </c>
      <c r="I562" s="10">
        <f t="shared" si="152"/>
        <v>31250000</v>
      </c>
      <c r="J562" s="84" t="s">
        <v>110</v>
      </c>
      <c r="K562" s="10"/>
      <c r="L562" s="12">
        <f t="shared" ref="L562:L584" si="165">M562+N562</f>
        <v>0</v>
      </c>
      <c r="M562" s="12"/>
      <c r="N562" s="12"/>
      <c r="O562" s="12">
        <f t="shared" ref="O562:O584" si="166">P562+Q562</f>
        <v>31250000</v>
      </c>
      <c r="P562" s="12">
        <v>31250000</v>
      </c>
      <c r="Q562" s="12"/>
      <c r="R562" s="12">
        <f t="shared" ref="R562:R584" si="167">S562+T562</f>
        <v>0</v>
      </c>
      <c r="S562" s="12"/>
      <c r="T562" s="12"/>
      <c r="U562" s="12">
        <f t="shared" ref="U562:U584" si="168">V562+W562</f>
        <v>0</v>
      </c>
      <c r="V562" s="12"/>
      <c r="W562" s="12"/>
      <c r="X562" s="12">
        <f t="shared" ref="X562:X584" si="169">Y562+Z562</f>
        <v>0</v>
      </c>
      <c r="Y562" s="12"/>
      <c r="Z562" s="12"/>
      <c r="AA562" s="13">
        <f t="shared" ref="AA562:AA584" si="170">C562+I562-L562-O562-U562-X562-R562</f>
        <v>0</v>
      </c>
      <c r="AB562" s="14">
        <v>46045</v>
      </c>
    </row>
    <row r="563" spans="1:28" ht="15.75" hidden="1" x14ac:dyDescent="0.25">
      <c r="A563" s="65">
        <v>46045</v>
      </c>
      <c r="B563" s="10" t="s">
        <v>255</v>
      </c>
      <c r="C563" s="10"/>
      <c r="D563" s="10" t="s">
        <v>383</v>
      </c>
      <c r="E563" s="10" t="s">
        <v>214</v>
      </c>
      <c r="F563" s="10">
        <v>100</v>
      </c>
      <c r="G563" s="10" t="s">
        <v>26</v>
      </c>
      <c r="H563" s="10">
        <v>1700</v>
      </c>
      <c r="I563" s="10">
        <f t="shared" si="152"/>
        <v>170000</v>
      </c>
      <c r="J563" s="52" t="s">
        <v>90</v>
      </c>
      <c r="K563" s="87" t="s">
        <v>356</v>
      </c>
      <c r="L563" s="12">
        <f t="shared" si="165"/>
        <v>0</v>
      </c>
      <c r="M563" s="12"/>
      <c r="N563" s="12"/>
      <c r="O563" s="12">
        <f t="shared" si="166"/>
        <v>0</v>
      </c>
      <c r="P563" s="12"/>
      <c r="Q563" s="12"/>
      <c r="R563" s="12">
        <f t="shared" si="167"/>
        <v>0</v>
      </c>
      <c r="S563" s="12"/>
      <c r="T563" s="12"/>
      <c r="U563" s="12">
        <f t="shared" si="168"/>
        <v>0</v>
      </c>
      <c r="V563" s="12"/>
      <c r="W563" s="12"/>
      <c r="X563" s="12">
        <f t="shared" si="169"/>
        <v>0</v>
      </c>
      <c r="Y563" s="12"/>
      <c r="Z563" s="12"/>
      <c r="AA563" s="13">
        <f t="shared" si="170"/>
        <v>170000</v>
      </c>
      <c r="AB563" s="14"/>
    </row>
    <row r="564" spans="1:28" ht="15.75" hidden="1" x14ac:dyDescent="0.25">
      <c r="A564" s="65">
        <v>46045</v>
      </c>
      <c r="B564" s="10" t="s">
        <v>222</v>
      </c>
      <c r="C564" s="10"/>
      <c r="D564" s="10" t="s">
        <v>195</v>
      </c>
      <c r="E564" s="10" t="s">
        <v>104</v>
      </c>
      <c r="F564" s="10">
        <v>1200</v>
      </c>
      <c r="G564" s="10" t="s">
        <v>26</v>
      </c>
      <c r="H564" s="10">
        <v>1900</v>
      </c>
      <c r="I564" s="10">
        <f t="shared" si="152"/>
        <v>2280000</v>
      </c>
      <c r="J564" s="83" t="s">
        <v>110</v>
      </c>
      <c r="K564" s="10"/>
      <c r="L564" s="12">
        <f t="shared" si="165"/>
        <v>0</v>
      </c>
      <c r="M564" s="12"/>
      <c r="N564" s="12"/>
      <c r="O564" s="12">
        <f t="shared" si="166"/>
        <v>2280000</v>
      </c>
      <c r="P564" s="12">
        <v>2280000</v>
      </c>
      <c r="Q564" s="12"/>
      <c r="R564" s="12">
        <f t="shared" si="167"/>
        <v>0</v>
      </c>
      <c r="S564" s="12"/>
      <c r="T564" s="12"/>
      <c r="U564" s="12">
        <f t="shared" si="168"/>
        <v>0</v>
      </c>
      <c r="V564" s="12"/>
      <c r="W564" s="12"/>
      <c r="X564" s="12">
        <f t="shared" si="169"/>
        <v>0</v>
      </c>
      <c r="Y564" s="12"/>
      <c r="Z564" s="12"/>
      <c r="AA564" s="13">
        <f t="shared" si="170"/>
        <v>0</v>
      </c>
      <c r="AB564" s="14">
        <v>46045</v>
      </c>
    </row>
    <row r="565" spans="1:28" ht="15.75" hidden="1" x14ac:dyDescent="0.25">
      <c r="A565" s="65">
        <v>46045</v>
      </c>
      <c r="B565" s="10" t="s">
        <v>389</v>
      </c>
      <c r="C565" s="10"/>
      <c r="D565" s="10" t="s">
        <v>28</v>
      </c>
      <c r="E565" s="10" t="s">
        <v>98</v>
      </c>
      <c r="F565" s="10">
        <v>1200</v>
      </c>
      <c r="G565" s="10" t="s">
        <v>26</v>
      </c>
      <c r="H565" s="10">
        <v>1900</v>
      </c>
      <c r="I565" s="10">
        <f t="shared" si="152"/>
        <v>2280000</v>
      </c>
      <c r="J565" s="83" t="s">
        <v>110</v>
      </c>
      <c r="K565" s="10"/>
      <c r="L565" s="12">
        <f t="shared" si="165"/>
        <v>0</v>
      </c>
      <c r="M565" s="12"/>
      <c r="N565" s="12"/>
      <c r="O565" s="12">
        <f t="shared" si="166"/>
        <v>2280000</v>
      </c>
      <c r="P565" s="12">
        <v>2280000</v>
      </c>
      <c r="Q565" s="12"/>
      <c r="R565" s="12">
        <f t="shared" si="167"/>
        <v>0</v>
      </c>
      <c r="S565" s="12"/>
      <c r="T565" s="12"/>
      <c r="U565" s="12">
        <f t="shared" si="168"/>
        <v>0</v>
      </c>
      <c r="V565" s="12"/>
      <c r="W565" s="12"/>
      <c r="X565" s="12">
        <f t="shared" si="169"/>
        <v>0</v>
      </c>
      <c r="Y565" s="12"/>
      <c r="Z565" s="12"/>
      <c r="AA565" s="13">
        <f t="shared" si="170"/>
        <v>0</v>
      </c>
      <c r="AB565" s="14">
        <v>46044</v>
      </c>
    </row>
    <row r="566" spans="1:28" ht="15.75" hidden="1" x14ac:dyDescent="0.25">
      <c r="A566" s="65">
        <v>46045</v>
      </c>
      <c r="B566" s="10" t="s">
        <v>234</v>
      </c>
      <c r="C566" s="10"/>
      <c r="D566" s="10" t="s">
        <v>28</v>
      </c>
      <c r="E566" s="10" t="s">
        <v>175</v>
      </c>
      <c r="F566" s="10">
        <v>20800</v>
      </c>
      <c r="G566" s="10" t="s">
        <v>26</v>
      </c>
      <c r="H566" s="10">
        <v>900</v>
      </c>
      <c r="I566" s="10">
        <f t="shared" si="152"/>
        <v>18720000</v>
      </c>
      <c r="J566" s="52" t="s">
        <v>90</v>
      </c>
      <c r="K566" s="10" t="s">
        <v>394</v>
      </c>
      <c r="L566" s="12">
        <f t="shared" si="165"/>
        <v>0</v>
      </c>
      <c r="M566" s="12"/>
      <c r="N566" s="12"/>
      <c r="O566" s="12">
        <f t="shared" si="166"/>
        <v>0</v>
      </c>
      <c r="P566" s="12"/>
      <c r="Q566" s="12"/>
      <c r="R566" s="12">
        <f t="shared" si="167"/>
        <v>0</v>
      </c>
      <c r="S566" s="12"/>
      <c r="T566" s="12"/>
      <c r="U566" s="12">
        <f t="shared" si="168"/>
        <v>0</v>
      </c>
      <c r="V566" s="12"/>
      <c r="W566" s="12"/>
      <c r="X566" s="12">
        <f t="shared" si="169"/>
        <v>0</v>
      </c>
      <c r="Y566" s="12"/>
      <c r="Z566" s="12"/>
      <c r="AA566" s="13">
        <f t="shared" si="170"/>
        <v>18720000</v>
      </c>
      <c r="AB566" s="14"/>
    </row>
    <row r="567" spans="1:28" ht="15.75" hidden="1" x14ac:dyDescent="0.25">
      <c r="A567" s="65">
        <v>46045</v>
      </c>
      <c r="B567" s="10" t="s">
        <v>234</v>
      </c>
      <c r="C567" s="10"/>
      <c r="D567" s="10" t="s">
        <v>28</v>
      </c>
      <c r="E567" s="10" t="s">
        <v>117</v>
      </c>
      <c r="F567" s="10">
        <v>20</v>
      </c>
      <c r="G567" s="10" t="s">
        <v>36</v>
      </c>
      <c r="H567" s="10">
        <v>70000</v>
      </c>
      <c r="I567" s="10">
        <f t="shared" si="152"/>
        <v>1400000</v>
      </c>
      <c r="J567" s="52" t="s">
        <v>90</v>
      </c>
      <c r="K567" s="10" t="s">
        <v>394</v>
      </c>
      <c r="L567" s="12">
        <f t="shared" si="165"/>
        <v>0</v>
      </c>
      <c r="M567" s="12"/>
      <c r="N567" s="12"/>
      <c r="O567" s="12">
        <f t="shared" si="166"/>
        <v>0</v>
      </c>
      <c r="P567" s="12"/>
      <c r="Q567" s="12"/>
      <c r="R567" s="12">
        <f t="shared" si="167"/>
        <v>0</v>
      </c>
      <c r="S567" s="12"/>
      <c r="T567" s="12"/>
      <c r="U567" s="12">
        <f t="shared" si="168"/>
        <v>0</v>
      </c>
      <c r="V567" s="12"/>
      <c r="W567" s="12"/>
      <c r="X567" s="12">
        <f t="shared" si="169"/>
        <v>0</v>
      </c>
      <c r="Y567" s="12"/>
      <c r="Z567" s="12"/>
      <c r="AA567" s="13">
        <f t="shared" si="170"/>
        <v>1400000</v>
      </c>
      <c r="AB567" s="14"/>
    </row>
    <row r="568" spans="1:28" ht="15.75" hidden="1" x14ac:dyDescent="0.25">
      <c r="A568" s="65">
        <v>46045</v>
      </c>
      <c r="B568" s="10" t="s">
        <v>234</v>
      </c>
      <c r="C568" s="10"/>
      <c r="D568" s="10" t="s">
        <v>28</v>
      </c>
      <c r="E568" s="10" t="s">
        <v>264</v>
      </c>
      <c r="F568" s="10">
        <v>7</v>
      </c>
      <c r="G568" s="10" t="s">
        <v>192</v>
      </c>
      <c r="H568" s="10">
        <v>900000</v>
      </c>
      <c r="I568" s="10">
        <f t="shared" si="152"/>
        <v>6300000</v>
      </c>
      <c r="J568" s="52" t="s">
        <v>90</v>
      </c>
      <c r="K568" s="10" t="s">
        <v>394</v>
      </c>
      <c r="L568" s="12">
        <f t="shared" si="165"/>
        <v>0</v>
      </c>
      <c r="M568" s="12"/>
      <c r="N568" s="12"/>
      <c r="O568" s="12">
        <f t="shared" si="166"/>
        <v>0</v>
      </c>
      <c r="P568" s="12"/>
      <c r="Q568" s="12"/>
      <c r="R568" s="12">
        <f t="shared" si="167"/>
        <v>0</v>
      </c>
      <c r="S568" s="12"/>
      <c r="T568" s="12"/>
      <c r="U568" s="12">
        <f t="shared" si="168"/>
        <v>0</v>
      </c>
      <c r="V568" s="12"/>
      <c r="W568" s="12"/>
      <c r="X568" s="12">
        <f t="shared" si="169"/>
        <v>0</v>
      </c>
      <c r="Y568" s="12"/>
      <c r="Z568" s="12"/>
      <c r="AA568" s="13">
        <f t="shared" si="170"/>
        <v>6300000</v>
      </c>
      <c r="AB568" s="14"/>
    </row>
    <row r="569" spans="1:28" ht="15.75" hidden="1" x14ac:dyDescent="0.25">
      <c r="A569" s="65">
        <v>46045</v>
      </c>
      <c r="B569" s="10" t="s">
        <v>234</v>
      </c>
      <c r="C569" s="10"/>
      <c r="D569" s="10" t="s">
        <v>28</v>
      </c>
      <c r="E569" s="10" t="s">
        <v>191</v>
      </c>
      <c r="F569" s="10">
        <v>5</v>
      </c>
      <c r="G569" s="10" t="s">
        <v>192</v>
      </c>
      <c r="H569" s="10">
        <v>900000</v>
      </c>
      <c r="I569" s="10">
        <f t="shared" si="152"/>
        <v>4500000</v>
      </c>
      <c r="J569" s="52" t="s">
        <v>90</v>
      </c>
      <c r="K569" s="10" t="s">
        <v>394</v>
      </c>
      <c r="L569" s="12">
        <f t="shared" si="165"/>
        <v>0</v>
      </c>
      <c r="M569" s="12"/>
      <c r="N569" s="12"/>
      <c r="O569" s="12">
        <f t="shared" si="166"/>
        <v>0</v>
      </c>
      <c r="P569" s="12"/>
      <c r="Q569" s="12"/>
      <c r="R569" s="12">
        <f t="shared" si="167"/>
        <v>0</v>
      </c>
      <c r="S569" s="12"/>
      <c r="T569" s="12"/>
      <c r="U569" s="12">
        <f t="shared" si="168"/>
        <v>0</v>
      </c>
      <c r="V569" s="12"/>
      <c r="W569" s="12"/>
      <c r="X569" s="12">
        <f t="shared" si="169"/>
        <v>0</v>
      </c>
      <c r="Y569" s="12"/>
      <c r="Z569" s="12"/>
      <c r="AA569" s="13">
        <f t="shared" si="170"/>
        <v>4500000</v>
      </c>
      <c r="AB569" s="14"/>
    </row>
    <row r="570" spans="1:28" ht="15.75" hidden="1" x14ac:dyDescent="0.25">
      <c r="A570" s="65">
        <v>46045</v>
      </c>
      <c r="B570" s="10" t="s">
        <v>234</v>
      </c>
      <c r="C570" s="10"/>
      <c r="D570" s="10" t="s">
        <v>28</v>
      </c>
      <c r="E570" s="10" t="s">
        <v>38</v>
      </c>
      <c r="F570" s="10">
        <v>25</v>
      </c>
      <c r="G570" s="10" t="s">
        <v>39</v>
      </c>
      <c r="H570" s="10">
        <v>45000</v>
      </c>
      <c r="I570" s="10">
        <f t="shared" si="152"/>
        <v>1125000</v>
      </c>
      <c r="J570" s="52" t="s">
        <v>90</v>
      </c>
      <c r="K570" s="10" t="s">
        <v>394</v>
      </c>
      <c r="L570" s="12">
        <f t="shared" si="165"/>
        <v>0</v>
      </c>
      <c r="M570" s="12"/>
      <c r="N570" s="12"/>
      <c r="O570" s="12">
        <f t="shared" si="166"/>
        <v>0</v>
      </c>
      <c r="P570" s="12"/>
      <c r="Q570" s="12"/>
      <c r="R570" s="12">
        <f t="shared" si="167"/>
        <v>0</v>
      </c>
      <c r="S570" s="12"/>
      <c r="T570" s="12"/>
      <c r="U570" s="12">
        <f t="shared" si="168"/>
        <v>0</v>
      </c>
      <c r="V570" s="12"/>
      <c r="W570" s="12"/>
      <c r="X570" s="12">
        <f t="shared" si="169"/>
        <v>0</v>
      </c>
      <c r="Y570" s="12"/>
      <c r="Z570" s="12"/>
      <c r="AA570" s="13">
        <f t="shared" si="170"/>
        <v>1125000</v>
      </c>
      <c r="AB570" s="14"/>
    </row>
    <row r="571" spans="1:28" ht="15.75" hidden="1" x14ac:dyDescent="0.25">
      <c r="A571" s="65">
        <v>46045</v>
      </c>
      <c r="B571" s="10" t="s">
        <v>230</v>
      </c>
      <c r="C571" s="10"/>
      <c r="D571" s="10" t="s">
        <v>383</v>
      </c>
      <c r="E571" s="10" t="s">
        <v>98</v>
      </c>
      <c r="F571" s="10">
        <v>1000</v>
      </c>
      <c r="G571" s="10" t="s">
        <v>26</v>
      </c>
      <c r="H571" s="10">
        <v>1800</v>
      </c>
      <c r="I571" s="10">
        <f t="shared" si="152"/>
        <v>1800000</v>
      </c>
      <c r="J571" s="83" t="s">
        <v>110</v>
      </c>
      <c r="K571" s="82"/>
      <c r="L571" s="12">
        <f t="shared" si="165"/>
        <v>0</v>
      </c>
      <c r="M571" s="12"/>
      <c r="N571" s="12"/>
      <c r="O571" s="12">
        <f t="shared" si="166"/>
        <v>0</v>
      </c>
      <c r="P571" s="12"/>
      <c r="Q571" s="12"/>
      <c r="R571" s="12">
        <f t="shared" si="167"/>
        <v>1800000</v>
      </c>
      <c r="S571" s="12">
        <v>1800000</v>
      </c>
      <c r="T571" s="12"/>
      <c r="U571" s="12">
        <f t="shared" si="168"/>
        <v>0</v>
      </c>
      <c r="V571" s="12"/>
      <c r="W571" s="12"/>
      <c r="X571" s="12">
        <f t="shared" si="169"/>
        <v>0</v>
      </c>
      <c r="Y571" s="12"/>
      <c r="Z571" s="12"/>
      <c r="AA571" s="13">
        <f t="shared" si="170"/>
        <v>0</v>
      </c>
      <c r="AB571" s="14">
        <v>46045</v>
      </c>
    </row>
    <row r="572" spans="1:28" ht="15.75" hidden="1" x14ac:dyDescent="0.25">
      <c r="A572" s="65">
        <v>46045</v>
      </c>
      <c r="B572" s="10" t="s">
        <v>124</v>
      </c>
      <c r="C572" s="10"/>
      <c r="D572" s="10" t="s">
        <v>28</v>
      </c>
      <c r="E572" s="10" t="s">
        <v>38</v>
      </c>
      <c r="F572" s="10">
        <v>2</v>
      </c>
      <c r="G572" s="10" t="s">
        <v>39</v>
      </c>
      <c r="H572" s="10">
        <v>45000</v>
      </c>
      <c r="I572" s="10">
        <f t="shared" si="152"/>
        <v>90000</v>
      </c>
      <c r="J572" s="83" t="s">
        <v>113</v>
      </c>
      <c r="K572" s="82"/>
      <c r="L572" s="12">
        <f t="shared" si="165"/>
        <v>0</v>
      </c>
      <c r="M572" s="12"/>
      <c r="N572" s="12"/>
      <c r="O572" s="12">
        <f t="shared" si="166"/>
        <v>0</v>
      </c>
      <c r="P572" s="12"/>
      <c r="Q572" s="12"/>
      <c r="R572" s="12">
        <f t="shared" si="167"/>
        <v>0</v>
      </c>
      <c r="S572" s="12"/>
      <c r="T572" s="12"/>
      <c r="U572" s="12">
        <f t="shared" si="168"/>
        <v>90000</v>
      </c>
      <c r="V572" s="12">
        <v>90000</v>
      </c>
      <c r="W572" s="12"/>
      <c r="X572" s="12">
        <f t="shared" si="169"/>
        <v>0</v>
      </c>
      <c r="Y572" s="12"/>
      <c r="Z572" s="12"/>
      <c r="AA572" s="13">
        <f t="shared" si="170"/>
        <v>0</v>
      </c>
      <c r="AB572" s="14">
        <v>46045</v>
      </c>
    </row>
    <row r="573" spans="1:28" ht="15.75" hidden="1" x14ac:dyDescent="0.25">
      <c r="A573" s="65">
        <v>46045</v>
      </c>
      <c r="B573" s="10" t="s">
        <v>390</v>
      </c>
      <c r="C573" s="10"/>
      <c r="D573" s="10" t="s">
        <v>195</v>
      </c>
      <c r="E573" s="10" t="s">
        <v>136</v>
      </c>
      <c r="F573" s="10">
        <v>122.8</v>
      </c>
      <c r="G573" s="10" t="s">
        <v>36</v>
      </c>
      <c r="H573" s="10">
        <v>43000</v>
      </c>
      <c r="I573" s="10">
        <f t="shared" si="152"/>
        <v>5280400</v>
      </c>
      <c r="J573" s="83" t="s">
        <v>110</v>
      </c>
      <c r="K573" s="10"/>
      <c r="L573" s="12">
        <f t="shared" si="165"/>
        <v>0</v>
      </c>
      <c r="M573" s="12"/>
      <c r="N573" s="12"/>
      <c r="O573" s="12">
        <f t="shared" si="166"/>
        <v>5280400</v>
      </c>
      <c r="P573" s="12">
        <v>5280400</v>
      </c>
      <c r="Q573" s="12"/>
      <c r="R573" s="12">
        <f t="shared" si="167"/>
        <v>0</v>
      </c>
      <c r="S573" s="12"/>
      <c r="T573" s="12"/>
      <c r="U573" s="12">
        <f t="shared" si="168"/>
        <v>0</v>
      </c>
      <c r="V573" s="12"/>
      <c r="W573" s="12"/>
      <c r="X573" s="12">
        <f t="shared" si="169"/>
        <v>0</v>
      </c>
      <c r="Y573" s="12"/>
      <c r="Z573" s="12"/>
      <c r="AA573" s="13">
        <f t="shared" si="170"/>
        <v>0</v>
      </c>
      <c r="AB573" s="14">
        <v>46045</v>
      </c>
    </row>
    <row r="574" spans="1:28" ht="15.75" hidden="1" x14ac:dyDescent="0.25">
      <c r="A574" s="65">
        <v>46045</v>
      </c>
      <c r="B574" s="10" t="s">
        <v>390</v>
      </c>
      <c r="C574" s="10"/>
      <c r="D574" s="10" t="s">
        <v>195</v>
      </c>
      <c r="E574" s="10" t="s">
        <v>117</v>
      </c>
      <c r="F574" s="10">
        <v>4</v>
      </c>
      <c r="G574" s="10" t="s">
        <v>36</v>
      </c>
      <c r="H574" s="10">
        <v>70000</v>
      </c>
      <c r="I574" s="10">
        <f t="shared" si="152"/>
        <v>280000</v>
      </c>
      <c r="J574" s="83" t="s">
        <v>110</v>
      </c>
      <c r="K574" s="10"/>
      <c r="L574" s="12">
        <f t="shared" si="165"/>
        <v>0</v>
      </c>
      <c r="M574" s="12"/>
      <c r="N574" s="12"/>
      <c r="O574" s="12">
        <f t="shared" si="166"/>
        <v>280000</v>
      </c>
      <c r="P574" s="12">
        <v>280000</v>
      </c>
      <c r="Q574" s="12"/>
      <c r="R574" s="12">
        <f t="shared" si="167"/>
        <v>0</v>
      </c>
      <c r="S574" s="12"/>
      <c r="T574" s="12"/>
      <c r="U574" s="12">
        <f t="shared" si="168"/>
        <v>0</v>
      </c>
      <c r="V574" s="12"/>
      <c r="W574" s="12"/>
      <c r="X574" s="12">
        <f t="shared" si="169"/>
        <v>0</v>
      </c>
      <c r="Y574" s="12"/>
      <c r="Z574" s="12"/>
      <c r="AA574" s="13">
        <f t="shared" si="170"/>
        <v>0</v>
      </c>
      <c r="AB574" s="14">
        <v>46045</v>
      </c>
    </row>
    <row r="575" spans="1:28" ht="15.75" hidden="1" x14ac:dyDescent="0.25">
      <c r="A575" s="65">
        <v>46045</v>
      </c>
      <c r="B575" s="10" t="s">
        <v>390</v>
      </c>
      <c r="C575" s="10"/>
      <c r="D575" s="10" t="s">
        <v>195</v>
      </c>
      <c r="E575" s="10" t="s">
        <v>116</v>
      </c>
      <c r="F575" s="10">
        <v>8</v>
      </c>
      <c r="G575" s="10" t="s">
        <v>67</v>
      </c>
      <c r="H575" s="10">
        <v>65000</v>
      </c>
      <c r="I575" s="10">
        <f t="shared" si="152"/>
        <v>520000</v>
      </c>
      <c r="J575" s="83" t="s">
        <v>110</v>
      </c>
      <c r="K575" s="10"/>
      <c r="L575" s="12">
        <f t="shared" si="165"/>
        <v>0</v>
      </c>
      <c r="M575" s="12"/>
      <c r="N575" s="12"/>
      <c r="O575" s="12">
        <f t="shared" si="166"/>
        <v>520000</v>
      </c>
      <c r="P575" s="12">
        <v>520000</v>
      </c>
      <c r="Q575" s="12"/>
      <c r="R575" s="12">
        <f t="shared" si="167"/>
        <v>0</v>
      </c>
      <c r="S575" s="12"/>
      <c r="T575" s="12"/>
      <c r="U575" s="12">
        <f t="shared" si="168"/>
        <v>0</v>
      </c>
      <c r="V575" s="12"/>
      <c r="W575" s="12"/>
      <c r="X575" s="12">
        <f t="shared" si="169"/>
        <v>0</v>
      </c>
      <c r="Y575" s="12"/>
      <c r="Z575" s="12"/>
      <c r="AA575" s="13">
        <f t="shared" si="170"/>
        <v>0</v>
      </c>
      <c r="AB575" s="14">
        <v>46045</v>
      </c>
    </row>
    <row r="576" spans="1:28" ht="15.75" hidden="1" x14ac:dyDescent="0.25">
      <c r="A576" s="65">
        <v>46045</v>
      </c>
      <c r="B576" s="10" t="s">
        <v>390</v>
      </c>
      <c r="C576" s="10"/>
      <c r="D576" s="10" t="s">
        <v>195</v>
      </c>
      <c r="E576" s="10" t="s">
        <v>114</v>
      </c>
      <c r="F576" s="10">
        <v>20</v>
      </c>
      <c r="G576" s="10" t="s">
        <v>67</v>
      </c>
      <c r="H576" s="10">
        <v>50000</v>
      </c>
      <c r="I576" s="10">
        <f t="shared" si="152"/>
        <v>1000000</v>
      </c>
      <c r="J576" s="83" t="s">
        <v>110</v>
      </c>
      <c r="K576" s="10"/>
      <c r="L576" s="12">
        <f t="shared" si="165"/>
        <v>0</v>
      </c>
      <c r="M576" s="12"/>
      <c r="N576" s="12"/>
      <c r="O576" s="12">
        <f t="shared" si="166"/>
        <v>1000000</v>
      </c>
      <c r="P576" s="12">
        <v>1000000</v>
      </c>
      <c r="Q576" s="12"/>
      <c r="R576" s="12">
        <f t="shared" si="167"/>
        <v>0</v>
      </c>
      <c r="S576" s="12"/>
      <c r="T576" s="12"/>
      <c r="U576" s="12">
        <f t="shared" si="168"/>
        <v>0</v>
      </c>
      <c r="V576" s="12"/>
      <c r="W576" s="12"/>
      <c r="X576" s="12">
        <f t="shared" si="169"/>
        <v>0</v>
      </c>
      <c r="Y576" s="12"/>
      <c r="Z576" s="12"/>
      <c r="AA576" s="13">
        <f t="shared" si="170"/>
        <v>0</v>
      </c>
      <c r="AB576" s="14">
        <v>46045</v>
      </c>
    </row>
    <row r="577" spans="1:28" ht="15.75" hidden="1" x14ac:dyDescent="0.25">
      <c r="A577" s="65">
        <v>46045</v>
      </c>
      <c r="B577" s="10" t="s">
        <v>381</v>
      </c>
      <c r="C577" s="10"/>
      <c r="D577" s="10" t="s">
        <v>28</v>
      </c>
      <c r="E577" s="10" t="s">
        <v>228</v>
      </c>
      <c r="F577" s="10">
        <v>2</v>
      </c>
      <c r="G577" s="10" t="s">
        <v>36</v>
      </c>
      <c r="H577" s="10">
        <v>250000</v>
      </c>
      <c r="I577" s="10">
        <f t="shared" si="152"/>
        <v>500000</v>
      </c>
      <c r="J577" s="29" t="s">
        <v>113</v>
      </c>
      <c r="K577" s="10" t="s">
        <v>387</v>
      </c>
      <c r="L577" s="12">
        <f t="shared" si="165"/>
        <v>500000</v>
      </c>
      <c r="M577" s="12">
        <v>500000</v>
      </c>
      <c r="N577" s="12"/>
      <c r="O577" s="12">
        <f t="shared" si="166"/>
        <v>0</v>
      </c>
      <c r="P577" s="12"/>
      <c r="Q577" s="12"/>
      <c r="R577" s="12">
        <f t="shared" si="167"/>
        <v>0</v>
      </c>
      <c r="S577" s="12"/>
      <c r="T577" s="12"/>
      <c r="U577" s="12">
        <f t="shared" si="168"/>
        <v>0</v>
      </c>
      <c r="V577" s="12"/>
      <c r="W577" s="12"/>
      <c r="X577" s="12">
        <f t="shared" si="169"/>
        <v>0</v>
      </c>
      <c r="Y577" s="12"/>
      <c r="Z577" s="12"/>
      <c r="AA577" s="13">
        <f t="shared" si="170"/>
        <v>0</v>
      </c>
      <c r="AB577" s="14">
        <v>46048</v>
      </c>
    </row>
    <row r="578" spans="1:28" ht="15.75" hidden="1" x14ac:dyDescent="0.25">
      <c r="A578" s="65">
        <v>46045</v>
      </c>
      <c r="B578" s="10" t="s">
        <v>391</v>
      </c>
      <c r="C578" s="10"/>
      <c r="D578" s="10" t="s">
        <v>28</v>
      </c>
      <c r="E578" s="10" t="s">
        <v>198</v>
      </c>
      <c r="F578" s="10">
        <v>31.6</v>
      </c>
      <c r="G578" s="10" t="s">
        <v>36</v>
      </c>
      <c r="H578" s="10">
        <v>43000</v>
      </c>
      <c r="I578" s="10">
        <f t="shared" si="152"/>
        <v>1358800</v>
      </c>
      <c r="J578" s="52" t="s">
        <v>90</v>
      </c>
      <c r="K578" s="87" t="s">
        <v>356</v>
      </c>
      <c r="L578" s="12">
        <f t="shared" si="165"/>
        <v>0</v>
      </c>
      <c r="M578" s="12"/>
      <c r="N578" s="12"/>
      <c r="O578" s="12">
        <f t="shared" si="166"/>
        <v>0</v>
      </c>
      <c r="P578" s="12"/>
      <c r="Q578" s="12"/>
      <c r="R578" s="12">
        <f t="shared" si="167"/>
        <v>0</v>
      </c>
      <c r="S578" s="12"/>
      <c r="T578" s="12"/>
      <c r="U578" s="12">
        <f t="shared" si="168"/>
        <v>0</v>
      </c>
      <c r="V578" s="12"/>
      <c r="W578" s="12"/>
      <c r="X578" s="12">
        <f t="shared" si="169"/>
        <v>0</v>
      </c>
      <c r="Y578" s="12"/>
      <c r="Z578" s="12"/>
      <c r="AA578" s="13">
        <f t="shared" si="170"/>
        <v>1358800</v>
      </c>
      <c r="AB578" s="14"/>
    </row>
    <row r="579" spans="1:28" ht="15.75" hidden="1" x14ac:dyDescent="0.25">
      <c r="A579" s="65">
        <v>46045</v>
      </c>
      <c r="B579" s="10" t="s">
        <v>196</v>
      </c>
      <c r="C579" s="10"/>
      <c r="D579" s="10" t="s">
        <v>28</v>
      </c>
      <c r="E579" s="10" t="s">
        <v>198</v>
      </c>
      <c r="F579" s="10">
        <v>132.30000000000001</v>
      </c>
      <c r="G579" s="10" t="s">
        <v>36</v>
      </c>
      <c r="H579" s="10">
        <v>41000</v>
      </c>
      <c r="I579" s="10">
        <f t="shared" si="152"/>
        <v>5424300.0000000009</v>
      </c>
      <c r="J579" s="29" t="s">
        <v>110</v>
      </c>
      <c r="K579" s="10" t="s">
        <v>387</v>
      </c>
      <c r="L579" s="12">
        <f t="shared" si="165"/>
        <v>0</v>
      </c>
      <c r="M579" s="12"/>
      <c r="N579" s="12"/>
      <c r="O579" s="12">
        <f t="shared" si="166"/>
        <v>5424300</v>
      </c>
      <c r="P579" s="12">
        <v>5424300</v>
      </c>
      <c r="Q579" s="12"/>
      <c r="R579" s="12">
        <f t="shared" si="167"/>
        <v>0</v>
      </c>
      <c r="S579" s="12"/>
      <c r="T579" s="12"/>
      <c r="U579" s="12">
        <f t="shared" si="168"/>
        <v>0</v>
      </c>
      <c r="V579" s="12"/>
      <c r="W579" s="12"/>
      <c r="X579" s="12">
        <f t="shared" si="169"/>
        <v>0</v>
      </c>
      <c r="Y579" s="12"/>
      <c r="Z579" s="12"/>
      <c r="AA579" s="13">
        <f t="shared" si="170"/>
        <v>9.3132257461547852E-10</v>
      </c>
      <c r="AB579" s="14">
        <v>46050</v>
      </c>
    </row>
    <row r="580" spans="1:28" ht="15.75" hidden="1" x14ac:dyDescent="0.25">
      <c r="A580" s="28">
        <v>46045</v>
      </c>
      <c r="B580" s="10" t="s">
        <v>392</v>
      </c>
      <c r="C580" s="10"/>
      <c r="D580" s="10" t="s">
        <v>28</v>
      </c>
      <c r="E580" s="10" t="s">
        <v>104</v>
      </c>
      <c r="F580" s="10">
        <v>400</v>
      </c>
      <c r="G580" s="10" t="s">
        <v>26</v>
      </c>
      <c r="H580" s="10">
        <v>1800</v>
      </c>
      <c r="I580" s="10">
        <f t="shared" si="152"/>
        <v>720000</v>
      </c>
      <c r="J580" s="29" t="s">
        <v>110</v>
      </c>
      <c r="K580" s="10"/>
      <c r="L580" s="12">
        <f t="shared" si="165"/>
        <v>0</v>
      </c>
      <c r="M580" s="12"/>
      <c r="N580" s="12"/>
      <c r="O580" s="12">
        <f t="shared" si="166"/>
        <v>720000</v>
      </c>
      <c r="P580" s="12">
        <v>720000</v>
      </c>
      <c r="Q580" s="12"/>
      <c r="R580" s="12">
        <f t="shared" si="167"/>
        <v>0</v>
      </c>
      <c r="S580" s="12"/>
      <c r="T580" s="12"/>
      <c r="U580" s="12">
        <f t="shared" si="168"/>
        <v>0</v>
      </c>
      <c r="V580" s="12"/>
      <c r="W580" s="12"/>
      <c r="X580" s="12">
        <f t="shared" si="169"/>
        <v>0</v>
      </c>
      <c r="Y580" s="12"/>
      <c r="Z580" s="12"/>
      <c r="AA580" s="13">
        <f t="shared" si="170"/>
        <v>0</v>
      </c>
      <c r="AB580" s="14">
        <v>46041</v>
      </c>
    </row>
    <row r="581" spans="1:28" ht="15.75" hidden="1" x14ac:dyDescent="0.25">
      <c r="A581" s="65">
        <v>46045</v>
      </c>
      <c r="B581" s="10" t="s">
        <v>392</v>
      </c>
      <c r="C581" s="10"/>
      <c r="D581" s="10" t="s">
        <v>28</v>
      </c>
      <c r="E581" s="10" t="s">
        <v>164</v>
      </c>
      <c r="F581" s="10">
        <v>16.8</v>
      </c>
      <c r="G581" s="10" t="s">
        <v>36</v>
      </c>
      <c r="H581" s="10">
        <v>43000</v>
      </c>
      <c r="I581" s="10">
        <f t="shared" si="152"/>
        <v>722400</v>
      </c>
      <c r="J581" s="29" t="s">
        <v>110</v>
      </c>
      <c r="K581" s="10"/>
      <c r="L581" s="12">
        <f t="shared" si="165"/>
        <v>0</v>
      </c>
      <c r="M581" s="12"/>
      <c r="N581" s="12"/>
      <c r="O581" s="12">
        <f t="shared" si="166"/>
        <v>722400</v>
      </c>
      <c r="P581" s="12">
        <v>722400</v>
      </c>
      <c r="Q581" s="12"/>
      <c r="R581" s="12">
        <f t="shared" si="167"/>
        <v>0</v>
      </c>
      <c r="S581" s="12"/>
      <c r="T581" s="12"/>
      <c r="U581" s="12">
        <f t="shared" si="168"/>
        <v>0</v>
      </c>
      <c r="V581" s="12"/>
      <c r="W581" s="12"/>
      <c r="X581" s="12">
        <f t="shared" si="169"/>
        <v>0</v>
      </c>
      <c r="Y581" s="12"/>
      <c r="Z581" s="12"/>
      <c r="AA581" s="13">
        <f t="shared" si="170"/>
        <v>0</v>
      </c>
      <c r="AB581" s="14">
        <v>46041</v>
      </c>
    </row>
    <row r="582" spans="1:28" ht="15.75" hidden="1" x14ac:dyDescent="0.25">
      <c r="A582" s="65">
        <v>46045</v>
      </c>
      <c r="B582" s="10" t="s">
        <v>230</v>
      </c>
      <c r="C582" s="10"/>
      <c r="D582" s="10" t="s">
        <v>195</v>
      </c>
      <c r="E582" s="10" t="s">
        <v>98</v>
      </c>
      <c r="F582" s="10">
        <v>400</v>
      </c>
      <c r="G582" s="10" t="s">
        <v>26</v>
      </c>
      <c r="H582" s="10">
        <v>1800</v>
      </c>
      <c r="I582" s="10">
        <f t="shared" si="152"/>
        <v>720000</v>
      </c>
      <c r="J582" s="52" t="s">
        <v>90</v>
      </c>
      <c r="K582" s="10"/>
      <c r="L582" s="12">
        <f t="shared" si="165"/>
        <v>0</v>
      </c>
      <c r="M582" s="12"/>
      <c r="N582" s="12"/>
      <c r="O582" s="12">
        <f t="shared" si="166"/>
        <v>0</v>
      </c>
      <c r="P582" s="12"/>
      <c r="Q582" s="12"/>
      <c r="R582" s="12">
        <f t="shared" si="167"/>
        <v>520000</v>
      </c>
      <c r="S582" s="12">
        <v>520000</v>
      </c>
      <c r="T582" s="12"/>
      <c r="U582" s="12">
        <f t="shared" si="168"/>
        <v>0</v>
      </c>
      <c r="V582" s="12"/>
      <c r="W582" s="12"/>
      <c r="X582" s="12">
        <f t="shared" si="169"/>
        <v>0</v>
      </c>
      <c r="Y582" s="12"/>
      <c r="Z582" s="12"/>
      <c r="AA582" s="13">
        <f t="shared" si="170"/>
        <v>200000</v>
      </c>
      <c r="AB582" s="14">
        <v>46045</v>
      </c>
    </row>
    <row r="583" spans="1:28" ht="16.5" hidden="1" thickBot="1" x14ac:dyDescent="0.3">
      <c r="A583" s="53">
        <v>46045</v>
      </c>
      <c r="B583" s="31" t="s">
        <v>393</v>
      </c>
      <c r="C583" s="31"/>
      <c r="D583" s="31" t="s">
        <v>195</v>
      </c>
      <c r="E583" s="31" t="s">
        <v>65</v>
      </c>
      <c r="F583" s="31">
        <v>300</v>
      </c>
      <c r="G583" s="31" t="s">
        <v>26</v>
      </c>
      <c r="H583" s="31">
        <v>4000</v>
      </c>
      <c r="I583" s="31">
        <f t="shared" si="152"/>
        <v>1200000</v>
      </c>
      <c r="J583" s="51" t="s">
        <v>110</v>
      </c>
      <c r="K583" s="31" t="s">
        <v>356</v>
      </c>
      <c r="L583" s="34">
        <f t="shared" si="165"/>
        <v>0</v>
      </c>
      <c r="M583" s="34"/>
      <c r="N583" s="34"/>
      <c r="O583" s="34">
        <f t="shared" si="166"/>
        <v>1200000</v>
      </c>
      <c r="P583" s="34">
        <v>1200000</v>
      </c>
      <c r="Q583" s="34"/>
      <c r="R583" s="34">
        <f t="shared" si="167"/>
        <v>0</v>
      </c>
      <c r="S583" s="34"/>
      <c r="T583" s="34"/>
      <c r="U583" s="34">
        <f t="shared" si="168"/>
        <v>0</v>
      </c>
      <c r="V583" s="34"/>
      <c r="W583" s="34"/>
      <c r="X583" s="34">
        <f t="shared" si="169"/>
        <v>0</v>
      </c>
      <c r="Y583" s="34"/>
      <c r="Z583" s="34"/>
      <c r="AA583" s="35">
        <f t="shared" si="170"/>
        <v>0</v>
      </c>
      <c r="AB583" s="36">
        <v>46048</v>
      </c>
    </row>
    <row r="584" spans="1:28" ht="15.75" hidden="1" x14ac:dyDescent="0.25">
      <c r="A584" s="65">
        <v>46046</v>
      </c>
      <c r="B584" s="66" t="s">
        <v>330</v>
      </c>
      <c r="C584" s="66"/>
      <c r="D584" s="66" t="s">
        <v>206</v>
      </c>
      <c r="E584" s="66" t="s">
        <v>116</v>
      </c>
      <c r="F584" s="66">
        <v>24</v>
      </c>
      <c r="G584" s="66" t="s">
        <v>67</v>
      </c>
      <c r="H584" s="66">
        <v>65000</v>
      </c>
      <c r="I584" s="10">
        <f t="shared" si="152"/>
        <v>1560000</v>
      </c>
      <c r="J584" s="84" t="s">
        <v>113</v>
      </c>
      <c r="K584" s="66"/>
      <c r="L584" s="12">
        <f t="shared" si="165"/>
        <v>1560000</v>
      </c>
      <c r="M584" s="12">
        <v>1560000</v>
      </c>
      <c r="N584" s="12"/>
      <c r="O584" s="12">
        <f t="shared" si="166"/>
        <v>0</v>
      </c>
      <c r="P584" s="12"/>
      <c r="Q584" s="12"/>
      <c r="R584" s="12">
        <f t="shared" si="167"/>
        <v>0</v>
      </c>
      <c r="S584" s="12"/>
      <c r="T584" s="12"/>
      <c r="U584" s="12">
        <f t="shared" si="168"/>
        <v>0</v>
      </c>
      <c r="V584" s="12"/>
      <c r="W584" s="12"/>
      <c r="X584" s="12">
        <f t="shared" si="169"/>
        <v>0</v>
      </c>
      <c r="Y584" s="12"/>
      <c r="Z584" s="12"/>
      <c r="AA584" s="13">
        <f t="shared" si="170"/>
        <v>0</v>
      </c>
      <c r="AB584" s="14">
        <v>46046</v>
      </c>
    </row>
    <row r="585" spans="1:28" ht="15.75" hidden="1" x14ac:dyDescent="0.25">
      <c r="A585" s="65">
        <v>46046</v>
      </c>
      <c r="B585" s="66" t="s">
        <v>330</v>
      </c>
      <c r="C585" s="10"/>
      <c r="D585" s="66" t="s">
        <v>206</v>
      </c>
      <c r="E585" s="10" t="s">
        <v>38</v>
      </c>
      <c r="F585" s="10">
        <v>5</v>
      </c>
      <c r="G585" s="10" t="s">
        <v>39</v>
      </c>
      <c r="H585" s="10">
        <v>45000</v>
      </c>
      <c r="I585" s="10">
        <f t="shared" si="152"/>
        <v>225000</v>
      </c>
      <c r="J585" s="84" t="s">
        <v>113</v>
      </c>
      <c r="K585" s="10"/>
      <c r="L585" s="12">
        <f t="shared" ref="L585:L603" si="171">M585+N585</f>
        <v>225000</v>
      </c>
      <c r="M585" s="12">
        <v>225000</v>
      </c>
      <c r="N585" s="12"/>
      <c r="O585" s="12">
        <f t="shared" ref="O585:O603" si="172">P585+Q585</f>
        <v>0</v>
      </c>
      <c r="P585" s="12"/>
      <c r="Q585" s="12"/>
      <c r="R585" s="12">
        <f t="shared" ref="R585:R603" si="173">S585+T585</f>
        <v>0</v>
      </c>
      <c r="S585" s="12"/>
      <c r="T585" s="12"/>
      <c r="U585" s="12">
        <f t="shared" ref="U585:U603" si="174">V585+W585</f>
        <v>0</v>
      </c>
      <c r="V585" s="12"/>
      <c r="W585" s="12"/>
      <c r="X585" s="12">
        <f t="shared" ref="X585:X603" si="175">Y585+Z585</f>
        <v>0</v>
      </c>
      <c r="Y585" s="12"/>
      <c r="Z585" s="12"/>
      <c r="AA585" s="13">
        <f t="shared" ref="AA585:AA603" si="176">C585+I585-L585-O585-U585-X585-R585</f>
        <v>0</v>
      </c>
      <c r="AB585" s="14">
        <v>46046</v>
      </c>
    </row>
    <row r="586" spans="1:28" ht="15.75" hidden="1" x14ac:dyDescent="0.25">
      <c r="A586" s="65">
        <v>46046</v>
      </c>
      <c r="B586" s="66" t="s">
        <v>330</v>
      </c>
      <c r="C586" s="10"/>
      <c r="D586" s="66" t="s">
        <v>206</v>
      </c>
      <c r="E586" s="10" t="s">
        <v>114</v>
      </c>
      <c r="F586" s="10">
        <v>20</v>
      </c>
      <c r="G586" s="10" t="s">
        <v>67</v>
      </c>
      <c r="H586" s="10">
        <v>50000</v>
      </c>
      <c r="I586" s="10">
        <f t="shared" ref="I586:I650" si="177">F586*H586</f>
        <v>1000000</v>
      </c>
      <c r="J586" s="84" t="s">
        <v>113</v>
      </c>
      <c r="K586" s="10"/>
      <c r="L586" s="12">
        <f t="shared" si="171"/>
        <v>1000000</v>
      </c>
      <c r="M586" s="12">
        <v>1000000</v>
      </c>
      <c r="N586" s="12"/>
      <c r="O586" s="12">
        <f t="shared" si="172"/>
        <v>0</v>
      </c>
      <c r="P586" s="12"/>
      <c r="Q586" s="12"/>
      <c r="R586" s="12">
        <f t="shared" si="173"/>
        <v>0</v>
      </c>
      <c r="S586" s="12"/>
      <c r="T586" s="12"/>
      <c r="U586" s="12">
        <f t="shared" si="174"/>
        <v>0</v>
      </c>
      <c r="V586" s="12"/>
      <c r="W586" s="12"/>
      <c r="X586" s="12">
        <f t="shared" si="175"/>
        <v>0</v>
      </c>
      <c r="Y586" s="12"/>
      <c r="Z586" s="12"/>
      <c r="AA586" s="13">
        <f t="shared" si="176"/>
        <v>0</v>
      </c>
      <c r="AB586" s="14">
        <v>46046</v>
      </c>
    </row>
    <row r="587" spans="1:28" ht="15.75" hidden="1" x14ac:dyDescent="0.25">
      <c r="A587" s="65">
        <v>46046</v>
      </c>
      <c r="B587" s="10" t="s">
        <v>275</v>
      </c>
      <c r="C587" s="10"/>
      <c r="D587" s="10" t="s">
        <v>28</v>
      </c>
      <c r="E587" s="10" t="s">
        <v>276</v>
      </c>
      <c r="F587" s="10">
        <v>25</v>
      </c>
      <c r="G587" s="10" t="s">
        <v>36</v>
      </c>
      <c r="H587" s="10">
        <v>55000</v>
      </c>
      <c r="I587" s="10">
        <f t="shared" si="177"/>
        <v>1375000</v>
      </c>
      <c r="J587" s="29" t="s">
        <v>113</v>
      </c>
      <c r="K587" s="10"/>
      <c r="L587" s="12">
        <f t="shared" si="171"/>
        <v>1375000</v>
      </c>
      <c r="M587" s="12">
        <v>1375000</v>
      </c>
      <c r="N587" s="12"/>
      <c r="O587" s="12">
        <f t="shared" si="172"/>
        <v>0</v>
      </c>
      <c r="P587" s="12"/>
      <c r="Q587" s="12"/>
      <c r="R587" s="12">
        <f t="shared" si="173"/>
        <v>0</v>
      </c>
      <c r="S587" s="12"/>
      <c r="T587" s="12"/>
      <c r="U587" s="12">
        <f t="shared" si="174"/>
        <v>0</v>
      </c>
      <c r="V587" s="12"/>
      <c r="W587" s="12"/>
      <c r="X587" s="12">
        <f t="shared" si="175"/>
        <v>0</v>
      </c>
      <c r="Y587" s="12"/>
      <c r="Z587" s="12"/>
      <c r="AA587" s="13">
        <f t="shared" si="176"/>
        <v>0</v>
      </c>
      <c r="AB587" s="14">
        <v>46046</v>
      </c>
    </row>
    <row r="588" spans="1:28" ht="15.75" hidden="1" x14ac:dyDescent="0.25">
      <c r="A588" s="65">
        <v>46046</v>
      </c>
      <c r="B588" s="10" t="s">
        <v>368</v>
      </c>
      <c r="C588" s="10"/>
      <c r="D588" s="10" t="s">
        <v>28</v>
      </c>
      <c r="E588" s="10" t="s">
        <v>117</v>
      </c>
      <c r="F588" s="10">
        <v>1</v>
      </c>
      <c r="G588" s="10" t="s">
        <v>36</v>
      </c>
      <c r="H588" s="10">
        <v>70000</v>
      </c>
      <c r="I588" s="10">
        <f t="shared" si="177"/>
        <v>70000</v>
      </c>
      <c r="J588" s="52" t="s">
        <v>90</v>
      </c>
      <c r="K588" s="87" t="s">
        <v>356</v>
      </c>
      <c r="L588" s="12">
        <f t="shared" si="171"/>
        <v>0</v>
      </c>
      <c r="M588" s="12"/>
      <c r="N588" s="12"/>
      <c r="O588" s="12">
        <f t="shared" si="172"/>
        <v>0</v>
      </c>
      <c r="P588" s="12"/>
      <c r="Q588" s="12"/>
      <c r="R588" s="12">
        <f t="shared" si="173"/>
        <v>0</v>
      </c>
      <c r="S588" s="12"/>
      <c r="T588" s="12"/>
      <c r="U588" s="12">
        <f t="shared" si="174"/>
        <v>0</v>
      </c>
      <c r="V588" s="12"/>
      <c r="W588" s="12"/>
      <c r="X588" s="12">
        <f t="shared" si="175"/>
        <v>0</v>
      </c>
      <c r="Y588" s="12"/>
      <c r="Z588" s="12"/>
      <c r="AA588" s="13">
        <f t="shared" si="176"/>
        <v>70000</v>
      </c>
      <c r="AB588" s="14"/>
    </row>
    <row r="589" spans="1:28" ht="15.75" hidden="1" x14ac:dyDescent="0.25">
      <c r="A589" s="65">
        <v>46046</v>
      </c>
      <c r="B589" s="10" t="s">
        <v>336</v>
      </c>
      <c r="C589" s="10"/>
      <c r="D589" s="10" t="s">
        <v>383</v>
      </c>
      <c r="E589" s="10" t="s">
        <v>70</v>
      </c>
      <c r="F589" s="10">
        <v>20</v>
      </c>
      <c r="G589" s="10" t="s">
        <v>36</v>
      </c>
      <c r="H589" s="10">
        <v>55000</v>
      </c>
      <c r="I589" s="10">
        <f t="shared" si="177"/>
        <v>1100000</v>
      </c>
      <c r="J589" s="29" t="s">
        <v>110</v>
      </c>
      <c r="K589" s="10" t="s">
        <v>356</v>
      </c>
      <c r="L589" s="12">
        <f t="shared" si="171"/>
        <v>0</v>
      </c>
      <c r="M589" s="12"/>
      <c r="N589" s="12"/>
      <c r="O589" s="12">
        <f t="shared" si="172"/>
        <v>1100000</v>
      </c>
      <c r="P589" s="12">
        <v>1100000</v>
      </c>
      <c r="Q589" s="12"/>
      <c r="R589" s="12">
        <f t="shared" si="173"/>
        <v>0</v>
      </c>
      <c r="S589" s="12"/>
      <c r="T589" s="12"/>
      <c r="U589" s="12">
        <f t="shared" si="174"/>
        <v>0</v>
      </c>
      <c r="V589" s="12"/>
      <c r="W589" s="12"/>
      <c r="X589" s="12">
        <f t="shared" si="175"/>
        <v>0</v>
      </c>
      <c r="Y589" s="12"/>
      <c r="Z589" s="12"/>
      <c r="AA589" s="13">
        <f t="shared" si="176"/>
        <v>0</v>
      </c>
      <c r="AB589" s="14">
        <v>46049</v>
      </c>
    </row>
    <row r="590" spans="1:28" ht="15.75" hidden="1" x14ac:dyDescent="0.25">
      <c r="A590" s="65">
        <v>46046</v>
      </c>
      <c r="B590" s="10" t="s">
        <v>395</v>
      </c>
      <c r="C590" s="10"/>
      <c r="D590" s="10" t="s">
        <v>195</v>
      </c>
      <c r="E590" s="10" t="s">
        <v>104</v>
      </c>
      <c r="F590" s="10">
        <v>400</v>
      </c>
      <c r="G590" s="10" t="s">
        <v>26</v>
      </c>
      <c r="H590" s="10">
        <v>2000</v>
      </c>
      <c r="I590" s="10">
        <f t="shared" si="177"/>
        <v>800000</v>
      </c>
      <c r="J590" s="29" t="s">
        <v>110</v>
      </c>
      <c r="K590" s="10" t="s">
        <v>356</v>
      </c>
      <c r="L590" s="12">
        <f t="shared" si="171"/>
        <v>0</v>
      </c>
      <c r="M590" s="12"/>
      <c r="N590" s="12"/>
      <c r="O590" s="12">
        <f t="shared" si="172"/>
        <v>800000</v>
      </c>
      <c r="P590" s="12">
        <v>800000</v>
      </c>
      <c r="Q590" s="12"/>
      <c r="R590" s="12">
        <f t="shared" si="173"/>
        <v>0</v>
      </c>
      <c r="S590" s="12"/>
      <c r="T590" s="12"/>
      <c r="U590" s="12">
        <f t="shared" si="174"/>
        <v>0</v>
      </c>
      <c r="V590" s="12"/>
      <c r="W590" s="12"/>
      <c r="X590" s="12">
        <f t="shared" si="175"/>
        <v>0</v>
      </c>
      <c r="Y590" s="12"/>
      <c r="Z590" s="12"/>
      <c r="AA590" s="13">
        <f t="shared" si="176"/>
        <v>0</v>
      </c>
      <c r="AB590" s="14">
        <v>46048</v>
      </c>
    </row>
    <row r="591" spans="1:28" ht="15.75" hidden="1" x14ac:dyDescent="0.25">
      <c r="A591" s="65">
        <v>46046</v>
      </c>
      <c r="B591" s="10" t="s">
        <v>396</v>
      </c>
      <c r="C591" s="10"/>
      <c r="D591" s="10" t="s">
        <v>28</v>
      </c>
      <c r="E591" s="10" t="s">
        <v>116</v>
      </c>
      <c r="F591" s="10">
        <v>4</v>
      </c>
      <c r="G591" s="10" t="s">
        <v>67</v>
      </c>
      <c r="H591" s="10">
        <v>65000</v>
      </c>
      <c r="I591" s="10">
        <f t="shared" si="177"/>
        <v>260000</v>
      </c>
      <c r="J591" s="29" t="s">
        <v>113</v>
      </c>
      <c r="K591" s="10"/>
      <c r="L591" s="12">
        <f t="shared" si="171"/>
        <v>260000</v>
      </c>
      <c r="M591" s="12">
        <v>260000</v>
      </c>
      <c r="N591" s="12"/>
      <c r="O591" s="12">
        <f t="shared" si="172"/>
        <v>0</v>
      </c>
      <c r="P591" s="12"/>
      <c r="Q591" s="12"/>
      <c r="R591" s="12">
        <f t="shared" si="173"/>
        <v>0</v>
      </c>
      <c r="S591" s="12"/>
      <c r="T591" s="12"/>
      <c r="U591" s="12">
        <f t="shared" si="174"/>
        <v>0</v>
      </c>
      <c r="V591" s="12"/>
      <c r="W591" s="12"/>
      <c r="X591" s="12">
        <f t="shared" si="175"/>
        <v>0</v>
      </c>
      <c r="Y591" s="12"/>
      <c r="Z591" s="12"/>
      <c r="AA591" s="13">
        <f t="shared" si="176"/>
        <v>0</v>
      </c>
      <c r="AB591" s="14">
        <v>46046</v>
      </c>
    </row>
    <row r="592" spans="1:28" ht="15.75" hidden="1" x14ac:dyDescent="0.25">
      <c r="A592" s="65">
        <v>46046</v>
      </c>
      <c r="B592" s="10" t="s">
        <v>274</v>
      </c>
      <c r="C592" s="10"/>
      <c r="D592" s="10" t="s">
        <v>32</v>
      </c>
      <c r="E592" s="10" t="s">
        <v>315</v>
      </c>
      <c r="F592" s="10">
        <v>27.1</v>
      </c>
      <c r="G592" s="10" t="s">
        <v>36</v>
      </c>
      <c r="H592" s="10">
        <v>43000</v>
      </c>
      <c r="I592" s="10">
        <f t="shared" si="177"/>
        <v>1165300</v>
      </c>
      <c r="J592" s="29" t="s">
        <v>113</v>
      </c>
      <c r="K592" s="10"/>
      <c r="L592" s="12">
        <f t="shared" si="171"/>
        <v>1165300</v>
      </c>
      <c r="M592" s="12">
        <v>1165300</v>
      </c>
      <c r="N592" s="12"/>
      <c r="O592" s="12">
        <f t="shared" si="172"/>
        <v>0</v>
      </c>
      <c r="P592" s="12"/>
      <c r="Q592" s="12"/>
      <c r="R592" s="12">
        <f t="shared" si="173"/>
        <v>0</v>
      </c>
      <c r="S592" s="12"/>
      <c r="T592" s="12"/>
      <c r="U592" s="12">
        <f t="shared" si="174"/>
        <v>0</v>
      </c>
      <c r="V592" s="12"/>
      <c r="W592" s="12"/>
      <c r="X592" s="12">
        <f t="shared" si="175"/>
        <v>0</v>
      </c>
      <c r="Y592" s="12"/>
      <c r="Z592" s="12"/>
      <c r="AA592" s="13">
        <f t="shared" si="176"/>
        <v>0</v>
      </c>
      <c r="AB592" s="14">
        <v>46046</v>
      </c>
    </row>
    <row r="593" spans="1:28" ht="15.75" hidden="1" x14ac:dyDescent="0.25">
      <c r="A593" s="65">
        <v>46046</v>
      </c>
      <c r="B593" s="10" t="s">
        <v>274</v>
      </c>
      <c r="C593" s="10"/>
      <c r="D593" s="10" t="s">
        <v>32</v>
      </c>
      <c r="E593" s="10" t="s">
        <v>168</v>
      </c>
      <c r="F593" s="10">
        <v>31.4</v>
      </c>
      <c r="G593" s="10" t="s">
        <v>36</v>
      </c>
      <c r="H593" s="10">
        <v>43000</v>
      </c>
      <c r="I593" s="10">
        <f t="shared" si="177"/>
        <v>1350200</v>
      </c>
      <c r="J593" s="29" t="s">
        <v>113</v>
      </c>
      <c r="K593" s="10"/>
      <c r="L593" s="12">
        <f t="shared" si="171"/>
        <v>1350200</v>
      </c>
      <c r="M593" s="12">
        <v>1350200</v>
      </c>
      <c r="N593" s="12"/>
      <c r="O593" s="12">
        <f t="shared" si="172"/>
        <v>0</v>
      </c>
      <c r="P593" s="12"/>
      <c r="Q593" s="12"/>
      <c r="R593" s="12">
        <f t="shared" si="173"/>
        <v>0</v>
      </c>
      <c r="S593" s="12"/>
      <c r="T593" s="12"/>
      <c r="U593" s="12">
        <f t="shared" si="174"/>
        <v>0</v>
      </c>
      <c r="V593" s="12"/>
      <c r="W593" s="12"/>
      <c r="X593" s="12">
        <f t="shared" si="175"/>
        <v>0</v>
      </c>
      <c r="Y593" s="12"/>
      <c r="Z593" s="12"/>
      <c r="AA593" s="13">
        <f t="shared" si="176"/>
        <v>0</v>
      </c>
      <c r="AB593" s="14">
        <v>46046</v>
      </c>
    </row>
    <row r="594" spans="1:28" ht="15.75" hidden="1" x14ac:dyDescent="0.25">
      <c r="A594" s="65">
        <v>46046</v>
      </c>
      <c r="B594" s="10" t="s">
        <v>397</v>
      </c>
      <c r="C594" s="10"/>
      <c r="D594" s="10" t="s">
        <v>32</v>
      </c>
      <c r="E594" s="10" t="s">
        <v>88</v>
      </c>
      <c r="F594" s="10">
        <v>25</v>
      </c>
      <c r="G594" s="10" t="s">
        <v>36</v>
      </c>
      <c r="H594" s="10">
        <v>120000</v>
      </c>
      <c r="I594" s="10">
        <f t="shared" si="177"/>
        <v>3000000</v>
      </c>
      <c r="J594" s="29" t="s">
        <v>113</v>
      </c>
      <c r="K594" s="10"/>
      <c r="L594" s="12">
        <f t="shared" si="171"/>
        <v>0</v>
      </c>
      <c r="M594" s="12"/>
      <c r="N594" s="12"/>
      <c r="O594" s="12">
        <f t="shared" si="172"/>
        <v>0</v>
      </c>
      <c r="P594" s="12"/>
      <c r="Q594" s="12"/>
      <c r="R594" s="12">
        <f t="shared" si="173"/>
        <v>0</v>
      </c>
      <c r="S594" s="12"/>
      <c r="T594" s="12"/>
      <c r="U594" s="12">
        <f t="shared" si="174"/>
        <v>3000000</v>
      </c>
      <c r="V594" s="12">
        <v>3000000</v>
      </c>
      <c r="W594" s="12"/>
      <c r="X594" s="12">
        <f t="shared" si="175"/>
        <v>0</v>
      </c>
      <c r="Y594" s="12"/>
      <c r="Z594" s="12"/>
      <c r="AA594" s="13">
        <f t="shared" si="176"/>
        <v>0</v>
      </c>
      <c r="AB594" s="14">
        <v>46046</v>
      </c>
    </row>
    <row r="595" spans="1:28" ht="15.75" hidden="1" x14ac:dyDescent="0.25">
      <c r="A595" s="65">
        <v>46046</v>
      </c>
      <c r="B595" s="10" t="s">
        <v>234</v>
      </c>
      <c r="C595" s="10"/>
      <c r="D595" s="10" t="s">
        <v>28</v>
      </c>
      <c r="E595" s="10" t="s">
        <v>175</v>
      </c>
      <c r="F595" s="10">
        <v>20800</v>
      </c>
      <c r="G595" s="10" t="s">
        <v>26</v>
      </c>
      <c r="H595" s="10">
        <v>900</v>
      </c>
      <c r="I595" s="10">
        <f t="shared" si="177"/>
        <v>18720000</v>
      </c>
      <c r="J595" s="52" t="s">
        <v>90</v>
      </c>
      <c r="K595" s="10" t="s">
        <v>394</v>
      </c>
      <c r="L595" s="12">
        <f t="shared" si="171"/>
        <v>0</v>
      </c>
      <c r="M595" s="12"/>
      <c r="N595" s="12"/>
      <c r="O595" s="12">
        <f t="shared" si="172"/>
        <v>0</v>
      </c>
      <c r="P595" s="12"/>
      <c r="Q595" s="12"/>
      <c r="R595" s="12">
        <f t="shared" si="173"/>
        <v>0</v>
      </c>
      <c r="S595" s="12"/>
      <c r="T595" s="12"/>
      <c r="U595" s="12">
        <f t="shared" si="174"/>
        <v>0</v>
      </c>
      <c r="V595" s="12"/>
      <c r="W595" s="12"/>
      <c r="X595" s="12">
        <f t="shared" si="175"/>
        <v>0</v>
      </c>
      <c r="Y595" s="12"/>
      <c r="Z595" s="12"/>
      <c r="AA595" s="13">
        <f t="shared" si="176"/>
        <v>18720000</v>
      </c>
      <c r="AB595" s="14"/>
    </row>
    <row r="596" spans="1:28" ht="15.75" hidden="1" x14ac:dyDescent="0.25">
      <c r="A596" s="65">
        <v>46046</v>
      </c>
      <c r="B596" s="10" t="s">
        <v>234</v>
      </c>
      <c r="C596" s="10"/>
      <c r="D596" s="10" t="s">
        <v>28</v>
      </c>
      <c r="E596" s="10" t="s">
        <v>51</v>
      </c>
      <c r="F596" s="10">
        <v>20</v>
      </c>
      <c r="G596" s="10" t="s">
        <v>22</v>
      </c>
      <c r="H596" s="10">
        <v>400000</v>
      </c>
      <c r="I596" s="10">
        <f t="shared" si="177"/>
        <v>8000000</v>
      </c>
      <c r="J596" s="52" t="s">
        <v>90</v>
      </c>
      <c r="K596" s="10" t="s">
        <v>394</v>
      </c>
      <c r="L596" s="12">
        <f t="shared" si="171"/>
        <v>0</v>
      </c>
      <c r="M596" s="12"/>
      <c r="N596" s="12"/>
      <c r="O596" s="12">
        <f t="shared" si="172"/>
        <v>0</v>
      </c>
      <c r="P596" s="12"/>
      <c r="Q596" s="12"/>
      <c r="R596" s="12">
        <f t="shared" si="173"/>
        <v>0</v>
      </c>
      <c r="S596" s="12"/>
      <c r="T596" s="12"/>
      <c r="U596" s="12">
        <f t="shared" si="174"/>
        <v>0</v>
      </c>
      <c r="V596" s="12"/>
      <c r="W596" s="12"/>
      <c r="X596" s="12">
        <f t="shared" si="175"/>
        <v>0</v>
      </c>
      <c r="Y596" s="12"/>
      <c r="Z596" s="12"/>
      <c r="AA596" s="13">
        <f t="shared" si="176"/>
        <v>8000000</v>
      </c>
      <c r="AB596" s="14"/>
    </row>
    <row r="597" spans="1:28" ht="15.75" hidden="1" x14ac:dyDescent="0.25">
      <c r="A597" s="65">
        <v>46046</v>
      </c>
      <c r="B597" s="10" t="s">
        <v>398</v>
      </c>
      <c r="C597" s="10"/>
      <c r="D597" s="10" t="s">
        <v>28</v>
      </c>
      <c r="E597" s="10" t="s">
        <v>116</v>
      </c>
      <c r="F597" s="10">
        <v>24</v>
      </c>
      <c r="G597" s="10" t="s">
        <v>67</v>
      </c>
      <c r="H597" s="10">
        <v>65000</v>
      </c>
      <c r="I597" s="10">
        <f t="shared" si="177"/>
        <v>1560000</v>
      </c>
      <c r="J597" s="29" t="s">
        <v>110</v>
      </c>
      <c r="K597" s="10" t="s">
        <v>356</v>
      </c>
      <c r="L597" s="12">
        <f t="shared" si="171"/>
        <v>0</v>
      </c>
      <c r="M597" s="12"/>
      <c r="N597" s="12"/>
      <c r="O597" s="12">
        <f t="shared" si="172"/>
        <v>1560000</v>
      </c>
      <c r="P597" s="12">
        <v>1560000</v>
      </c>
      <c r="Q597" s="12"/>
      <c r="R597" s="12">
        <f t="shared" si="173"/>
        <v>0</v>
      </c>
      <c r="S597" s="12"/>
      <c r="T597" s="12"/>
      <c r="U597" s="12">
        <f t="shared" si="174"/>
        <v>0</v>
      </c>
      <c r="V597" s="12"/>
      <c r="W597" s="12"/>
      <c r="X597" s="12">
        <f t="shared" si="175"/>
        <v>0</v>
      </c>
      <c r="Y597" s="12"/>
      <c r="Z597" s="12"/>
      <c r="AA597" s="13">
        <f t="shared" si="176"/>
        <v>0</v>
      </c>
      <c r="AB597" s="14">
        <v>46048</v>
      </c>
    </row>
    <row r="598" spans="1:28" ht="15.75" hidden="1" x14ac:dyDescent="0.25">
      <c r="A598" s="65">
        <v>46046</v>
      </c>
      <c r="B598" s="10" t="s">
        <v>399</v>
      </c>
      <c r="C598" s="10"/>
      <c r="D598" s="10" t="s">
        <v>28</v>
      </c>
      <c r="E598" s="10" t="s">
        <v>371</v>
      </c>
      <c r="F598" s="10">
        <v>20</v>
      </c>
      <c r="G598" s="10" t="s">
        <v>67</v>
      </c>
      <c r="H598" s="10">
        <v>45000</v>
      </c>
      <c r="I598" s="10">
        <f t="shared" si="177"/>
        <v>900000</v>
      </c>
      <c r="J598" s="29" t="s">
        <v>113</v>
      </c>
      <c r="K598" s="10"/>
      <c r="L598" s="12">
        <f t="shared" si="171"/>
        <v>0</v>
      </c>
      <c r="M598" s="12"/>
      <c r="N598" s="12"/>
      <c r="O598" s="12">
        <f t="shared" si="172"/>
        <v>0</v>
      </c>
      <c r="P598" s="12"/>
      <c r="Q598" s="12"/>
      <c r="R598" s="12">
        <f t="shared" si="173"/>
        <v>0</v>
      </c>
      <c r="S598" s="12"/>
      <c r="T598" s="12"/>
      <c r="U598" s="12">
        <f t="shared" si="174"/>
        <v>900000</v>
      </c>
      <c r="V598" s="12">
        <v>900000</v>
      </c>
      <c r="W598" s="12"/>
      <c r="X598" s="12">
        <f t="shared" si="175"/>
        <v>0</v>
      </c>
      <c r="Y598" s="12"/>
      <c r="Z598" s="12"/>
      <c r="AA598" s="13">
        <f t="shared" si="176"/>
        <v>0</v>
      </c>
      <c r="AB598" s="14">
        <v>46046</v>
      </c>
    </row>
    <row r="599" spans="1:28" ht="15.75" hidden="1" x14ac:dyDescent="0.25">
      <c r="A599" s="65">
        <v>46046</v>
      </c>
      <c r="B599" s="10" t="s">
        <v>272</v>
      </c>
      <c r="C599" s="10"/>
      <c r="D599" s="10"/>
      <c r="E599" s="10" t="s">
        <v>92</v>
      </c>
      <c r="F599" s="10">
        <v>170.8</v>
      </c>
      <c r="G599" s="10" t="s">
        <v>36</v>
      </c>
      <c r="H599" s="10"/>
      <c r="I599" s="10">
        <f t="shared" si="177"/>
        <v>0</v>
      </c>
      <c r="J599" s="86" t="s">
        <v>76</v>
      </c>
      <c r="K599" s="10"/>
      <c r="L599" s="12">
        <f t="shared" si="171"/>
        <v>0</v>
      </c>
      <c r="M599" s="12"/>
      <c r="N599" s="12"/>
      <c r="O599" s="12">
        <f t="shared" si="172"/>
        <v>0</v>
      </c>
      <c r="P599" s="12"/>
      <c r="Q599" s="12"/>
      <c r="R599" s="12">
        <f t="shared" si="173"/>
        <v>0</v>
      </c>
      <c r="S599" s="12"/>
      <c r="T599" s="12"/>
      <c r="U599" s="12">
        <f t="shared" si="174"/>
        <v>0</v>
      </c>
      <c r="V599" s="12"/>
      <c r="W599" s="12"/>
      <c r="X599" s="12">
        <f t="shared" si="175"/>
        <v>0</v>
      </c>
      <c r="Y599" s="12"/>
      <c r="Z599" s="12"/>
      <c r="AA599" s="13">
        <f t="shared" si="176"/>
        <v>0</v>
      </c>
      <c r="AB599" s="14"/>
    </row>
    <row r="600" spans="1:28" ht="15.75" hidden="1" x14ac:dyDescent="0.25">
      <c r="A600" s="65">
        <v>46046</v>
      </c>
      <c r="B600" s="10" t="s">
        <v>272</v>
      </c>
      <c r="C600" s="10"/>
      <c r="D600" s="10"/>
      <c r="E600" s="10" t="s">
        <v>92</v>
      </c>
      <c r="F600" s="10">
        <v>34.200000000000003</v>
      </c>
      <c r="G600" s="10" t="s">
        <v>36</v>
      </c>
      <c r="H600" s="10"/>
      <c r="I600" s="10">
        <f t="shared" si="177"/>
        <v>0</v>
      </c>
      <c r="J600" s="52" t="s">
        <v>90</v>
      </c>
      <c r="K600" s="10"/>
      <c r="L600" s="12">
        <f t="shared" si="171"/>
        <v>0</v>
      </c>
      <c r="M600" s="12"/>
      <c r="N600" s="12"/>
      <c r="O600" s="12">
        <f t="shared" si="172"/>
        <v>0</v>
      </c>
      <c r="P600" s="12"/>
      <c r="Q600" s="12"/>
      <c r="R600" s="12">
        <f t="shared" si="173"/>
        <v>0</v>
      </c>
      <c r="S600" s="12"/>
      <c r="T600" s="12"/>
      <c r="U600" s="12">
        <f t="shared" si="174"/>
        <v>0</v>
      </c>
      <c r="V600" s="12"/>
      <c r="W600" s="12"/>
      <c r="X600" s="12">
        <f t="shared" si="175"/>
        <v>0</v>
      </c>
      <c r="Y600" s="12"/>
      <c r="Z600" s="12"/>
      <c r="AA600" s="13">
        <f t="shared" si="176"/>
        <v>0</v>
      </c>
      <c r="AB600" s="14"/>
    </row>
    <row r="601" spans="1:28" ht="15.75" hidden="1" x14ac:dyDescent="0.25">
      <c r="A601" s="28">
        <v>46046</v>
      </c>
      <c r="B601" s="10" t="s">
        <v>272</v>
      </c>
      <c r="C601" s="10"/>
      <c r="D601" s="10"/>
      <c r="E601" s="10" t="s">
        <v>315</v>
      </c>
      <c r="F601" s="10">
        <v>106.8</v>
      </c>
      <c r="G601" s="10" t="s">
        <v>36</v>
      </c>
      <c r="H601" s="10"/>
      <c r="I601" s="10">
        <f t="shared" si="177"/>
        <v>0</v>
      </c>
      <c r="J601" s="86" t="s">
        <v>76</v>
      </c>
      <c r="K601" s="10"/>
      <c r="L601" s="12">
        <f t="shared" si="171"/>
        <v>0</v>
      </c>
      <c r="M601" s="12"/>
      <c r="N601" s="12"/>
      <c r="O601" s="12">
        <f t="shared" si="172"/>
        <v>0</v>
      </c>
      <c r="P601" s="12"/>
      <c r="Q601" s="12"/>
      <c r="R601" s="12">
        <f t="shared" si="173"/>
        <v>0</v>
      </c>
      <c r="S601" s="12"/>
      <c r="T601" s="12"/>
      <c r="U601" s="12">
        <f t="shared" si="174"/>
        <v>0</v>
      </c>
      <c r="V601" s="12"/>
      <c r="W601" s="12"/>
      <c r="X601" s="12">
        <f t="shared" si="175"/>
        <v>0</v>
      </c>
      <c r="Y601" s="12"/>
      <c r="Z601" s="12"/>
      <c r="AA601" s="13">
        <f t="shared" si="176"/>
        <v>0</v>
      </c>
      <c r="AB601" s="14"/>
    </row>
    <row r="602" spans="1:28" ht="15.75" hidden="1" x14ac:dyDescent="0.25">
      <c r="A602" s="65">
        <v>46046</v>
      </c>
      <c r="B602" s="10" t="s">
        <v>272</v>
      </c>
      <c r="C602" s="10"/>
      <c r="D602" s="10"/>
      <c r="E602" s="10" t="s">
        <v>80</v>
      </c>
      <c r="F602" s="10">
        <v>23.1</v>
      </c>
      <c r="G602" s="10" t="s">
        <v>36</v>
      </c>
      <c r="H602" s="10"/>
      <c r="I602" s="10">
        <f t="shared" si="177"/>
        <v>0</v>
      </c>
      <c r="J602" s="86" t="s">
        <v>76</v>
      </c>
      <c r="K602" s="10"/>
      <c r="L602" s="12">
        <f t="shared" si="171"/>
        <v>0</v>
      </c>
      <c r="M602" s="12"/>
      <c r="N602" s="12"/>
      <c r="O602" s="12">
        <f t="shared" si="172"/>
        <v>0</v>
      </c>
      <c r="P602" s="12"/>
      <c r="Q602" s="12"/>
      <c r="R602" s="12">
        <f t="shared" si="173"/>
        <v>0</v>
      </c>
      <c r="S602" s="12"/>
      <c r="T602" s="12"/>
      <c r="U602" s="12">
        <f t="shared" si="174"/>
        <v>0</v>
      </c>
      <c r="V602" s="12"/>
      <c r="W602" s="12"/>
      <c r="X602" s="12">
        <f t="shared" si="175"/>
        <v>0</v>
      </c>
      <c r="Y602" s="12"/>
      <c r="Z602" s="12"/>
      <c r="AA602" s="13">
        <f t="shared" si="176"/>
        <v>0</v>
      </c>
      <c r="AB602" s="14"/>
    </row>
    <row r="603" spans="1:28" ht="16.5" hidden="1" thickBot="1" x14ac:dyDescent="0.3">
      <c r="A603" s="53">
        <v>46046</v>
      </c>
      <c r="B603" s="31" t="s">
        <v>272</v>
      </c>
      <c r="C603" s="31"/>
      <c r="D603" s="31"/>
      <c r="E603" s="31" t="s">
        <v>168</v>
      </c>
      <c r="F603" s="31">
        <v>31.3</v>
      </c>
      <c r="G603" s="31" t="s">
        <v>36</v>
      </c>
      <c r="H603" s="31"/>
      <c r="I603" s="31">
        <f t="shared" si="177"/>
        <v>0</v>
      </c>
      <c r="J603" s="103" t="s">
        <v>76</v>
      </c>
      <c r="K603" s="31"/>
      <c r="L603" s="34">
        <f t="shared" si="171"/>
        <v>0</v>
      </c>
      <c r="M603" s="34"/>
      <c r="N603" s="34"/>
      <c r="O603" s="34">
        <f t="shared" si="172"/>
        <v>0</v>
      </c>
      <c r="P603" s="34"/>
      <c r="Q603" s="34"/>
      <c r="R603" s="34">
        <f t="shared" si="173"/>
        <v>0</v>
      </c>
      <c r="S603" s="34"/>
      <c r="T603" s="34"/>
      <c r="U603" s="34">
        <f t="shared" si="174"/>
        <v>0</v>
      </c>
      <c r="V603" s="34"/>
      <c r="W603" s="34"/>
      <c r="X603" s="34">
        <f t="shared" si="175"/>
        <v>0</v>
      </c>
      <c r="Y603" s="34"/>
      <c r="Z603" s="34"/>
      <c r="AA603" s="35">
        <f t="shared" si="176"/>
        <v>0</v>
      </c>
      <c r="AB603" s="36"/>
    </row>
    <row r="604" spans="1:28" ht="15.75" hidden="1" x14ac:dyDescent="0.25">
      <c r="A604" s="65">
        <v>46048</v>
      </c>
      <c r="B604" s="66" t="s">
        <v>400</v>
      </c>
      <c r="C604" s="66"/>
      <c r="D604" s="66" t="s">
        <v>28</v>
      </c>
      <c r="E604" s="66" t="s">
        <v>160</v>
      </c>
      <c r="F604" s="66">
        <v>1</v>
      </c>
      <c r="G604" s="66" t="s">
        <v>22</v>
      </c>
      <c r="H604" s="66">
        <v>400000</v>
      </c>
      <c r="I604" s="10">
        <f t="shared" si="177"/>
        <v>400000</v>
      </c>
      <c r="J604" s="84" t="s">
        <v>110</v>
      </c>
      <c r="K604" s="66"/>
      <c r="L604" s="12">
        <f t="shared" ref="L604" si="178">M604+N604</f>
        <v>0</v>
      </c>
      <c r="M604" s="12"/>
      <c r="N604" s="12"/>
      <c r="O604" s="12">
        <f t="shared" ref="O604" si="179">P604+Q604</f>
        <v>0</v>
      </c>
      <c r="P604" s="12"/>
      <c r="Q604" s="12"/>
      <c r="R604" s="12">
        <f t="shared" ref="R604" si="180">S604+T604</f>
        <v>400000</v>
      </c>
      <c r="S604" s="12">
        <v>400000</v>
      </c>
      <c r="T604" s="12"/>
      <c r="U604" s="12">
        <f t="shared" ref="U604" si="181">V604+W604</f>
        <v>0</v>
      </c>
      <c r="V604" s="12"/>
      <c r="W604" s="12"/>
      <c r="X604" s="12">
        <f t="shared" ref="X604" si="182">Y604+Z604</f>
        <v>0</v>
      </c>
      <c r="Y604" s="12"/>
      <c r="Z604" s="12"/>
      <c r="AA604" s="13">
        <f t="shared" ref="AA604" si="183">C604+I604-L604-O604-U604-X604-R604</f>
        <v>0</v>
      </c>
      <c r="AB604" s="14">
        <v>46048</v>
      </c>
    </row>
    <row r="605" spans="1:28" ht="15.75" hidden="1" x14ac:dyDescent="0.25">
      <c r="A605" s="65">
        <v>46048</v>
      </c>
      <c r="B605" s="10" t="s">
        <v>216</v>
      </c>
      <c r="C605" s="10"/>
      <c r="D605" s="10" t="s">
        <v>195</v>
      </c>
      <c r="E605" s="10" t="s">
        <v>129</v>
      </c>
      <c r="F605" s="10">
        <v>1000</v>
      </c>
      <c r="G605" s="10" t="s">
        <v>26</v>
      </c>
      <c r="H605" s="10">
        <v>4000</v>
      </c>
      <c r="I605" s="10">
        <f t="shared" si="177"/>
        <v>4000000</v>
      </c>
      <c r="J605" s="29" t="s">
        <v>110</v>
      </c>
      <c r="K605" s="10" t="s">
        <v>394</v>
      </c>
      <c r="L605" s="12">
        <f t="shared" ref="L605:L626" si="184">M605+N605</f>
        <v>0</v>
      </c>
      <c r="M605" s="12"/>
      <c r="N605" s="12"/>
      <c r="O605" s="12">
        <f t="shared" ref="O605:O626" si="185">P605+Q605</f>
        <v>4000000</v>
      </c>
      <c r="P605" s="12">
        <v>4000000</v>
      </c>
      <c r="Q605" s="12"/>
      <c r="R605" s="12">
        <f t="shared" ref="R605:R626" si="186">S605+T605</f>
        <v>0</v>
      </c>
      <c r="S605" s="12"/>
      <c r="T605" s="12"/>
      <c r="U605" s="12">
        <f t="shared" ref="U605:U626" si="187">V605+W605</f>
        <v>0</v>
      </c>
      <c r="V605" s="12"/>
      <c r="W605" s="12"/>
      <c r="X605" s="12">
        <f t="shared" ref="X605:X626" si="188">Y605+Z605</f>
        <v>0</v>
      </c>
      <c r="Y605" s="12"/>
      <c r="Z605" s="12"/>
      <c r="AA605" s="13">
        <f t="shared" ref="AA605:AA626" si="189">C605+I605-L605-O605-U605-X605-R605</f>
        <v>0</v>
      </c>
      <c r="AB605" s="14">
        <v>46052</v>
      </c>
    </row>
    <row r="606" spans="1:28" ht="15.75" hidden="1" x14ac:dyDescent="0.25">
      <c r="A606" s="65">
        <v>46048</v>
      </c>
      <c r="B606" s="10" t="s">
        <v>327</v>
      </c>
      <c r="C606" s="10"/>
      <c r="D606" s="10" t="s">
        <v>383</v>
      </c>
      <c r="E606" s="10" t="s">
        <v>107</v>
      </c>
      <c r="F606" s="10">
        <v>300</v>
      </c>
      <c r="G606" s="10" t="s">
        <v>36</v>
      </c>
      <c r="H606" s="10">
        <v>57000</v>
      </c>
      <c r="I606" s="10">
        <f t="shared" si="177"/>
        <v>17100000</v>
      </c>
      <c r="J606" s="29" t="s">
        <v>110</v>
      </c>
      <c r="K606" s="10"/>
      <c r="L606" s="12">
        <f t="shared" si="184"/>
        <v>0</v>
      </c>
      <c r="M606" s="12"/>
      <c r="N606" s="12"/>
      <c r="O606" s="12">
        <f t="shared" si="185"/>
        <v>17100000</v>
      </c>
      <c r="P606" s="12">
        <v>17100000</v>
      </c>
      <c r="Q606" s="12"/>
      <c r="R606" s="12">
        <f t="shared" si="186"/>
        <v>0</v>
      </c>
      <c r="S606" s="12"/>
      <c r="T606" s="12"/>
      <c r="U606" s="12">
        <f t="shared" si="187"/>
        <v>0</v>
      </c>
      <c r="V606" s="12"/>
      <c r="W606" s="12"/>
      <c r="X606" s="12">
        <f t="shared" si="188"/>
        <v>0</v>
      </c>
      <c r="Y606" s="12"/>
      <c r="Z606" s="12"/>
      <c r="AA606" s="13">
        <f t="shared" si="189"/>
        <v>0</v>
      </c>
      <c r="AB606" s="14">
        <v>46048</v>
      </c>
    </row>
    <row r="607" spans="1:28" ht="15.75" hidden="1" x14ac:dyDescent="0.25">
      <c r="A607" s="65">
        <v>46048</v>
      </c>
      <c r="B607" s="10" t="s">
        <v>327</v>
      </c>
      <c r="C607" s="10"/>
      <c r="D607" s="10" t="s">
        <v>383</v>
      </c>
      <c r="E607" s="10" t="s">
        <v>276</v>
      </c>
      <c r="F607" s="10">
        <v>25</v>
      </c>
      <c r="G607" s="10" t="s">
        <v>36</v>
      </c>
      <c r="H607" s="10">
        <v>57000</v>
      </c>
      <c r="I607" s="10">
        <f t="shared" si="177"/>
        <v>1425000</v>
      </c>
      <c r="J607" s="29" t="s">
        <v>110</v>
      </c>
      <c r="K607" s="10"/>
      <c r="L607" s="12">
        <f t="shared" si="184"/>
        <v>0</v>
      </c>
      <c r="M607" s="12"/>
      <c r="N607" s="12"/>
      <c r="O607" s="12">
        <f t="shared" si="185"/>
        <v>1425000</v>
      </c>
      <c r="P607" s="12">
        <v>1425000</v>
      </c>
      <c r="Q607" s="12"/>
      <c r="R607" s="12">
        <f t="shared" si="186"/>
        <v>0</v>
      </c>
      <c r="S607" s="12"/>
      <c r="T607" s="12"/>
      <c r="U607" s="12">
        <f t="shared" si="187"/>
        <v>0</v>
      </c>
      <c r="V607" s="12"/>
      <c r="W607" s="12"/>
      <c r="X607" s="12">
        <f t="shared" si="188"/>
        <v>0</v>
      </c>
      <c r="Y607" s="12"/>
      <c r="Z607" s="12"/>
      <c r="AA607" s="13">
        <f t="shared" si="189"/>
        <v>0</v>
      </c>
      <c r="AB607" s="14">
        <v>46048</v>
      </c>
    </row>
    <row r="608" spans="1:28" ht="15.75" hidden="1" x14ac:dyDescent="0.25">
      <c r="A608" s="65">
        <v>46048</v>
      </c>
      <c r="B608" s="10" t="s">
        <v>327</v>
      </c>
      <c r="C608" s="10"/>
      <c r="D608" s="10" t="s">
        <v>383</v>
      </c>
      <c r="E608" s="10" t="s">
        <v>205</v>
      </c>
      <c r="F608" s="10">
        <v>25</v>
      </c>
      <c r="G608" s="10" t="s">
        <v>36</v>
      </c>
      <c r="H608" s="10">
        <v>57000</v>
      </c>
      <c r="I608" s="10">
        <f t="shared" si="177"/>
        <v>1425000</v>
      </c>
      <c r="J608" s="29" t="s">
        <v>110</v>
      </c>
      <c r="K608" s="10"/>
      <c r="L608" s="12">
        <f t="shared" si="184"/>
        <v>0</v>
      </c>
      <c r="M608" s="12"/>
      <c r="N608" s="12"/>
      <c r="O608" s="12">
        <f t="shared" si="185"/>
        <v>1425000</v>
      </c>
      <c r="P608" s="12">
        <v>1425000</v>
      </c>
      <c r="Q608" s="12"/>
      <c r="R608" s="12">
        <f t="shared" si="186"/>
        <v>0</v>
      </c>
      <c r="S608" s="12"/>
      <c r="T608" s="12"/>
      <c r="U608" s="12">
        <f t="shared" si="187"/>
        <v>0</v>
      </c>
      <c r="V608" s="12"/>
      <c r="W608" s="12"/>
      <c r="X608" s="12">
        <f t="shared" si="188"/>
        <v>0</v>
      </c>
      <c r="Y608" s="12"/>
      <c r="Z608" s="12"/>
      <c r="AA608" s="13">
        <f t="shared" si="189"/>
        <v>0</v>
      </c>
      <c r="AB608" s="14">
        <v>46048</v>
      </c>
    </row>
    <row r="609" spans="1:28" ht="15.75" hidden="1" x14ac:dyDescent="0.25">
      <c r="A609" s="65">
        <v>46048</v>
      </c>
      <c r="B609" s="10" t="s">
        <v>275</v>
      </c>
      <c r="C609" s="10"/>
      <c r="D609" s="10" t="s">
        <v>32</v>
      </c>
      <c r="E609" s="10" t="s">
        <v>276</v>
      </c>
      <c r="F609" s="10">
        <v>25</v>
      </c>
      <c r="G609" s="10" t="s">
        <v>36</v>
      </c>
      <c r="H609" s="10">
        <v>55000</v>
      </c>
      <c r="I609" s="10">
        <f t="shared" si="177"/>
        <v>1375000</v>
      </c>
      <c r="J609" s="29" t="s">
        <v>110</v>
      </c>
      <c r="K609" s="10"/>
      <c r="L609" s="12">
        <f t="shared" si="184"/>
        <v>0</v>
      </c>
      <c r="M609" s="12"/>
      <c r="N609" s="12"/>
      <c r="O609" s="12">
        <f t="shared" si="185"/>
        <v>0</v>
      </c>
      <c r="P609" s="12"/>
      <c r="Q609" s="12"/>
      <c r="R609" s="12">
        <f t="shared" si="186"/>
        <v>1375000</v>
      </c>
      <c r="S609" s="12">
        <v>1375000</v>
      </c>
      <c r="T609" s="12"/>
      <c r="U609" s="12">
        <f t="shared" si="187"/>
        <v>0</v>
      </c>
      <c r="V609" s="12"/>
      <c r="W609" s="12"/>
      <c r="X609" s="12">
        <f t="shared" si="188"/>
        <v>0</v>
      </c>
      <c r="Y609" s="12"/>
      <c r="Z609" s="12"/>
      <c r="AA609" s="13">
        <f t="shared" si="189"/>
        <v>0</v>
      </c>
      <c r="AB609" s="14">
        <v>46048</v>
      </c>
    </row>
    <row r="610" spans="1:28" ht="15.75" hidden="1" x14ac:dyDescent="0.25">
      <c r="A610" s="65">
        <v>46048</v>
      </c>
      <c r="B610" s="10" t="s">
        <v>401</v>
      </c>
      <c r="C610" s="10"/>
      <c r="D610" s="10" t="s">
        <v>195</v>
      </c>
      <c r="E610" s="10" t="s">
        <v>160</v>
      </c>
      <c r="F610" s="10">
        <v>1</v>
      </c>
      <c r="G610" s="10" t="s">
        <v>22</v>
      </c>
      <c r="H610" s="10">
        <v>400000</v>
      </c>
      <c r="I610" s="10">
        <f t="shared" si="177"/>
        <v>400000</v>
      </c>
      <c r="J610" s="29" t="s">
        <v>110</v>
      </c>
      <c r="K610" s="10"/>
      <c r="L610" s="12">
        <f t="shared" si="184"/>
        <v>0</v>
      </c>
      <c r="M610" s="12"/>
      <c r="N610" s="12"/>
      <c r="O610" s="12">
        <f t="shared" si="185"/>
        <v>0</v>
      </c>
      <c r="P610" s="12"/>
      <c r="Q610" s="12"/>
      <c r="R610" s="12">
        <f t="shared" si="186"/>
        <v>400000</v>
      </c>
      <c r="S610" s="12">
        <v>400000</v>
      </c>
      <c r="T610" s="12"/>
      <c r="U610" s="12">
        <f t="shared" si="187"/>
        <v>0</v>
      </c>
      <c r="V610" s="12"/>
      <c r="W610" s="12"/>
      <c r="X610" s="12">
        <f t="shared" si="188"/>
        <v>0</v>
      </c>
      <c r="Y610" s="12"/>
      <c r="Z610" s="12"/>
      <c r="AA610" s="13">
        <f t="shared" si="189"/>
        <v>0</v>
      </c>
      <c r="AB610" s="14">
        <v>46048</v>
      </c>
    </row>
    <row r="611" spans="1:28" ht="15.75" hidden="1" x14ac:dyDescent="0.25">
      <c r="A611" s="65">
        <v>46048</v>
      </c>
      <c r="B611" s="10" t="s">
        <v>208</v>
      </c>
      <c r="C611" s="10"/>
      <c r="D611" s="10" t="s">
        <v>32</v>
      </c>
      <c r="E611" s="10" t="s">
        <v>92</v>
      </c>
      <c r="F611" s="10">
        <v>34</v>
      </c>
      <c r="G611" s="10" t="s">
        <v>36</v>
      </c>
      <c r="H611" s="10">
        <v>43000</v>
      </c>
      <c r="I611" s="10">
        <f t="shared" si="177"/>
        <v>1462000</v>
      </c>
      <c r="J611" s="52" t="s">
        <v>90</v>
      </c>
      <c r="K611" s="87" t="s">
        <v>251</v>
      </c>
      <c r="L611" s="12">
        <f t="shared" si="184"/>
        <v>0</v>
      </c>
      <c r="M611" s="12"/>
      <c r="N611" s="12"/>
      <c r="O611" s="12">
        <f t="shared" si="185"/>
        <v>0</v>
      </c>
      <c r="P611" s="12"/>
      <c r="Q611" s="12"/>
      <c r="R611" s="12">
        <f t="shared" si="186"/>
        <v>0</v>
      </c>
      <c r="S611" s="12"/>
      <c r="T611" s="12"/>
      <c r="U611" s="12">
        <f t="shared" si="187"/>
        <v>0</v>
      </c>
      <c r="V611" s="12"/>
      <c r="W611" s="12"/>
      <c r="X611" s="12">
        <f t="shared" si="188"/>
        <v>0</v>
      </c>
      <c r="Y611" s="12"/>
      <c r="Z611" s="12"/>
      <c r="AA611" s="13">
        <f t="shared" si="189"/>
        <v>1462000</v>
      </c>
      <c r="AB611" s="14"/>
    </row>
    <row r="612" spans="1:28" ht="15.75" hidden="1" x14ac:dyDescent="0.25">
      <c r="A612" s="65">
        <v>46048</v>
      </c>
      <c r="B612" s="10" t="s">
        <v>285</v>
      </c>
      <c r="C612" s="10"/>
      <c r="D612" s="10" t="s">
        <v>28</v>
      </c>
      <c r="E612" s="10" t="s">
        <v>98</v>
      </c>
      <c r="F612" s="10">
        <v>10400</v>
      </c>
      <c r="G612" s="10" t="s">
        <v>26</v>
      </c>
      <c r="H612" s="10">
        <v>1800</v>
      </c>
      <c r="I612" s="10">
        <f t="shared" si="177"/>
        <v>18720000</v>
      </c>
      <c r="J612" s="29" t="s">
        <v>110</v>
      </c>
      <c r="K612" s="10" t="s">
        <v>301</v>
      </c>
      <c r="L612" s="12">
        <f t="shared" si="184"/>
        <v>0</v>
      </c>
      <c r="M612" s="12"/>
      <c r="N612" s="12"/>
      <c r="O612" s="12">
        <f t="shared" si="185"/>
        <v>18720000</v>
      </c>
      <c r="P612" s="12">
        <v>18720000</v>
      </c>
      <c r="Q612" s="12"/>
      <c r="R612" s="12">
        <f t="shared" si="186"/>
        <v>0</v>
      </c>
      <c r="S612" s="12"/>
      <c r="T612" s="12"/>
      <c r="U612" s="12">
        <f t="shared" si="187"/>
        <v>0</v>
      </c>
      <c r="V612" s="12"/>
      <c r="W612" s="12"/>
      <c r="X612" s="12">
        <f t="shared" si="188"/>
        <v>0</v>
      </c>
      <c r="Y612" s="12"/>
      <c r="Z612" s="12"/>
      <c r="AA612" s="13">
        <f t="shared" si="189"/>
        <v>0</v>
      </c>
      <c r="AB612" s="14">
        <v>46050</v>
      </c>
    </row>
    <row r="613" spans="1:28" ht="15.75" hidden="1" x14ac:dyDescent="0.25">
      <c r="A613" s="65">
        <v>46048</v>
      </c>
      <c r="B613" s="10" t="s">
        <v>210</v>
      </c>
      <c r="C613" s="10"/>
      <c r="D613" s="10" t="s">
        <v>195</v>
      </c>
      <c r="E613" s="10" t="s">
        <v>38</v>
      </c>
      <c r="F613" s="10">
        <v>10</v>
      </c>
      <c r="G613" s="10" t="s">
        <v>39</v>
      </c>
      <c r="H613" s="10">
        <v>45000</v>
      </c>
      <c r="I613" s="10">
        <f t="shared" si="177"/>
        <v>450000</v>
      </c>
      <c r="J613" s="29" t="s">
        <v>110</v>
      </c>
      <c r="K613" s="10"/>
      <c r="L613" s="12">
        <f t="shared" si="184"/>
        <v>0</v>
      </c>
      <c r="M613" s="12"/>
      <c r="N613" s="12"/>
      <c r="O613" s="12">
        <f t="shared" si="185"/>
        <v>450000</v>
      </c>
      <c r="P613" s="12">
        <v>450000</v>
      </c>
      <c r="Q613" s="12"/>
      <c r="R613" s="12">
        <f t="shared" si="186"/>
        <v>0</v>
      </c>
      <c r="S613" s="12"/>
      <c r="T613" s="12"/>
      <c r="U613" s="12">
        <f t="shared" si="187"/>
        <v>0</v>
      </c>
      <c r="V613" s="12"/>
      <c r="W613" s="12"/>
      <c r="X613" s="12">
        <f t="shared" si="188"/>
        <v>0</v>
      </c>
      <c r="Y613" s="12"/>
      <c r="Z613" s="12"/>
      <c r="AA613" s="13">
        <f t="shared" si="189"/>
        <v>0</v>
      </c>
      <c r="AB613" s="14">
        <v>46048</v>
      </c>
    </row>
    <row r="614" spans="1:28" ht="15.75" hidden="1" x14ac:dyDescent="0.25">
      <c r="A614" s="65">
        <v>46048</v>
      </c>
      <c r="B614" s="10" t="s">
        <v>210</v>
      </c>
      <c r="C614" s="10"/>
      <c r="D614" s="10" t="s">
        <v>195</v>
      </c>
      <c r="E614" s="10" t="s">
        <v>211</v>
      </c>
      <c r="F614" s="10">
        <v>7.5</v>
      </c>
      <c r="G614" s="10" t="s">
        <v>36</v>
      </c>
      <c r="H614" s="10">
        <v>100000</v>
      </c>
      <c r="I614" s="10">
        <f t="shared" si="177"/>
        <v>750000</v>
      </c>
      <c r="J614" s="29" t="s">
        <v>110</v>
      </c>
      <c r="K614" s="10"/>
      <c r="L614" s="12">
        <f t="shared" si="184"/>
        <v>0</v>
      </c>
      <c r="M614" s="12"/>
      <c r="N614" s="12"/>
      <c r="O614" s="12">
        <f t="shared" si="185"/>
        <v>750000</v>
      </c>
      <c r="P614" s="12">
        <v>750000</v>
      </c>
      <c r="Q614" s="12"/>
      <c r="R614" s="12">
        <f t="shared" si="186"/>
        <v>0</v>
      </c>
      <c r="S614" s="12"/>
      <c r="T614" s="12"/>
      <c r="U614" s="12">
        <f t="shared" si="187"/>
        <v>0</v>
      </c>
      <c r="V614" s="12"/>
      <c r="W614" s="12"/>
      <c r="X614" s="12">
        <f t="shared" si="188"/>
        <v>0</v>
      </c>
      <c r="Y614" s="12"/>
      <c r="Z614" s="12"/>
      <c r="AA614" s="13">
        <f t="shared" si="189"/>
        <v>0</v>
      </c>
      <c r="AB614" s="14">
        <v>46048</v>
      </c>
    </row>
    <row r="615" spans="1:28" ht="15.75" hidden="1" x14ac:dyDescent="0.25">
      <c r="A615" s="65">
        <v>46048</v>
      </c>
      <c r="B615" s="10" t="s">
        <v>200</v>
      </c>
      <c r="C615" s="10"/>
      <c r="D615" s="10" t="s">
        <v>195</v>
      </c>
      <c r="E615" s="10" t="s">
        <v>201</v>
      </c>
      <c r="F615" s="10">
        <v>500</v>
      </c>
      <c r="G615" s="10" t="s">
        <v>39</v>
      </c>
      <c r="H615" s="10">
        <v>42500</v>
      </c>
      <c r="I615" s="10">
        <f t="shared" si="177"/>
        <v>21250000</v>
      </c>
      <c r="J615" s="52" t="s">
        <v>90</v>
      </c>
      <c r="K615" s="10" t="s">
        <v>375</v>
      </c>
      <c r="L615" s="12">
        <f t="shared" si="184"/>
        <v>0</v>
      </c>
      <c r="M615" s="12"/>
      <c r="N615" s="12"/>
      <c r="O615" s="12">
        <f t="shared" si="185"/>
        <v>0</v>
      </c>
      <c r="P615" s="12"/>
      <c r="Q615" s="12"/>
      <c r="R615" s="12">
        <f t="shared" si="186"/>
        <v>0</v>
      </c>
      <c r="S615" s="12"/>
      <c r="T615" s="12"/>
      <c r="U615" s="12">
        <f t="shared" si="187"/>
        <v>0</v>
      </c>
      <c r="V615" s="12"/>
      <c r="W615" s="12"/>
      <c r="X615" s="12">
        <f t="shared" si="188"/>
        <v>0</v>
      </c>
      <c r="Y615" s="12"/>
      <c r="Z615" s="12"/>
      <c r="AA615" s="13">
        <f t="shared" si="189"/>
        <v>21250000</v>
      </c>
      <c r="AB615" s="14"/>
    </row>
    <row r="616" spans="1:28" ht="15.75" hidden="1" x14ac:dyDescent="0.25">
      <c r="A616" s="65">
        <v>46048</v>
      </c>
      <c r="B616" s="10" t="s">
        <v>200</v>
      </c>
      <c r="C616" s="10"/>
      <c r="D616" s="10" t="s">
        <v>195</v>
      </c>
      <c r="E616" s="10" t="s">
        <v>130</v>
      </c>
      <c r="F616" s="10">
        <v>20</v>
      </c>
      <c r="G616" s="10" t="s">
        <v>67</v>
      </c>
      <c r="H616" s="10">
        <v>50000</v>
      </c>
      <c r="I616" s="10">
        <f t="shared" si="177"/>
        <v>1000000</v>
      </c>
      <c r="J616" s="52" t="s">
        <v>90</v>
      </c>
      <c r="K616" s="10" t="s">
        <v>375</v>
      </c>
      <c r="L616" s="12">
        <f t="shared" si="184"/>
        <v>0</v>
      </c>
      <c r="M616" s="12"/>
      <c r="N616" s="12"/>
      <c r="O616" s="12">
        <f t="shared" si="185"/>
        <v>0</v>
      </c>
      <c r="P616" s="12"/>
      <c r="Q616" s="12"/>
      <c r="R616" s="12">
        <f t="shared" si="186"/>
        <v>0</v>
      </c>
      <c r="S616" s="12"/>
      <c r="T616" s="12"/>
      <c r="U616" s="12">
        <f t="shared" si="187"/>
        <v>0</v>
      </c>
      <c r="V616" s="12"/>
      <c r="W616" s="12"/>
      <c r="X616" s="12">
        <f t="shared" si="188"/>
        <v>0</v>
      </c>
      <c r="Y616" s="12"/>
      <c r="Z616" s="12"/>
      <c r="AA616" s="13">
        <f t="shared" si="189"/>
        <v>1000000</v>
      </c>
      <c r="AB616" s="14"/>
    </row>
    <row r="617" spans="1:28" ht="15.75" hidden="1" x14ac:dyDescent="0.25">
      <c r="A617" s="65">
        <v>46048</v>
      </c>
      <c r="B617" s="10" t="s">
        <v>200</v>
      </c>
      <c r="C617" s="10"/>
      <c r="D617" s="10" t="s">
        <v>195</v>
      </c>
      <c r="E617" s="10" t="s">
        <v>114</v>
      </c>
      <c r="F617" s="10">
        <v>20</v>
      </c>
      <c r="G617" s="10" t="s">
        <v>67</v>
      </c>
      <c r="H617" s="10">
        <v>50000</v>
      </c>
      <c r="I617" s="10">
        <f t="shared" si="177"/>
        <v>1000000</v>
      </c>
      <c r="J617" s="52" t="s">
        <v>90</v>
      </c>
      <c r="K617" s="10" t="s">
        <v>375</v>
      </c>
      <c r="L617" s="12">
        <f t="shared" si="184"/>
        <v>0</v>
      </c>
      <c r="M617" s="12"/>
      <c r="N617" s="12"/>
      <c r="O617" s="12">
        <f t="shared" si="185"/>
        <v>0</v>
      </c>
      <c r="P617" s="12"/>
      <c r="Q617" s="12"/>
      <c r="R617" s="12">
        <f t="shared" si="186"/>
        <v>0</v>
      </c>
      <c r="S617" s="12"/>
      <c r="T617" s="12"/>
      <c r="U617" s="12">
        <f t="shared" si="187"/>
        <v>0</v>
      </c>
      <c r="V617" s="12"/>
      <c r="W617" s="12"/>
      <c r="X617" s="12">
        <f t="shared" si="188"/>
        <v>0</v>
      </c>
      <c r="Y617" s="12"/>
      <c r="Z617" s="12"/>
      <c r="AA617" s="13">
        <f t="shared" si="189"/>
        <v>1000000</v>
      </c>
      <c r="AB617" s="14"/>
    </row>
    <row r="618" spans="1:28" ht="15.75" hidden="1" x14ac:dyDescent="0.25">
      <c r="A618" s="65">
        <v>46048</v>
      </c>
      <c r="B618" s="10" t="s">
        <v>200</v>
      </c>
      <c r="C618" s="10"/>
      <c r="D618" s="10" t="s">
        <v>195</v>
      </c>
      <c r="E618" s="10" t="s">
        <v>116</v>
      </c>
      <c r="F618" s="10">
        <v>20</v>
      </c>
      <c r="G618" s="10" t="s">
        <v>67</v>
      </c>
      <c r="H618" s="10">
        <v>65000</v>
      </c>
      <c r="I618" s="10">
        <f t="shared" si="177"/>
        <v>1300000</v>
      </c>
      <c r="J618" s="52" t="s">
        <v>90</v>
      </c>
      <c r="K618" s="10" t="s">
        <v>375</v>
      </c>
      <c r="L618" s="12">
        <f t="shared" si="184"/>
        <v>0</v>
      </c>
      <c r="M618" s="12"/>
      <c r="N618" s="12"/>
      <c r="O618" s="12">
        <f t="shared" si="185"/>
        <v>0</v>
      </c>
      <c r="P618" s="12"/>
      <c r="Q618" s="12"/>
      <c r="R618" s="12">
        <f t="shared" si="186"/>
        <v>0</v>
      </c>
      <c r="S618" s="12"/>
      <c r="T618" s="12"/>
      <c r="U618" s="12">
        <f t="shared" si="187"/>
        <v>0</v>
      </c>
      <c r="V618" s="12"/>
      <c r="W618" s="12"/>
      <c r="X618" s="12">
        <f t="shared" si="188"/>
        <v>0</v>
      </c>
      <c r="Y618" s="12"/>
      <c r="Z618" s="12"/>
      <c r="AA618" s="13">
        <f t="shared" si="189"/>
        <v>1300000</v>
      </c>
      <c r="AB618" s="14"/>
    </row>
    <row r="619" spans="1:28" ht="15.75" hidden="1" x14ac:dyDescent="0.25">
      <c r="A619" s="28">
        <v>46048</v>
      </c>
      <c r="B619" s="10" t="s">
        <v>330</v>
      </c>
      <c r="C619" s="10"/>
      <c r="D619" s="10" t="s">
        <v>206</v>
      </c>
      <c r="E619" s="10" t="s">
        <v>371</v>
      </c>
      <c r="F619" s="10">
        <v>20</v>
      </c>
      <c r="G619" s="10" t="s">
        <v>67</v>
      </c>
      <c r="H619" s="10">
        <v>45000</v>
      </c>
      <c r="I619" s="10">
        <f t="shared" si="177"/>
        <v>900000</v>
      </c>
      <c r="J619" s="29" t="s">
        <v>113</v>
      </c>
      <c r="K619" s="10"/>
      <c r="L619" s="12">
        <f t="shared" si="184"/>
        <v>900000</v>
      </c>
      <c r="M619" s="12">
        <v>900000</v>
      </c>
      <c r="N619" s="12"/>
      <c r="O619" s="12">
        <f t="shared" si="185"/>
        <v>0</v>
      </c>
      <c r="P619" s="12"/>
      <c r="Q619" s="12"/>
      <c r="R619" s="12">
        <f t="shared" si="186"/>
        <v>0</v>
      </c>
      <c r="S619" s="12"/>
      <c r="T619" s="12"/>
      <c r="U619" s="12">
        <f t="shared" si="187"/>
        <v>0</v>
      </c>
      <c r="V619" s="12"/>
      <c r="W619" s="12"/>
      <c r="X619" s="12">
        <f t="shared" si="188"/>
        <v>0</v>
      </c>
      <c r="Y619" s="12"/>
      <c r="Z619" s="12"/>
      <c r="AA619" s="13">
        <f t="shared" si="189"/>
        <v>0</v>
      </c>
      <c r="AB619" s="14">
        <v>46048</v>
      </c>
    </row>
    <row r="620" spans="1:28" ht="15.75" hidden="1" x14ac:dyDescent="0.25">
      <c r="A620" s="65">
        <v>46048</v>
      </c>
      <c r="B620" s="10" t="s">
        <v>330</v>
      </c>
      <c r="C620" s="10"/>
      <c r="D620" s="10" t="s">
        <v>206</v>
      </c>
      <c r="E620" s="10" t="s">
        <v>130</v>
      </c>
      <c r="F620" s="10">
        <v>40</v>
      </c>
      <c r="G620" s="10" t="s">
        <v>67</v>
      </c>
      <c r="H620" s="10">
        <v>50000</v>
      </c>
      <c r="I620" s="10">
        <f t="shared" si="177"/>
        <v>2000000</v>
      </c>
      <c r="J620" s="29" t="s">
        <v>113</v>
      </c>
      <c r="K620" s="10"/>
      <c r="L620" s="12">
        <f t="shared" si="184"/>
        <v>2000000</v>
      </c>
      <c r="M620" s="12">
        <v>2000000</v>
      </c>
      <c r="N620" s="12"/>
      <c r="O620" s="12">
        <f t="shared" si="185"/>
        <v>0</v>
      </c>
      <c r="P620" s="12"/>
      <c r="Q620" s="12"/>
      <c r="R620" s="12">
        <f t="shared" si="186"/>
        <v>0</v>
      </c>
      <c r="S620" s="12"/>
      <c r="T620" s="12"/>
      <c r="U620" s="12">
        <f t="shared" si="187"/>
        <v>0</v>
      </c>
      <c r="V620" s="12"/>
      <c r="W620" s="12"/>
      <c r="X620" s="12">
        <f t="shared" si="188"/>
        <v>0</v>
      </c>
      <c r="Y620" s="12"/>
      <c r="Z620" s="12"/>
      <c r="AA620" s="13">
        <f t="shared" si="189"/>
        <v>0</v>
      </c>
      <c r="AB620" s="14">
        <v>46048</v>
      </c>
    </row>
    <row r="621" spans="1:28" ht="15.75" hidden="1" x14ac:dyDescent="0.25">
      <c r="A621" s="65">
        <v>46048</v>
      </c>
      <c r="B621" s="10" t="s">
        <v>402</v>
      </c>
      <c r="C621" s="10"/>
      <c r="D621" s="10" t="s">
        <v>195</v>
      </c>
      <c r="E621" s="10" t="s">
        <v>177</v>
      </c>
      <c r="F621" s="10">
        <v>12</v>
      </c>
      <c r="G621" s="10" t="s">
        <v>61</v>
      </c>
      <c r="H621" s="10">
        <v>435000</v>
      </c>
      <c r="I621" s="10">
        <f t="shared" si="177"/>
        <v>5220000</v>
      </c>
      <c r="J621" s="29" t="s">
        <v>110</v>
      </c>
      <c r="K621" s="10"/>
      <c r="L621" s="12">
        <f t="shared" si="184"/>
        <v>0</v>
      </c>
      <c r="M621" s="12"/>
      <c r="N621" s="12"/>
      <c r="O621" s="12">
        <f t="shared" si="185"/>
        <v>5220000</v>
      </c>
      <c r="P621" s="12">
        <v>5220000</v>
      </c>
      <c r="Q621" s="12"/>
      <c r="R621" s="12">
        <f t="shared" si="186"/>
        <v>0</v>
      </c>
      <c r="S621" s="12"/>
      <c r="T621" s="12"/>
      <c r="U621" s="12">
        <f t="shared" si="187"/>
        <v>0</v>
      </c>
      <c r="V621" s="12"/>
      <c r="W621" s="12"/>
      <c r="X621" s="12">
        <f t="shared" si="188"/>
        <v>0</v>
      </c>
      <c r="Y621" s="12"/>
      <c r="Z621" s="12"/>
      <c r="AA621" s="13">
        <f t="shared" si="189"/>
        <v>0</v>
      </c>
      <c r="AB621" s="14">
        <v>46048</v>
      </c>
    </row>
    <row r="622" spans="1:28" ht="15.75" hidden="1" x14ac:dyDescent="0.25">
      <c r="A622" s="65">
        <v>46048</v>
      </c>
      <c r="B622" s="10" t="s">
        <v>402</v>
      </c>
      <c r="C622" s="10"/>
      <c r="D622" s="10" t="s">
        <v>195</v>
      </c>
      <c r="E622" s="10" t="s">
        <v>403</v>
      </c>
      <c r="F622" s="10">
        <v>8</v>
      </c>
      <c r="G622" s="10" t="s">
        <v>61</v>
      </c>
      <c r="H622" s="10">
        <v>435000</v>
      </c>
      <c r="I622" s="10">
        <f t="shared" si="177"/>
        <v>3480000</v>
      </c>
      <c r="J622" s="29" t="s">
        <v>110</v>
      </c>
      <c r="K622" s="10"/>
      <c r="L622" s="12">
        <f t="shared" si="184"/>
        <v>0</v>
      </c>
      <c r="M622" s="12"/>
      <c r="N622" s="12"/>
      <c r="O622" s="12">
        <f t="shared" si="185"/>
        <v>3480000</v>
      </c>
      <c r="P622" s="12">
        <v>3480000</v>
      </c>
      <c r="Q622" s="12"/>
      <c r="R622" s="12">
        <f t="shared" si="186"/>
        <v>0</v>
      </c>
      <c r="S622" s="12"/>
      <c r="T622" s="12"/>
      <c r="U622" s="12">
        <f t="shared" si="187"/>
        <v>0</v>
      </c>
      <c r="V622" s="12"/>
      <c r="W622" s="12"/>
      <c r="X622" s="12">
        <f t="shared" si="188"/>
        <v>0</v>
      </c>
      <c r="Y622" s="12"/>
      <c r="Z622" s="12"/>
      <c r="AA622" s="13">
        <f t="shared" si="189"/>
        <v>0</v>
      </c>
      <c r="AB622" s="14">
        <v>46048</v>
      </c>
    </row>
    <row r="623" spans="1:28" ht="15.75" hidden="1" x14ac:dyDescent="0.25">
      <c r="A623" s="65">
        <v>46048</v>
      </c>
      <c r="B623" s="10" t="s">
        <v>402</v>
      </c>
      <c r="C623" s="10"/>
      <c r="D623" s="10" t="s">
        <v>195</v>
      </c>
      <c r="E623" s="10" t="s">
        <v>298</v>
      </c>
      <c r="F623" s="10">
        <v>10</v>
      </c>
      <c r="G623" s="10" t="s">
        <v>61</v>
      </c>
      <c r="H623" s="10">
        <v>230000</v>
      </c>
      <c r="I623" s="10">
        <f t="shared" si="177"/>
        <v>2300000</v>
      </c>
      <c r="J623" s="29" t="s">
        <v>110</v>
      </c>
      <c r="K623" s="10"/>
      <c r="L623" s="12">
        <f t="shared" si="184"/>
        <v>0</v>
      </c>
      <c r="M623" s="12"/>
      <c r="N623" s="12"/>
      <c r="O623" s="12">
        <f t="shared" si="185"/>
        <v>2300000</v>
      </c>
      <c r="P623" s="12">
        <v>2300000</v>
      </c>
      <c r="Q623" s="12"/>
      <c r="R623" s="12">
        <f t="shared" si="186"/>
        <v>0</v>
      </c>
      <c r="S623" s="12"/>
      <c r="T623" s="12"/>
      <c r="U623" s="12">
        <f t="shared" si="187"/>
        <v>0</v>
      </c>
      <c r="V623" s="12"/>
      <c r="W623" s="12"/>
      <c r="X623" s="12">
        <f t="shared" si="188"/>
        <v>0</v>
      </c>
      <c r="Y623" s="12"/>
      <c r="Z623" s="12"/>
      <c r="AA623" s="13">
        <f t="shared" si="189"/>
        <v>0</v>
      </c>
      <c r="AB623" s="14">
        <v>46049</v>
      </c>
    </row>
    <row r="624" spans="1:28" ht="15.75" hidden="1" x14ac:dyDescent="0.25">
      <c r="A624" s="65">
        <v>46048</v>
      </c>
      <c r="B624" s="10" t="s">
        <v>402</v>
      </c>
      <c r="C624" s="10"/>
      <c r="D624" s="10" t="s">
        <v>195</v>
      </c>
      <c r="E624" s="10" t="s">
        <v>404</v>
      </c>
      <c r="F624" s="10">
        <v>10</v>
      </c>
      <c r="G624" s="10" t="s">
        <v>61</v>
      </c>
      <c r="H624" s="10"/>
      <c r="I624" s="10">
        <f t="shared" si="177"/>
        <v>0</v>
      </c>
      <c r="J624" s="29" t="s">
        <v>217</v>
      </c>
      <c r="K624" s="10" t="s">
        <v>405</v>
      </c>
      <c r="L624" s="12">
        <f t="shared" si="184"/>
        <v>0</v>
      </c>
      <c r="M624" s="12"/>
      <c r="N624" s="12"/>
      <c r="O624" s="12">
        <f t="shared" si="185"/>
        <v>0</v>
      </c>
      <c r="P624" s="12"/>
      <c r="Q624" s="12"/>
      <c r="R624" s="12">
        <f t="shared" si="186"/>
        <v>0</v>
      </c>
      <c r="S624" s="12"/>
      <c r="T624" s="12"/>
      <c r="U624" s="12">
        <f t="shared" si="187"/>
        <v>0</v>
      </c>
      <c r="V624" s="12"/>
      <c r="W624" s="12"/>
      <c r="X624" s="12">
        <f t="shared" si="188"/>
        <v>0</v>
      </c>
      <c r="Y624" s="12"/>
      <c r="Z624" s="12"/>
      <c r="AA624" s="13">
        <f t="shared" si="189"/>
        <v>0</v>
      </c>
      <c r="AB624" s="14"/>
    </row>
    <row r="625" spans="1:28" ht="16.5" hidden="1" thickBot="1" x14ac:dyDescent="0.3">
      <c r="A625" s="53">
        <v>46048</v>
      </c>
      <c r="B625" s="31" t="s">
        <v>176</v>
      </c>
      <c r="C625" s="31"/>
      <c r="D625" s="31" t="s">
        <v>195</v>
      </c>
      <c r="E625" s="31" t="s">
        <v>175</v>
      </c>
      <c r="F625" s="31">
        <v>6000</v>
      </c>
      <c r="G625" s="31" t="s">
        <v>26</v>
      </c>
      <c r="H625" s="31">
        <v>875</v>
      </c>
      <c r="I625" s="31">
        <f t="shared" si="177"/>
        <v>5250000</v>
      </c>
      <c r="J625" s="64" t="s">
        <v>30</v>
      </c>
      <c r="K625" s="31" t="s">
        <v>394</v>
      </c>
      <c r="L625" s="34">
        <f t="shared" si="184"/>
        <v>0</v>
      </c>
      <c r="M625" s="34"/>
      <c r="N625" s="34"/>
      <c r="O625" s="34">
        <f t="shared" si="185"/>
        <v>0</v>
      </c>
      <c r="P625" s="34"/>
      <c r="Q625" s="34"/>
      <c r="R625" s="34">
        <f t="shared" si="186"/>
        <v>0</v>
      </c>
      <c r="S625" s="34"/>
      <c r="T625" s="34"/>
      <c r="U625" s="34">
        <f t="shared" si="187"/>
        <v>0</v>
      </c>
      <c r="V625" s="34"/>
      <c r="W625" s="34"/>
      <c r="X625" s="34">
        <f t="shared" si="188"/>
        <v>0</v>
      </c>
      <c r="Y625" s="34"/>
      <c r="Z625" s="34"/>
      <c r="AA625" s="35">
        <f t="shared" si="189"/>
        <v>5250000</v>
      </c>
      <c r="AB625" s="36"/>
    </row>
    <row r="626" spans="1:28" ht="15.75" hidden="1" x14ac:dyDescent="0.25">
      <c r="A626" s="65">
        <v>46049</v>
      </c>
      <c r="B626" s="66" t="s">
        <v>339</v>
      </c>
      <c r="C626" s="66"/>
      <c r="D626" s="66" t="s">
        <v>383</v>
      </c>
      <c r="E626" s="66" t="s">
        <v>104</v>
      </c>
      <c r="F626" s="66">
        <v>3000</v>
      </c>
      <c r="G626" s="66" t="s">
        <v>26</v>
      </c>
      <c r="H626" s="66">
        <v>1900</v>
      </c>
      <c r="I626" s="10">
        <f t="shared" si="177"/>
        <v>5700000</v>
      </c>
      <c r="J626" s="29" t="s">
        <v>110</v>
      </c>
      <c r="K626" s="66"/>
      <c r="L626" s="12">
        <f t="shared" si="184"/>
        <v>0</v>
      </c>
      <c r="M626" s="12"/>
      <c r="N626" s="12"/>
      <c r="O626" s="12">
        <f t="shared" si="185"/>
        <v>5700000</v>
      </c>
      <c r="P626" s="12">
        <v>5700000</v>
      </c>
      <c r="Q626" s="12"/>
      <c r="R626" s="12">
        <f t="shared" si="186"/>
        <v>0</v>
      </c>
      <c r="S626" s="12"/>
      <c r="T626" s="12"/>
      <c r="U626" s="12">
        <f t="shared" si="187"/>
        <v>0</v>
      </c>
      <c r="V626" s="12"/>
      <c r="W626" s="12"/>
      <c r="X626" s="12">
        <f t="shared" si="188"/>
        <v>0</v>
      </c>
      <c r="Y626" s="12"/>
      <c r="Z626" s="12"/>
      <c r="AA626" s="13">
        <f t="shared" si="189"/>
        <v>0</v>
      </c>
      <c r="AB626" s="14">
        <v>46049</v>
      </c>
    </row>
    <row r="627" spans="1:28" ht="15.75" hidden="1" x14ac:dyDescent="0.25">
      <c r="A627" s="65">
        <v>46049</v>
      </c>
      <c r="B627" s="10" t="s">
        <v>323</v>
      </c>
      <c r="C627" s="10"/>
      <c r="D627" s="10" t="s">
        <v>32</v>
      </c>
      <c r="E627" s="10" t="s">
        <v>107</v>
      </c>
      <c r="F627" s="10">
        <v>20</v>
      </c>
      <c r="G627" s="10" t="s">
        <v>36</v>
      </c>
      <c r="H627" s="10">
        <v>60000</v>
      </c>
      <c r="I627" s="10">
        <f t="shared" si="177"/>
        <v>1200000</v>
      </c>
      <c r="J627" s="29" t="s">
        <v>113</v>
      </c>
      <c r="K627" s="10"/>
      <c r="L627" s="12">
        <f t="shared" ref="L627:L649" si="190">M627+N627</f>
        <v>1200000</v>
      </c>
      <c r="M627" s="12">
        <v>1200000</v>
      </c>
      <c r="N627" s="12"/>
      <c r="O627" s="12">
        <f t="shared" ref="O627:O649" si="191">P627+Q627</f>
        <v>0</v>
      </c>
      <c r="P627" s="12"/>
      <c r="Q627" s="12"/>
      <c r="R627" s="12">
        <f t="shared" ref="R627:R649" si="192">S627+T627</f>
        <v>0</v>
      </c>
      <c r="S627" s="12"/>
      <c r="T627" s="12"/>
      <c r="U627" s="12">
        <f t="shared" ref="U627:U649" si="193">V627+W627</f>
        <v>0</v>
      </c>
      <c r="V627" s="12"/>
      <c r="W627" s="12"/>
      <c r="X627" s="12">
        <f t="shared" ref="X627:X649" si="194">Y627+Z627</f>
        <v>0</v>
      </c>
      <c r="Y627" s="12"/>
      <c r="Z627" s="12"/>
      <c r="AA627" s="13">
        <f t="shared" ref="AA627:AA649" si="195">C627+I627-L627-O627-U627-X627-R627</f>
        <v>0</v>
      </c>
      <c r="AB627" s="14">
        <v>46049</v>
      </c>
    </row>
    <row r="628" spans="1:28" ht="15.75" hidden="1" x14ac:dyDescent="0.25">
      <c r="A628" s="65">
        <v>46049</v>
      </c>
      <c r="B628" s="10" t="s">
        <v>245</v>
      </c>
      <c r="C628" s="10"/>
      <c r="D628" s="10" t="s">
        <v>195</v>
      </c>
      <c r="E628" s="10" t="s">
        <v>344</v>
      </c>
      <c r="F628" s="10">
        <v>27.8</v>
      </c>
      <c r="G628" s="10" t="s">
        <v>36</v>
      </c>
      <c r="H628" s="10">
        <v>43000</v>
      </c>
      <c r="I628" s="10">
        <f t="shared" si="177"/>
        <v>1195400</v>
      </c>
      <c r="J628" s="29" t="s">
        <v>110</v>
      </c>
      <c r="K628" s="10"/>
      <c r="L628" s="12">
        <f t="shared" si="190"/>
        <v>0</v>
      </c>
      <c r="M628" s="12"/>
      <c r="N628" s="12"/>
      <c r="O628" s="12">
        <f t="shared" si="191"/>
        <v>1195400</v>
      </c>
      <c r="P628" s="12">
        <v>1195400</v>
      </c>
      <c r="Q628" s="12"/>
      <c r="R628" s="12">
        <f t="shared" si="192"/>
        <v>0</v>
      </c>
      <c r="S628" s="12"/>
      <c r="T628" s="12"/>
      <c r="U628" s="12">
        <f t="shared" si="193"/>
        <v>0</v>
      </c>
      <c r="V628" s="12"/>
      <c r="W628" s="12"/>
      <c r="X628" s="12">
        <f t="shared" si="194"/>
        <v>0</v>
      </c>
      <c r="Y628" s="12"/>
      <c r="Z628" s="12"/>
      <c r="AA628" s="13">
        <f t="shared" si="195"/>
        <v>0</v>
      </c>
      <c r="AB628" s="14">
        <v>46049</v>
      </c>
    </row>
    <row r="629" spans="1:28" ht="15.75" hidden="1" x14ac:dyDescent="0.25">
      <c r="A629" s="65">
        <v>46049</v>
      </c>
      <c r="B629" s="10" t="s">
        <v>245</v>
      </c>
      <c r="C629" s="10"/>
      <c r="D629" s="10" t="s">
        <v>195</v>
      </c>
      <c r="E629" s="10" t="s">
        <v>107</v>
      </c>
      <c r="F629" s="10">
        <v>40</v>
      </c>
      <c r="G629" s="10" t="s">
        <v>36</v>
      </c>
      <c r="H629" s="10">
        <v>60000</v>
      </c>
      <c r="I629" s="10">
        <f t="shared" si="177"/>
        <v>2400000</v>
      </c>
      <c r="J629" s="29" t="s">
        <v>110</v>
      </c>
      <c r="K629" s="10"/>
      <c r="L629" s="12">
        <f t="shared" si="190"/>
        <v>0</v>
      </c>
      <c r="M629" s="12"/>
      <c r="N629" s="12"/>
      <c r="O629" s="12">
        <f t="shared" si="191"/>
        <v>2400000</v>
      </c>
      <c r="P629" s="12">
        <v>2400000</v>
      </c>
      <c r="Q629" s="12"/>
      <c r="R629" s="12">
        <f t="shared" si="192"/>
        <v>0</v>
      </c>
      <c r="S629" s="12"/>
      <c r="T629" s="12"/>
      <c r="U629" s="12">
        <f t="shared" si="193"/>
        <v>0</v>
      </c>
      <c r="V629" s="12"/>
      <c r="W629" s="12"/>
      <c r="X629" s="12">
        <f t="shared" si="194"/>
        <v>0</v>
      </c>
      <c r="Y629" s="12"/>
      <c r="Z629" s="12"/>
      <c r="AA629" s="13">
        <f t="shared" si="195"/>
        <v>0</v>
      </c>
      <c r="AB629" s="14">
        <v>46049</v>
      </c>
    </row>
    <row r="630" spans="1:28" ht="15.75" hidden="1" x14ac:dyDescent="0.25">
      <c r="A630" s="65">
        <v>46049</v>
      </c>
      <c r="B630" s="10" t="s">
        <v>109</v>
      </c>
      <c r="C630" s="10"/>
      <c r="D630" s="10" t="s">
        <v>28</v>
      </c>
      <c r="E630" s="10" t="s">
        <v>116</v>
      </c>
      <c r="F630" s="10">
        <v>2</v>
      </c>
      <c r="G630" s="10" t="s">
        <v>67</v>
      </c>
      <c r="H630" s="10">
        <v>65000</v>
      </c>
      <c r="I630" s="10">
        <f t="shared" si="177"/>
        <v>130000</v>
      </c>
      <c r="J630" s="29" t="s">
        <v>113</v>
      </c>
      <c r="K630" s="10"/>
      <c r="L630" s="12">
        <f t="shared" si="190"/>
        <v>130000</v>
      </c>
      <c r="M630" s="12">
        <v>130000</v>
      </c>
      <c r="N630" s="12"/>
      <c r="O630" s="12">
        <f t="shared" si="191"/>
        <v>0</v>
      </c>
      <c r="P630" s="12"/>
      <c r="Q630" s="12"/>
      <c r="R630" s="12">
        <f t="shared" si="192"/>
        <v>0</v>
      </c>
      <c r="S630" s="12"/>
      <c r="T630" s="12"/>
      <c r="U630" s="12">
        <f t="shared" si="193"/>
        <v>0</v>
      </c>
      <c r="V630" s="12"/>
      <c r="W630" s="12"/>
      <c r="X630" s="12">
        <f t="shared" si="194"/>
        <v>0</v>
      </c>
      <c r="Y630" s="12"/>
      <c r="Z630" s="12"/>
      <c r="AA630" s="13">
        <f t="shared" si="195"/>
        <v>0</v>
      </c>
      <c r="AB630" s="14">
        <v>46049</v>
      </c>
    </row>
    <row r="631" spans="1:28" ht="15.75" hidden="1" x14ac:dyDescent="0.25">
      <c r="A631" s="65">
        <v>46049</v>
      </c>
      <c r="B631" s="10" t="s">
        <v>109</v>
      </c>
      <c r="C631" s="10"/>
      <c r="D631" s="10" t="s">
        <v>28</v>
      </c>
      <c r="E631" s="10" t="s">
        <v>117</v>
      </c>
      <c r="F631" s="10">
        <v>1</v>
      </c>
      <c r="G631" s="10" t="s">
        <v>36</v>
      </c>
      <c r="H631" s="10">
        <v>70000</v>
      </c>
      <c r="I631" s="10">
        <f t="shared" si="177"/>
        <v>70000</v>
      </c>
      <c r="J631" s="29" t="s">
        <v>113</v>
      </c>
      <c r="K631" s="10"/>
      <c r="L631" s="12">
        <f t="shared" si="190"/>
        <v>70000</v>
      </c>
      <c r="M631" s="12">
        <v>70000</v>
      </c>
      <c r="N631" s="12"/>
      <c r="O631" s="12">
        <f t="shared" si="191"/>
        <v>0</v>
      </c>
      <c r="P631" s="12"/>
      <c r="Q631" s="12"/>
      <c r="R631" s="12">
        <f t="shared" si="192"/>
        <v>0</v>
      </c>
      <c r="S631" s="12"/>
      <c r="T631" s="12"/>
      <c r="U631" s="12">
        <f t="shared" si="193"/>
        <v>0</v>
      </c>
      <c r="V631" s="12"/>
      <c r="W631" s="12"/>
      <c r="X631" s="12">
        <f t="shared" si="194"/>
        <v>0</v>
      </c>
      <c r="Y631" s="12"/>
      <c r="Z631" s="12"/>
      <c r="AA631" s="13">
        <f t="shared" si="195"/>
        <v>0</v>
      </c>
      <c r="AB631" s="14">
        <v>46049</v>
      </c>
    </row>
    <row r="632" spans="1:28" ht="15.75" hidden="1" x14ac:dyDescent="0.25">
      <c r="A632" s="65">
        <v>46049</v>
      </c>
      <c r="B632" s="10" t="s">
        <v>109</v>
      </c>
      <c r="C632" s="10"/>
      <c r="D632" s="10" t="s">
        <v>28</v>
      </c>
      <c r="E632" s="10" t="s">
        <v>167</v>
      </c>
      <c r="F632" s="10">
        <v>2.5</v>
      </c>
      <c r="G632" s="10" t="s">
        <v>36</v>
      </c>
      <c r="H632" s="10">
        <v>90000</v>
      </c>
      <c r="I632" s="10">
        <f t="shared" si="177"/>
        <v>225000</v>
      </c>
      <c r="J632" s="29" t="s">
        <v>113</v>
      </c>
      <c r="K632" s="10"/>
      <c r="L632" s="12">
        <f t="shared" si="190"/>
        <v>225000</v>
      </c>
      <c r="M632" s="12">
        <v>225000</v>
      </c>
      <c r="N632" s="12"/>
      <c r="O632" s="12">
        <f t="shared" si="191"/>
        <v>0</v>
      </c>
      <c r="P632" s="12"/>
      <c r="Q632" s="12"/>
      <c r="R632" s="12">
        <f t="shared" si="192"/>
        <v>0</v>
      </c>
      <c r="S632" s="12"/>
      <c r="T632" s="12"/>
      <c r="U632" s="12">
        <f t="shared" si="193"/>
        <v>0</v>
      </c>
      <c r="V632" s="12"/>
      <c r="W632" s="12"/>
      <c r="X632" s="12">
        <f t="shared" si="194"/>
        <v>0</v>
      </c>
      <c r="Y632" s="12"/>
      <c r="Z632" s="12"/>
      <c r="AA632" s="13">
        <f t="shared" si="195"/>
        <v>0</v>
      </c>
      <c r="AB632" s="14">
        <v>46049</v>
      </c>
    </row>
    <row r="633" spans="1:28" ht="15.75" hidden="1" x14ac:dyDescent="0.25">
      <c r="A633" s="65">
        <v>46049</v>
      </c>
      <c r="B633" s="10" t="s">
        <v>109</v>
      </c>
      <c r="C633" s="10"/>
      <c r="D633" s="10" t="s">
        <v>28</v>
      </c>
      <c r="E633" s="10" t="s">
        <v>370</v>
      </c>
      <c r="F633" s="10">
        <v>2.5</v>
      </c>
      <c r="G633" s="10" t="s">
        <v>36</v>
      </c>
      <c r="H633" s="10">
        <v>86000</v>
      </c>
      <c r="I633" s="10">
        <f t="shared" si="177"/>
        <v>215000</v>
      </c>
      <c r="J633" s="29" t="s">
        <v>113</v>
      </c>
      <c r="K633" s="10"/>
      <c r="L633" s="12">
        <f t="shared" si="190"/>
        <v>215000</v>
      </c>
      <c r="M633" s="12">
        <v>215000</v>
      </c>
      <c r="N633" s="12"/>
      <c r="O633" s="12">
        <f t="shared" si="191"/>
        <v>0</v>
      </c>
      <c r="P633" s="12"/>
      <c r="Q633" s="12"/>
      <c r="R633" s="12">
        <f t="shared" si="192"/>
        <v>0</v>
      </c>
      <c r="S633" s="12"/>
      <c r="T633" s="12"/>
      <c r="U633" s="12">
        <f t="shared" si="193"/>
        <v>0</v>
      </c>
      <c r="V633" s="12"/>
      <c r="W633" s="12"/>
      <c r="X633" s="12">
        <f t="shared" si="194"/>
        <v>0</v>
      </c>
      <c r="Y633" s="12"/>
      <c r="Z633" s="12"/>
      <c r="AA633" s="13">
        <f t="shared" si="195"/>
        <v>0</v>
      </c>
      <c r="AB633" s="14">
        <v>46049</v>
      </c>
    </row>
    <row r="634" spans="1:28" ht="15.75" hidden="1" x14ac:dyDescent="0.25">
      <c r="A634" s="65">
        <v>46049</v>
      </c>
      <c r="B634" s="10" t="s">
        <v>223</v>
      </c>
      <c r="C634" s="10"/>
      <c r="D634" s="10" t="s">
        <v>195</v>
      </c>
      <c r="E634" s="10" t="s">
        <v>104</v>
      </c>
      <c r="F634" s="10">
        <v>10400</v>
      </c>
      <c r="G634" s="10" t="s">
        <v>26</v>
      </c>
      <c r="H634" s="10">
        <v>1750</v>
      </c>
      <c r="I634" s="10">
        <f t="shared" si="177"/>
        <v>18200000</v>
      </c>
      <c r="J634" s="29" t="s">
        <v>110</v>
      </c>
      <c r="K634" s="10"/>
      <c r="L634" s="12">
        <f t="shared" si="190"/>
        <v>0</v>
      </c>
      <c r="M634" s="12"/>
      <c r="N634" s="12"/>
      <c r="O634" s="12">
        <f t="shared" si="191"/>
        <v>18200000</v>
      </c>
      <c r="P634" s="12">
        <v>18200000</v>
      </c>
      <c r="Q634" s="12"/>
      <c r="R634" s="12">
        <f t="shared" si="192"/>
        <v>0</v>
      </c>
      <c r="S634" s="12"/>
      <c r="T634" s="12"/>
      <c r="U634" s="12">
        <f t="shared" si="193"/>
        <v>0</v>
      </c>
      <c r="V634" s="12"/>
      <c r="W634" s="12"/>
      <c r="X634" s="12">
        <f t="shared" si="194"/>
        <v>0</v>
      </c>
      <c r="Y634" s="12"/>
      <c r="Z634" s="12"/>
      <c r="AA634" s="13">
        <f t="shared" si="195"/>
        <v>0</v>
      </c>
      <c r="AB634" s="14">
        <v>46049</v>
      </c>
    </row>
    <row r="635" spans="1:28" ht="15.75" hidden="1" x14ac:dyDescent="0.25">
      <c r="A635" s="65">
        <v>46049</v>
      </c>
      <c r="B635" s="10" t="s">
        <v>50</v>
      </c>
      <c r="C635" s="10"/>
      <c r="D635" s="10" t="s">
        <v>195</v>
      </c>
      <c r="E635" s="10" t="s">
        <v>66</v>
      </c>
      <c r="F635" s="10">
        <v>40</v>
      </c>
      <c r="G635" s="10" t="s">
        <v>67</v>
      </c>
      <c r="H635" s="10">
        <v>50000</v>
      </c>
      <c r="I635" s="10">
        <f t="shared" si="177"/>
        <v>2000000</v>
      </c>
      <c r="J635" s="29" t="s">
        <v>110</v>
      </c>
      <c r="K635" s="10" t="s">
        <v>413</v>
      </c>
      <c r="L635" s="12">
        <f t="shared" si="190"/>
        <v>0</v>
      </c>
      <c r="M635" s="12"/>
      <c r="N635" s="12"/>
      <c r="O635" s="12">
        <f t="shared" si="191"/>
        <v>2000000</v>
      </c>
      <c r="P635" s="12">
        <v>2000000</v>
      </c>
      <c r="Q635" s="12"/>
      <c r="R635" s="12">
        <f t="shared" si="192"/>
        <v>0</v>
      </c>
      <c r="S635" s="12"/>
      <c r="T635" s="12"/>
      <c r="U635" s="12">
        <f t="shared" si="193"/>
        <v>0</v>
      </c>
      <c r="V635" s="12"/>
      <c r="W635" s="12"/>
      <c r="X635" s="12">
        <f t="shared" si="194"/>
        <v>0</v>
      </c>
      <c r="Y635" s="12"/>
      <c r="Z635" s="12"/>
      <c r="AA635" s="13">
        <f t="shared" si="195"/>
        <v>0</v>
      </c>
      <c r="AB635" s="14">
        <v>46052</v>
      </c>
    </row>
    <row r="636" spans="1:28" ht="15.75" hidden="1" x14ac:dyDescent="0.25">
      <c r="A636" s="65">
        <v>46049</v>
      </c>
      <c r="B636" s="10" t="s">
        <v>333</v>
      </c>
      <c r="C636" s="10"/>
      <c r="D636" s="10" t="s">
        <v>28</v>
      </c>
      <c r="E636" s="10" t="s">
        <v>406</v>
      </c>
      <c r="F636" s="10">
        <v>2</v>
      </c>
      <c r="G636" s="10" t="s">
        <v>407</v>
      </c>
      <c r="H636" s="10">
        <v>55000</v>
      </c>
      <c r="I636" s="10">
        <f t="shared" si="177"/>
        <v>110000</v>
      </c>
      <c r="J636" s="29" t="s">
        <v>113</v>
      </c>
      <c r="K636" s="10"/>
      <c r="L636" s="12">
        <f t="shared" si="190"/>
        <v>110000</v>
      </c>
      <c r="M636" s="12">
        <v>110000</v>
      </c>
      <c r="N636" s="12"/>
      <c r="O636" s="12">
        <f t="shared" si="191"/>
        <v>0</v>
      </c>
      <c r="P636" s="12"/>
      <c r="Q636" s="12"/>
      <c r="R636" s="12">
        <f t="shared" si="192"/>
        <v>0</v>
      </c>
      <c r="S636" s="12"/>
      <c r="T636" s="12"/>
      <c r="U636" s="12">
        <f t="shared" si="193"/>
        <v>0</v>
      </c>
      <c r="V636" s="12"/>
      <c r="W636" s="12"/>
      <c r="X636" s="12">
        <f t="shared" si="194"/>
        <v>0</v>
      </c>
      <c r="Y636" s="12"/>
      <c r="Z636" s="12"/>
      <c r="AA636" s="13">
        <f t="shared" si="195"/>
        <v>0</v>
      </c>
      <c r="AB636" s="14">
        <v>46049</v>
      </c>
    </row>
    <row r="637" spans="1:28" ht="15.75" hidden="1" x14ac:dyDescent="0.25">
      <c r="A637" s="65">
        <v>46049</v>
      </c>
      <c r="B637" s="10" t="s">
        <v>234</v>
      </c>
      <c r="C637" s="10"/>
      <c r="D637" s="10" t="s">
        <v>32</v>
      </c>
      <c r="E637" s="10" t="s">
        <v>205</v>
      </c>
      <c r="F637" s="10">
        <v>25</v>
      </c>
      <c r="G637" s="10" t="s">
        <v>36</v>
      </c>
      <c r="H637" s="10">
        <v>55000</v>
      </c>
      <c r="I637" s="10">
        <f t="shared" si="177"/>
        <v>1375000</v>
      </c>
      <c r="J637" s="52" t="s">
        <v>90</v>
      </c>
      <c r="K637" s="10" t="s">
        <v>394</v>
      </c>
      <c r="L637" s="12">
        <f t="shared" si="190"/>
        <v>0</v>
      </c>
      <c r="M637" s="12"/>
      <c r="N637" s="12"/>
      <c r="O637" s="12">
        <f t="shared" si="191"/>
        <v>0</v>
      </c>
      <c r="P637" s="12"/>
      <c r="Q637" s="12"/>
      <c r="R637" s="12">
        <f t="shared" si="192"/>
        <v>0</v>
      </c>
      <c r="S637" s="12"/>
      <c r="T637" s="12"/>
      <c r="U637" s="12">
        <f t="shared" si="193"/>
        <v>0</v>
      </c>
      <c r="V637" s="12"/>
      <c r="W637" s="12"/>
      <c r="X637" s="12">
        <f t="shared" si="194"/>
        <v>0</v>
      </c>
      <c r="Y637" s="12"/>
      <c r="Z637" s="12"/>
      <c r="AA637" s="13">
        <f t="shared" si="195"/>
        <v>1375000</v>
      </c>
      <c r="AB637" s="14"/>
    </row>
    <row r="638" spans="1:28" ht="15.75" hidden="1" x14ac:dyDescent="0.25">
      <c r="A638" s="65">
        <v>46049</v>
      </c>
      <c r="B638" s="10" t="s">
        <v>284</v>
      </c>
      <c r="C638" s="10"/>
      <c r="D638" s="10" t="s">
        <v>28</v>
      </c>
      <c r="E638" s="10" t="s">
        <v>98</v>
      </c>
      <c r="F638" s="10">
        <v>3000</v>
      </c>
      <c r="G638" s="10" t="s">
        <v>26</v>
      </c>
      <c r="H638" s="10">
        <v>1825</v>
      </c>
      <c r="I638" s="10">
        <f t="shared" si="177"/>
        <v>5475000</v>
      </c>
      <c r="J638" s="52" t="s">
        <v>90</v>
      </c>
      <c r="K638" s="10" t="s">
        <v>414</v>
      </c>
      <c r="L638" s="12">
        <f t="shared" si="190"/>
        <v>0</v>
      </c>
      <c r="M638" s="12"/>
      <c r="N638" s="12"/>
      <c r="O638" s="12">
        <f t="shared" si="191"/>
        <v>0</v>
      </c>
      <c r="P638" s="12"/>
      <c r="Q638" s="12"/>
      <c r="R638" s="12">
        <f t="shared" si="192"/>
        <v>0</v>
      </c>
      <c r="S638" s="12"/>
      <c r="T638" s="12"/>
      <c r="U638" s="12">
        <f t="shared" si="193"/>
        <v>0</v>
      </c>
      <c r="V638" s="12"/>
      <c r="W638" s="12"/>
      <c r="X638" s="12">
        <f t="shared" si="194"/>
        <v>0</v>
      </c>
      <c r="Y638" s="12"/>
      <c r="Z638" s="12"/>
      <c r="AA638" s="13">
        <f t="shared" si="195"/>
        <v>5475000</v>
      </c>
      <c r="AB638" s="14"/>
    </row>
    <row r="639" spans="1:28" ht="15.75" hidden="1" x14ac:dyDescent="0.25">
      <c r="A639" s="65">
        <v>46049</v>
      </c>
      <c r="B639" s="10" t="s">
        <v>274</v>
      </c>
      <c r="C639" s="10"/>
      <c r="D639" s="10" t="s">
        <v>195</v>
      </c>
      <c r="E639" s="10" t="s">
        <v>168</v>
      </c>
      <c r="F639" s="10">
        <v>63.1</v>
      </c>
      <c r="G639" s="10" t="s">
        <v>36</v>
      </c>
      <c r="H639" s="10">
        <v>43000</v>
      </c>
      <c r="I639" s="10">
        <f t="shared" si="177"/>
        <v>2713300</v>
      </c>
      <c r="J639" s="29" t="s">
        <v>113</v>
      </c>
      <c r="K639" s="10"/>
      <c r="L639" s="12">
        <f t="shared" si="190"/>
        <v>2713300</v>
      </c>
      <c r="M639" s="12">
        <v>2713300</v>
      </c>
      <c r="N639" s="12"/>
      <c r="O639" s="12">
        <f t="shared" si="191"/>
        <v>0</v>
      </c>
      <c r="P639" s="12"/>
      <c r="Q639" s="12"/>
      <c r="R639" s="12">
        <f t="shared" si="192"/>
        <v>0</v>
      </c>
      <c r="S639" s="12"/>
      <c r="T639" s="12"/>
      <c r="U639" s="12">
        <f t="shared" si="193"/>
        <v>0</v>
      </c>
      <c r="V639" s="12"/>
      <c r="W639" s="12"/>
      <c r="X639" s="12">
        <f t="shared" si="194"/>
        <v>0</v>
      </c>
      <c r="Y639" s="12"/>
      <c r="Z639" s="12"/>
      <c r="AA639" s="13">
        <f t="shared" si="195"/>
        <v>0</v>
      </c>
      <c r="AB639" s="14">
        <v>46049</v>
      </c>
    </row>
    <row r="640" spans="1:28" ht="15.75" hidden="1" x14ac:dyDescent="0.25">
      <c r="A640" s="65">
        <v>46049</v>
      </c>
      <c r="B640" s="10" t="s">
        <v>343</v>
      </c>
      <c r="C640" s="10"/>
      <c r="D640" s="10" t="s">
        <v>195</v>
      </c>
      <c r="E640" s="10" t="s">
        <v>313</v>
      </c>
      <c r="F640" s="10">
        <v>200</v>
      </c>
      <c r="G640" s="10" t="s">
        <v>26</v>
      </c>
      <c r="H640" s="10">
        <v>5400</v>
      </c>
      <c r="I640" s="10">
        <f t="shared" si="177"/>
        <v>1080000</v>
      </c>
      <c r="J640" s="29" t="s">
        <v>110</v>
      </c>
      <c r="K640" s="10" t="s">
        <v>413</v>
      </c>
      <c r="L640" s="12">
        <f t="shared" si="190"/>
        <v>0</v>
      </c>
      <c r="M640" s="12"/>
      <c r="N640" s="12"/>
      <c r="O640" s="12">
        <f t="shared" si="191"/>
        <v>1080000</v>
      </c>
      <c r="P640" s="12">
        <v>1080000</v>
      </c>
      <c r="Q640" s="12"/>
      <c r="R640" s="12">
        <f t="shared" si="192"/>
        <v>0</v>
      </c>
      <c r="S640" s="12"/>
      <c r="T640" s="12"/>
      <c r="U640" s="12">
        <f t="shared" si="193"/>
        <v>0</v>
      </c>
      <c r="V640" s="12"/>
      <c r="W640" s="12"/>
      <c r="X640" s="12">
        <f t="shared" si="194"/>
        <v>0</v>
      </c>
      <c r="Y640" s="12"/>
      <c r="Z640" s="12"/>
      <c r="AA640" s="13">
        <f t="shared" si="195"/>
        <v>0</v>
      </c>
      <c r="AB640" s="14">
        <v>46050</v>
      </c>
    </row>
    <row r="641" spans="1:28" ht="15.75" hidden="1" x14ac:dyDescent="0.25">
      <c r="A641" s="65">
        <v>46049</v>
      </c>
      <c r="B641" s="10" t="s">
        <v>408</v>
      </c>
      <c r="C641" s="10"/>
      <c r="D641" s="10" t="s">
        <v>28</v>
      </c>
      <c r="E641" s="10" t="s">
        <v>164</v>
      </c>
      <c r="F641" s="10">
        <v>34</v>
      </c>
      <c r="G641" s="10" t="s">
        <v>36</v>
      </c>
      <c r="H641" s="10">
        <v>43000</v>
      </c>
      <c r="I641" s="10">
        <f t="shared" si="177"/>
        <v>1462000</v>
      </c>
      <c r="J641" s="29" t="s">
        <v>110</v>
      </c>
      <c r="K641" s="10"/>
      <c r="L641" s="12">
        <f t="shared" si="190"/>
        <v>0</v>
      </c>
      <c r="M641" s="12"/>
      <c r="N641" s="12"/>
      <c r="O641" s="12">
        <f t="shared" si="191"/>
        <v>1462000</v>
      </c>
      <c r="P641" s="12">
        <v>1462000</v>
      </c>
      <c r="Q641" s="12"/>
      <c r="R641" s="12">
        <f t="shared" si="192"/>
        <v>0</v>
      </c>
      <c r="S641" s="12"/>
      <c r="T641" s="12"/>
      <c r="U641" s="12">
        <f t="shared" si="193"/>
        <v>0</v>
      </c>
      <c r="V641" s="12"/>
      <c r="W641" s="12"/>
      <c r="X641" s="12">
        <f t="shared" si="194"/>
        <v>0</v>
      </c>
      <c r="Y641" s="12"/>
      <c r="Z641" s="12"/>
      <c r="AA641" s="13">
        <f t="shared" si="195"/>
        <v>0</v>
      </c>
      <c r="AB641" s="14">
        <v>46049</v>
      </c>
    </row>
    <row r="642" spans="1:28" ht="15.75" hidden="1" x14ac:dyDescent="0.25">
      <c r="A642" s="65">
        <v>46049</v>
      </c>
      <c r="B642" s="10" t="s">
        <v>69</v>
      </c>
      <c r="C642" s="10"/>
      <c r="D642" s="10" t="s">
        <v>383</v>
      </c>
      <c r="E642" s="10" t="s">
        <v>189</v>
      </c>
      <c r="F642" s="10">
        <v>8</v>
      </c>
      <c r="G642" s="10" t="s">
        <v>61</v>
      </c>
      <c r="H642" s="10">
        <v>435000</v>
      </c>
      <c r="I642" s="10">
        <f t="shared" si="177"/>
        <v>3480000</v>
      </c>
      <c r="J642" s="52" t="s">
        <v>90</v>
      </c>
      <c r="K642" s="87" t="s">
        <v>413</v>
      </c>
      <c r="L642" s="12">
        <f t="shared" si="190"/>
        <v>0</v>
      </c>
      <c r="M642" s="12"/>
      <c r="N642" s="12"/>
      <c r="O642" s="12">
        <f t="shared" si="191"/>
        <v>0</v>
      </c>
      <c r="P642" s="12"/>
      <c r="Q642" s="12"/>
      <c r="R642" s="12">
        <f t="shared" si="192"/>
        <v>0</v>
      </c>
      <c r="S642" s="12"/>
      <c r="T642" s="12"/>
      <c r="U642" s="12">
        <f t="shared" si="193"/>
        <v>0</v>
      </c>
      <c r="V642" s="12"/>
      <c r="W642" s="12"/>
      <c r="X642" s="12">
        <f t="shared" si="194"/>
        <v>0</v>
      </c>
      <c r="Y642" s="12"/>
      <c r="Z642" s="12"/>
      <c r="AA642" s="13">
        <f t="shared" si="195"/>
        <v>3480000</v>
      </c>
      <c r="AB642" s="14"/>
    </row>
    <row r="643" spans="1:28" ht="15.75" hidden="1" x14ac:dyDescent="0.25">
      <c r="A643" s="28">
        <v>46049</v>
      </c>
      <c r="B643" s="10" t="s">
        <v>69</v>
      </c>
      <c r="C643" s="10"/>
      <c r="D643" s="10" t="s">
        <v>383</v>
      </c>
      <c r="E643" s="10" t="s">
        <v>211</v>
      </c>
      <c r="F643" s="10">
        <v>20</v>
      </c>
      <c r="G643" s="10" t="s">
        <v>36</v>
      </c>
      <c r="H643" s="10">
        <v>100000</v>
      </c>
      <c r="I643" s="10">
        <f t="shared" si="177"/>
        <v>2000000</v>
      </c>
      <c r="J643" s="52" t="s">
        <v>90</v>
      </c>
      <c r="K643" s="87" t="s">
        <v>413</v>
      </c>
      <c r="L643" s="12">
        <f t="shared" si="190"/>
        <v>0</v>
      </c>
      <c r="M643" s="12"/>
      <c r="N643" s="12"/>
      <c r="O643" s="12">
        <f t="shared" si="191"/>
        <v>0</v>
      </c>
      <c r="P643" s="12"/>
      <c r="Q643" s="12"/>
      <c r="R643" s="12">
        <f t="shared" si="192"/>
        <v>0</v>
      </c>
      <c r="S643" s="12"/>
      <c r="T643" s="12"/>
      <c r="U643" s="12">
        <f t="shared" si="193"/>
        <v>0</v>
      </c>
      <c r="V643" s="12"/>
      <c r="W643" s="12"/>
      <c r="X643" s="12">
        <f t="shared" si="194"/>
        <v>0</v>
      </c>
      <c r="Y643" s="12"/>
      <c r="Z643" s="12"/>
      <c r="AA643" s="13">
        <f t="shared" si="195"/>
        <v>2000000</v>
      </c>
      <c r="AB643" s="14"/>
    </row>
    <row r="644" spans="1:28" ht="15.75" hidden="1" x14ac:dyDescent="0.25">
      <c r="A644" s="65">
        <v>46049</v>
      </c>
      <c r="B644" s="10" t="s">
        <v>69</v>
      </c>
      <c r="C644" s="10"/>
      <c r="D644" s="10" t="s">
        <v>383</v>
      </c>
      <c r="E644" s="10" t="s">
        <v>130</v>
      </c>
      <c r="F644" s="10">
        <v>20</v>
      </c>
      <c r="G644" s="10" t="s">
        <v>67</v>
      </c>
      <c r="H644" s="10">
        <v>50000</v>
      </c>
      <c r="I644" s="10">
        <f t="shared" si="177"/>
        <v>1000000</v>
      </c>
      <c r="J644" s="52" t="s">
        <v>90</v>
      </c>
      <c r="K644" s="87" t="s">
        <v>413</v>
      </c>
      <c r="L644" s="12">
        <f t="shared" si="190"/>
        <v>0</v>
      </c>
      <c r="M644" s="12"/>
      <c r="N644" s="12"/>
      <c r="O644" s="12">
        <f t="shared" si="191"/>
        <v>0</v>
      </c>
      <c r="P644" s="12"/>
      <c r="Q644" s="12"/>
      <c r="R644" s="12">
        <f t="shared" si="192"/>
        <v>0</v>
      </c>
      <c r="S644" s="12"/>
      <c r="T644" s="12"/>
      <c r="U644" s="12">
        <f t="shared" si="193"/>
        <v>0</v>
      </c>
      <c r="V644" s="12"/>
      <c r="W644" s="12"/>
      <c r="X644" s="12">
        <f t="shared" si="194"/>
        <v>0</v>
      </c>
      <c r="Y644" s="12"/>
      <c r="Z644" s="12"/>
      <c r="AA644" s="13">
        <f t="shared" si="195"/>
        <v>1000000</v>
      </c>
      <c r="AB644" s="14"/>
    </row>
    <row r="645" spans="1:28" ht="15.75" hidden="1" x14ac:dyDescent="0.25">
      <c r="A645" s="65">
        <v>46049</v>
      </c>
      <c r="B645" s="10" t="s">
        <v>409</v>
      </c>
      <c r="C645" s="10"/>
      <c r="D645" s="10" t="s">
        <v>28</v>
      </c>
      <c r="E645" s="10" t="s">
        <v>371</v>
      </c>
      <c r="F645" s="10">
        <v>20</v>
      </c>
      <c r="G645" s="10" t="s">
        <v>67</v>
      </c>
      <c r="H645" s="10">
        <v>45000</v>
      </c>
      <c r="I645" s="10">
        <f t="shared" si="177"/>
        <v>900000</v>
      </c>
      <c r="J645" s="29" t="s">
        <v>113</v>
      </c>
      <c r="K645" s="10"/>
      <c r="L645" s="12">
        <f t="shared" si="190"/>
        <v>0</v>
      </c>
      <c r="M645" s="12"/>
      <c r="N645" s="12"/>
      <c r="O645" s="12">
        <f t="shared" si="191"/>
        <v>0</v>
      </c>
      <c r="P645" s="12"/>
      <c r="Q645" s="12"/>
      <c r="R645" s="12">
        <f t="shared" si="192"/>
        <v>0</v>
      </c>
      <c r="S645" s="12"/>
      <c r="T645" s="12"/>
      <c r="U645" s="12">
        <f t="shared" si="193"/>
        <v>900000</v>
      </c>
      <c r="V645" s="12">
        <v>900000</v>
      </c>
      <c r="W645" s="12"/>
      <c r="X645" s="12">
        <f t="shared" si="194"/>
        <v>0</v>
      </c>
      <c r="Y645" s="12"/>
      <c r="Z645" s="12"/>
      <c r="AA645" s="13">
        <f t="shared" si="195"/>
        <v>0</v>
      </c>
      <c r="AB645" s="14">
        <v>46049</v>
      </c>
    </row>
    <row r="646" spans="1:28" ht="15.75" hidden="1" x14ac:dyDescent="0.25">
      <c r="A646" s="65">
        <v>46049</v>
      </c>
      <c r="B646" s="10" t="s">
        <v>410</v>
      </c>
      <c r="C646" s="10"/>
      <c r="D646" s="10" t="s">
        <v>195</v>
      </c>
      <c r="E646" s="10" t="s">
        <v>160</v>
      </c>
      <c r="F646" s="10">
        <v>2</v>
      </c>
      <c r="G646" s="10" t="s">
        <v>22</v>
      </c>
      <c r="H646" s="10">
        <v>400000</v>
      </c>
      <c r="I646" s="10">
        <f t="shared" si="177"/>
        <v>800000</v>
      </c>
      <c r="J646" s="52" t="s">
        <v>30</v>
      </c>
      <c r="K646" s="10" t="s">
        <v>415</v>
      </c>
      <c r="L646" s="12">
        <f t="shared" si="190"/>
        <v>0</v>
      </c>
      <c r="M646" s="12"/>
      <c r="N646" s="12"/>
      <c r="O646" s="12">
        <f t="shared" si="191"/>
        <v>0</v>
      </c>
      <c r="P646" s="12"/>
      <c r="Q646" s="12"/>
      <c r="R646" s="12">
        <f t="shared" si="192"/>
        <v>0</v>
      </c>
      <c r="S646" s="12"/>
      <c r="T646" s="12"/>
      <c r="U646" s="12">
        <f t="shared" si="193"/>
        <v>0</v>
      </c>
      <c r="V646" s="12"/>
      <c r="W646" s="12"/>
      <c r="X646" s="12">
        <f t="shared" si="194"/>
        <v>0</v>
      </c>
      <c r="Y646" s="12"/>
      <c r="Z646" s="12"/>
      <c r="AA646" s="13">
        <f t="shared" si="195"/>
        <v>800000</v>
      </c>
      <c r="AB646" s="14"/>
    </row>
    <row r="647" spans="1:28" ht="15.75" hidden="1" x14ac:dyDescent="0.25">
      <c r="A647" s="65">
        <v>46049</v>
      </c>
      <c r="B647" s="10" t="s">
        <v>411</v>
      </c>
      <c r="C647" s="10"/>
      <c r="D647" s="10" t="s">
        <v>195</v>
      </c>
      <c r="E647" s="10" t="s">
        <v>412</v>
      </c>
      <c r="F647" s="10">
        <v>10</v>
      </c>
      <c r="G647" s="10" t="s">
        <v>67</v>
      </c>
      <c r="H647" s="10">
        <v>50000</v>
      </c>
      <c r="I647" s="10">
        <f t="shared" si="177"/>
        <v>500000</v>
      </c>
      <c r="J647" s="29" t="s">
        <v>113</v>
      </c>
      <c r="K647" s="10"/>
      <c r="L647" s="12">
        <f t="shared" si="190"/>
        <v>0</v>
      </c>
      <c r="M647" s="12"/>
      <c r="N647" s="12"/>
      <c r="O647" s="12">
        <f t="shared" si="191"/>
        <v>0</v>
      </c>
      <c r="P647" s="12"/>
      <c r="Q647" s="12"/>
      <c r="R647" s="12">
        <f t="shared" si="192"/>
        <v>0</v>
      </c>
      <c r="S647" s="12"/>
      <c r="T647" s="12"/>
      <c r="U647" s="12">
        <f t="shared" si="193"/>
        <v>500000</v>
      </c>
      <c r="V647" s="12">
        <v>500000</v>
      </c>
      <c r="W647" s="12"/>
      <c r="X647" s="12">
        <f t="shared" si="194"/>
        <v>0</v>
      </c>
      <c r="Y647" s="12"/>
      <c r="Z647" s="12"/>
      <c r="AA647" s="13">
        <f t="shared" si="195"/>
        <v>0</v>
      </c>
      <c r="AB647" s="14">
        <v>46049</v>
      </c>
    </row>
    <row r="648" spans="1:28" ht="16.5" hidden="1" thickBot="1" x14ac:dyDescent="0.3">
      <c r="A648" s="53">
        <v>46049</v>
      </c>
      <c r="B648" s="31" t="s">
        <v>267</v>
      </c>
      <c r="C648" s="31"/>
      <c r="D648" s="31" t="s">
        <v>383</v>
      </c>
      <c r="E648" s="31" t="s">
        <v>164</v>
      </c>
      <c r="F648" s="31">
        <v>17</v>
      </c>
      <c r="G648" s="31" t="s">
        <v>36</v>
      </c>
      <c r="H648" s="31">
        <v>43000</v>
      </c>
      <c r="I648" s="31">
        <f t="shared" si="177"/>
        <v>731000</v>
      </c>
      <c r="J648" s="51" t="s">
        <v>113</v>
      </c>
      <c r="K648" s="31"/>
      <c r="L648" s="34">
        <f t="shared" si="190"/>
        <v>0</v>
      </c>
      <c r="M648" s="34"/>
      <c r="N648" s="34"/>
      <c r="O648" s="34">
        <f t="shared" si="191"/>
        <v>0</v>
      </c>
      <c r="P648" s="34"/>
      <c r="Q648" s="34"/>
      <c r="R648" s="34">
        <f t="shared" si="192"/>
        <v>0</v>
      </c>
      <c r="S648" s="34"/>
      <c r="T648" s="34"/>
      <c r="U648" s="34">
        <f t="shared" si="193"/>
        <v>731000</v>
      </c>
      <c r="V648" s="34">
        <v>731000</v>
      </c>
      <c r="W648" s="34"/>
      <c r="X648" s="34">
        <f t="shared" si="194"/>
        <v>0</v>
      </c>
      <c r="Y648" s="34"/>
      <c r="Z648" s="34"/>
      <c r="AA648" s="35">
        <f t="shared" si="195"/>
        <v>0</v>
      </c>
      <c r="AB648" s="36">
        <v>46049</v>
      </c>
    </row>
    <row r="649" spans="1:28" ht="15.75" hidden="1" x14ac:dyDescent="0.25">
      <c r="A649" s="65">
        <v>46050</v>
      </c>
      <c r="B649" s="66" t="s">
        <v>416</v>
      </c>
      <c r="C649" s="66"/>
      <c r="D649" s="66" t="s">
        <v>383</v>
      </c>
      <c r="E649" s="66" t="s">
        <v>183</v>
      </c>
      <c r="F649" s="66">
        <v>50</v>
      </c>
      <c r="G649" s="66" t="s">
        <v>36</v>
      </c>
      <c r="H649" s="66">
        <v>96000</v>
      </c>
      <c r="I649" s="10">
        <f t="shared" si="177"/>
        <v>4800000</v>
      </c>
      <c r="J649" s="84" t="s">
        <v>113</v>
      </c>
      <c r="K649" s="104"/>
      <c r="L649" s="12">
        <f t="shared" si="190"/>
        <v>4800000</v>
      </c>
      <c r="M649" s="12">
        <v>4800000</v>
      </c>
      <c r="N649" s="12"/>
      <c r="O649" s="12">
        <f t="shared" si="191"/>
        <v>0</v>
      </c>
      <c r="P649" s="12"/>
      <c r="Q649" s="12"/>
      <c r="R649" s="12">
        <f t="shared" si="192"/>
        <v>0</v>
      </c>
      <c r="S649" s="12"/>
      <c r="T649" s="12"/>
      <c r="U649" s="12">
        <f t="shared" si="193"/>
        <v>0</v>
      </c>
      <c r="V649" s="12"/>
      <c r="W649" s="12"/>
      <c r="X649" s="12">
        <f t="shared" si="194"/>
        <v>0</v>
      </c>
      <c r="Y649" s="12"/>
      <c r="Z649" s="12"/>
      <c r="AA649" s="13">
        <f t="shared" si="195"/>
        <v>0</v>
      </c>
      <c r="AB649" s="14">
        <v>46050</v>
      </c>
    </row>
    <row r="650" spans="1:28" ht="15.75" hidden="1" x14ac:dyDescent="0.25">
      <c r="A650" s="65">
        <v>46050</v>
      </c>
      <c r="B650" s="10" t="s">
        <v>417</v>
      </c>
      <c r="C650" s="10"/>
      <c r="D650" s="10" t="s">
        <v>28</v>
      </c>
      <c r="E650" s="10" t="s">
        <v>51</v>
      </c>
      <c r="F650" s="10">
        <v>1</v>
      </c>
      <c r="G650" s="10" t="s">
        <v>22</v>
      </c>
      <c r="H650" s="10">
        <v>375000</v>
      </c>
      <c r="I650" s="10">
        <f t="shared" si="177"/>
        <v>375000</v>
      </c>
      <c r="J650" s="29" t="s">
        <v>110</v>
      </c>
      <c r="K650" s="10"/>
      <c r="L650" s="12">
        <f t="shared" ref="L650:L687" si="196">M650+N650</f>
        <v>0</v>
      </c>
      <c r="M650" s="12"/>
      <c r="N650" s="12"/>
      <c r="O650" s="12">
        <f t="shared" ref="O650:O687" si="197">P650+Q650</f>
        <v>375000</v>
      </c>
      <c r="P650" s="12">
        <v>375000</v>
      </c>
      <c r="Q650" s="12"/>
      <c r="R650" s="12">
        <f t="shared" ref="R650:R687" si="198">S650+T650</f>
        <v>0</v>
      </c>
      <c r="S650" s="12"/>
      <c r="T650" s="12"/>
      <c r="U650" s="12">
        <f t="shared" ref="U650:U687" si="199">V650+W650</f>
        <v>0</v>
      </c>
      <c r="V650" s="12"/>
      <c r="W650" s="12"/>
      <c r="X650" s="12">
        <f t="shared" ref="X650:X687" si="200">Y650+Z650</f>
        <v>0</v>
      </c>
      <c r="Y650" s="12"/>
      <c r="Z650" s="12"/>
      <c r="AA650" s="13">
        <f t="shared" ref="AA650:AA687" si="201">C650+I650-L650-O650-U650-X650-R650</f>
        <v>0</v>
      </c>
      <c r="AB650" s="14">
        <v>46048</v>
      </c>
    </row>
    <row r="651" spans="1:28" ht="15.75" hidden="1" x14ac:dyDescent="0.25">
      <c r="A651" s="65">
        <v>46050</v>
      </c>
      <c r="B651" s="10" t="s">
        <v>417</v>
      </c>
      <c r="C651" s="10"/>
      <c r="D651" s="10" t="s">
        <v>28</v>
      </c>
      <c r="E651" s="10" t="s">
        <v>160</v>
      </c>
      <c r="F651" s="10">
        <v>3</v>
      </c>
      <c r="G651" s="10" t="s">
        <v>22</v>
      </c>
      <c r="H651" s="10">
        <v>375000</v>
      </c>
      <c r="I651" s="10">
        <f t="shared" ref="I651:I714" si="202">F651*H651</f>
        <v>1125000</v>
      </c>
      <c r="J651" s="29" t="s">
        <v>110</v>
      </c>
      <c r="K651" s="10"/>
      <c r="L651" s="12">
        <f t="shared" si="196"/>
        <v>0</v>
      </c>
      <c r="M651" s="12"/>
      <c r="N651" s="12"/>
      <c r="O651" s="12">
        <f t="shared" si="197"/>
        <v>1125000</v>
      </c>
      <c r="P651" s="12">
        <v>1125000</v>
      </c>
      <c r="Q651" s="12"/>
      <c r="R651" s="12">
        <f t="shared" si="198"/>
        <v>0</v>
      </c>
      <c r="S651" s="12"/>
      <c r="T651" s="12"/>
      <c r="U651" s="12">
        <f t="shared" si="199"/>
        <v>0</v>
      </c>
      <c r="V651" s="12"/>
      <c r="W651" s="12"/>
      <c r="X651" s="12">
        <f t="shared" si="200"/>
        <v>0</v>
      </c>
      <c r="Y651" s="12"/>
      <c r="Z651" s="12"/>
      <c r="AA651" s="13">
        <f t="shared" si="201"/>
        <v>0</v>
      </c>
      <c r="AB651" s="14">
        <v>46048</v>
      </c>
    </row>
    <row r="652" spans="1:28" ht="15.75" hidden="1" x14ac:dyDescent="0.25">
      <c r="A652" s="65">
        <v>46050</v>
      </c>
      <c r="B652" s="10" t="s">
        <v>417</v>
      </c>
      <c r="C652" s="10"/>
      <c r="D652" s="10" t="s">
        <v>28</v>
      </c>
      <c r="E652" s="10" t="s">
        <v>314</v>
      </c>
      <c r="F652" s="10">
        <v>1</v>
      </c>
      <c r="G652" s="10" t="s">
        <v>22</v>
      </c>
      <c r="H652" s="10">
        <v>375000</v>
      </c>
      <c r="I652" s="10">
        <f t="shared" si="202"/>
        <v>375000</v>
      </c>
      <c r="J652" s="29" t="s">
        <v>110</v>
      </c>
      <c r="K652" s="10"/>
      <c r="L652" s="12">
        <f t="shared" si="196"/>
        <v>0</v>
      </c>
      <c r="M652" s="12"/>
      <c r="N652" s="12"/>
      <c r="O652" s="12">
        <f t="shared" si="197"/>
        <v>375000</v>
      </c>
      <c r="P652" s="12">
        <v>375000</v>
      </c>
      <c r="Q652" s="12"/>
      <c r="R652" s="12">
        <f t="shared" si="198"/>
        <v>0</v>
      </c>
      <c r="S652" s="12"/>
      <c r="T652" s="12"/>
      <c r="U652" s="12">
        <f t="shared" si="199"/>
        <v>0</v>
      </c>
      <c r="V652" s="12"/>
      <c r="W652" s="12"/>
      <c r="X652" s="12">
        <f t="shared" si="200"/>
        <v>0</v>
      </c>
      <c r="Y652" s="12"/>
      <c r="Z652" s="12"/>
      <c r="AA652" s="13">
        <f t="shared" si="201"/>
        <v>0</v>
      </c>
      <c r="AB652" s="14">
        <v>46048</v>
      </c>
    </row>
    <row r="653" spans="1:28" ht="15.75" hidden="1" x14ac:dyDescent="0.25">
      <c r="A653" s="65">
        <v>46050</v>
      </c>
      <c r="B653" s="10" t="s">
        <v>417</v>
      </c>
      <c r="C653" s="10"/>
      <c r="D653" s="10" t="s">
        <v>28</v>
      </c>
      <c r="E653" s="10" t="s">
        <v>134</v>
      </c>
      <c r="F653" s="10">
        <v>1</v>
      </c>
      <c r="G653" s="10" t="s">
        <v>26</v>
      </c>
      <c r="H653" s="10">
        <v>75000</v>
      </c>
      <c r="I653" s="10">
        <f t="shared" si="202"/>
        <v>75000</v>
      </c>
      <c r="J653" s="29" t="s">
        <v>110</v>
      </c>
      <c r="K653" s="10"/>
      <c r="L653" s="12">
        <f t="shared" si="196"/>
        <v>0</v>
      </c>
      <c r="M653" s="12"/>
      <c r="N653" s="12"/>
      <c r="O653" s="12">
        <f t="shared" si="197"/>
        <v>75000</v>
      </c>
      <c r="P653" s="12">
        <v>75000</v>
      </c>
      <c r="Q653" s="12"/>
      <c r="R653" s="12">
        <f t="shared" si="198"/>
        <v>0</v>
      </c>
      <c r="S653" s="12"/>
      <c r="T653" s="12"/>
      <c r="U653" s="12">
        <f t="shared" si="199"/>
        <v>0</v>
      </c>
      <c r="V653" s="12"/>
      <c r="W653" s="12"/>
      <c r="X653" s="12">
        <f t="shared" si="200"/>
        <v>0</v>
      </c>
      <c r="Y653" s="12"/>
      <c r="Z653" s="12"/>
      <c r="AA653" s="13">
        <f t="shared" si="201"/>
        <v>0</v>
      </c>
      <c r="AB653" s="14">
        <v>46048</v>
      </c>
    </row>
    <row r="654" spans="1:28" ht="15.75" hidden="1" x14ac:dyDescent="0.25">
      <c r="A654" s="65">
        <v>46050</v>
      </c>
      <c r="B654" s="10" t="s">
        <v>417</v>
      </c>
      <c r="C654" s="10"/>
      <c r="D654" s="10" t="s">
        <v>28</v>
      </c>
      <c r="E654" s="10" t="s">
        <v>112</v>
      </c>
      <c r="F654" s="10">
        <v>1</v>
      </c>
      <c r="G654" s="10" t="s">
        <v>26</v>
      </c>
      <c r="H654" s="10">
        <v>95000</v>
      </c>
      <c r="I654" s="10">
        <f t="shared" si="202"/>
        <v>95000</v>
      </c>
      <c r="J654" s="29" t="s">
        <v>110</v>
      </c>
      <c r="K654" s="10"/>
      <c r="L654" s="12">
        <f t="shared" si="196"/>
        <v>0</v>
      </c>
      <c r="M654" s="12"/>
      <c r="N654" s="12"/>
      <c r="O654" s="12">
        <f t="shared" si="197"/>
        <v>95000</v>
      </c>
      <c r="P654" s="12">
        <v>95000</v>
      </c>
      <c r="Q654" s="12"/>
      <c r="R654" s="12">
        <f t="shared" si="198"/>
        <v>0</v>
      </c>
      <c r="S654" s="12"/>
      <c r="T654" s="12"/>
      <c r="U654" s="12">
        <f t="shared" si="199"/>
        <v>0</v>
      </c>
      <c r="V654" s="12"/>
      <c r="W654" s="12"/>
      <c r="X654" s="12">
        <f t="shared" si="200"/>
        <v>0</v>
      </c>
      <c r="Y654" s="12"/>
      <c r="Z654" s="12"/>
      <c r="AA654" s="13">
        <f t="shared" si="201"/>
        <v>0</v>
      </c>
      <c r="AB654" s="14">
        <v>46048</v>
      </c>
    </row>
    <row r="655" spans="1:28" ht="15.75" hidden="1" x14ac:dyDescent="0.25">
      <c r="A655" s="65">
        <v>46050</v>
      </c>
      <c r="B655" s="10" t="s">
        <v>417</v>
      </c>
      <c r="C655" s="10"/>
      <c r="D655" s="10" t="s">
        <v>28</v>
      </c>
      <c r="E655" s="10" t="s">
        <v>132</v>
      </c>
      <c r="F655" s="10">
        <v>1</v>
      </c>
      <c r="G655" s="10" t="s">
        <v>133</v>
      </c>
      <c r="H655" s="10">
        <v>1100000</v>
      </c>
      <c r="I655" s="10">
        <f t="shared" si="202"/>
        <v>1100000</v>
      </c>
      <c r="J655" s="29" t="s">
        <v>110</v>
      </c>
      <c r="K655" s="10"/>
      <c r="L655" s="12">
        <f t="shared" si="196"/>
        <v>0</v>
      </c>
      <c r="M655" s="12"/>
      <c r="N655" s="12"/>
      <c r="O655" s="12">
        <f t="shared" si="197"/>
        <v>1100000</v>
      </c>
      <c r="P655" s="12">
        <v>1100000</v>
      </c>
      <c r="Q655" s="12"/>
      <c r="R655" s="12">
        <f t="shared" si="198"/>
        <v>0</v>
      </c>
      <c r="S655" s="12"/>
      <c r="T655" s="12"/>
      <c r="U655" s="12">
        <f t="shared" si="199"/>
        <v>0</v>
      </c>
      <c r="V655" s="12"/>
      <c r="W655" s="12"/>
      <c r="X655" s="12">
        <f t="shared" si="200"/>
        <v>0</v>
      </c>
      <c r="Y655" s="12"/>
      <c r="Z655" s="12"/>
      <c r="AA655" s="13">
        <f t="shared" si="201"/>
        <v>0</v>
      </c>
      <c r="AB655" s="14">
        <v>46048</v>
      </c>
    </row>
    <row r="656" spans="1:28" ht="15.75" hidden="1" x14ac:dyDescent="0.25">
      <c r="A656" s="65">
        <v>46050</v>
      </c>
      <c r="B656" s="10" t="s">
        <v>231</v>
      </c>
      <c r="C656" s="10"/>
      <c r="D656" s="10" t="s">
        <v>32</v>
      </c>
      <c r="E656" s="10" t="s">
        <v>107</v>
      </c>
      <c r="F656" s="10">
        <v>20</v>
      </c>
      <c r="G656" s="10" t="s">
        <v>36</v>
      </c>
      <c r="H656" s="10">
        <v>52000</v>
      </c>
      <c r="I656" s="10">
        <f t="shared" si="202"/>
        <v>1040000</v>
      </c>
      <c r="J656" s="29" t="s">
        <v>113</v>
      </c>
      <c r="K656" s="10"/>
      <c r="L656" s="12">
        <f t="shared" si="196"/>
        <v>1040000</v>
      </c>
      <c r="M656" s="12">
        <v>1040000</v>
      </c>
      <c r="N656" s="12"/>
      <c r="O656" s="12">
        <f t="shared" si="197"/>
        <v>0</v>
      </c>
      <c r="P656" s="12"/>
      <c r="Q656" s="12"/>
      <c r="R656" s="12">
        <f t="shared" si="198"/>
        <v>0</v>
      </c>
      <c r="S656" s="12"/>
      <c r="T656" s="12"/>
      <c r="U656" s="12">
        <f t="shared" si="199"/>
        <v>0</v>
      </c>
      <c r="V656" s="12"/>
      <c r="W656" s="12"/>
      <c r="X656" s="12">
        <f t="shared" si="200"/>
        <v>0</v>
      </c>
      <c r="Y656" s="12"/>
      <c r="Z656" s="12"/>
      <c r="AA656" s="13">
        <f t="shared" si="201"/>
        <v>0</v>
      </c>
      <c r="AB656" s="14">
        <v>46050</v>
      </c>
    </row>
    <row r="657" spans="1:28" ht="15.75" hidden="1" x14ac:dyDescent="0.25">
      <c r="A657" s="65">
        <v>46050</v>
      </c>
      <c r="B657" s="10" t="s">
        <v>196</v>
      </c>
      <c r="C657" s="10"/>
      <c r="D657" s="10" t="s">
        <v>28</v>
      </c>
      <c r="E657" s="10" t="s">
        <v>198</v>
      </c>
      <c r="F657" s="10">
        <v>65.5</v>
      </c>
      <c r="G657" s="10" t="s">
        <v>36</v>
      </c>
      <c r="H657" s="10">
        <v>41000</v>
      </c>
      <c r="I657" s="10">
        <f t="shared" si="202"/>
        <v>2685500</v>
      </c>
      <c r="J657" s="29" t="s">
        <v>110</v>
      </c>
      <c r="K657" s="10"/>
      <c r="L657" s="12">
        <f t="shared" si="196"/>
        <v>0</v>
      </c>
      <c r="M657" s="12"/>
      <c r="N657" s="12"/>
      <c r="O657" s="12">
        <f t="shared" si="197"/>
        <v>2685500</v>
      </c>
      <c r="P657" s="12">
        <v>2685500</v>
      </c>
      <c r="Q657" s="12"/>
      <c r="R657" s="12">
        <f t="shared" si="198"/>
        <v>0</v>
      </c>
      <c r="S657" s="12"/>
      <c r="T657" s="12"/>
      <c r="U657" s="12">
        <f t="shared" si="199"/>
        <v>0</v>
      </c>
      <c r="V657" s="12"/>
      <c r="W657" s="12"/>
      <c r="X657" s="12">
        <f t="shared" si="200"/>
        <v>0</v>
      </c>
      <c r="Y657" s="12"/>
      <c r="Z657" s="12"/>
      <c r="AA657" s="13">
        <f t="shared" si="201"/>
        <v>0</v>
      </c>
      <c r="AB657" s="14">
        <v>46050</v>
      </c>
    </row>
    <row r="658" spans="1:28" ht="15.75" hidden="1" x14ac:dyDescent="0.25">
      <c r="A658" s="65">
        <v>46050</v>
      </c>
      <c r="B658" s="10" t="s">
        <v>294</v>
      </c>
      <c r="C658" s="10"/>
      <c r="D658" s="10" t="s">
        <v>32</v>
      </c>
      <c r="E658" s="10" t="s">
        <v>107</v>
      </c>
      <c r="F658" s="10">
        <v>20</v>
      </c>
      <c r="G658" s="10" t="s">
        <v>36</v>
      </c>
      <c r="H658" s="10">
        <v>57000</v>
      </c>
      <c r="I658" s="10">
        <f t="shared" si="202"/>
        <v>1140000</v>
      </c>
      <c r="J658" s="29" t="s">
        <v>113</v>
      </c>
      <c r="K658" s="10"/>
      <c r="L658" s="12">
        <f t="shared" si="196"/>
        <v>0</v>
      </c>
      <c r="M658" s="12"/>
      <c r="N658" s="12"/>
      <c r="O658" s="12">
        <f t="shared" si="197"/>
        <v>0</v>
      </c>
      <c r="P658" s="12"/>
      <c r="Q658" s="12"/>
      <c r="R658" s="12">
        <f t="shared" si="198"/>
        <v>0</v>
      </c>
      <c r="S658" s="12"/>
      <c r="T658" s="12"/>
      <c r="U658" s="12">
        <f t="shared" si="199"/>
        <v>1140000</v>
      </c>
      <c r="V658" s="12">
        <v>1140000</v>
      </c>
      <c r="W658" s="12"/>
      <c r="X658" s="12">
        <f t="shared" si="200"/>
        <v>0</v>
      </c>
      <c r="Y658" s="12"/>
      <c r="Z658" s="12"/>
      <c r="AA658" s="13">
        <f t="shared" si="201"/>
        <v>0</v>
      </c>
      <c r="AB658" s="14">
        <v>46050</v>
      </c>
    </row>
    <row r="659" spans="1:28" ht="15.75" hidden="1" x14ac:dyDescent="0.25">
      <c r="A659" s="65">
        <v>46050</v>
      </c>
      <c r="B659" s="10" t="s">
        <v>297</v>
      </c>
      <c r="C659" s="10"/>
      <c r="D659" s="10" t="s">
        <v>28</v>
      </c>
      <c r="E659" s="10" t="s">
        <v>130</v>
      </c>
      <c r="F659" s="10">
        <v>10</v>
      </c>
      <c r="G659" s="10" t="s">
        <v>67</v>
      </c>
      <c r="H659" s="10">
        <v>50000</v>
      </c>
      <c r="I659" s="10">
        <f t="shared" si="202"/>
        <v>500000</v>
      </c>
      <c r="J659" s="52" t="s">
        <v>30</v>
      </c>
      <c r="K659" s="87" t="s">
        <v>251</v>
      </c>
      <c r="L659" s="12">
        <f t="shared" si="196"/>
        <v>0</v>
      </c>
      <c r="M659" s="12"/>
      <c r="N659" s="12"/>
      <c r="O659" s="12">
        <f t="shared" si="197"/>
        <v>0</v>
      </c>
      <c r="P659" s="12"/>
      <c r="Q659" s="12"/>
      <c r="R659" s="12">
        <f t="shared" si="198"/>
        <v>0</v>
      </c>
      <c r="S659" s="12"/>
      <c r="T659" s="12"/>
      <c r="U659" s="12">
        <f t="shared" si="199"/>
        <v>0</v>
      </c>
      <c r="V659" s="12"/>
      <c r="W659" s="12"/>
      <c r="X659" s="12">
        <f t="shared" si="200"/>
        <v>0</v>
      </c>
      <c r="Y659" s="12"/>
      <c r="Z659" s="12"/>
      <c r="AA659" s="13">
        <f t="shared" si="201"/>
        <v>500000</v>
      </c>
      <c r="AB659" s="14"/>
    </row>
    <row r="660" spans="1:28" ht="15.75" hidden="1" x14ac:dyDescent="0.25">
      <c r="A660" s="65">
        <v>46050</v>
      </c>
      <c r="B660" s="10" t="s">
        <v>297</v>
      </c>
      <c r="C660" s="10"/>
      <c r="D660" s="10" t="s">
        <v>28</v>
      </c>
      <c r="E660" s="10" t="s">
        <v>117</v>
      </c>
      <c r="F660" s="10">
        <v>10</v>
      </c>
      <c r="G660" s="10" t="s">
        <v>36</v>
      </c>
      <c r="H660" s="10">
        <v>70000</v>
      </c>
      <c r="I660" s="10">
        <f t="shared" si="202"/>
        <v>700000</v>
      </c>
      <c r="J660" s="52" t="s">
        <v>30</v>
      </c>
      <c r="K660" s="87" t="s">
        <v>251</v>
      </c>
      <c r="L660" s="12">
        <f t="shared" si="196"/>
        <v>0</v>
      </c>
      <c r="M660" s="12"/>
      <c r="N660" s="12"/>
      <c r="O660" s="12">
        <f t="shared" si="197"/>
        <v>0</v>
      </c>
      <c r="P660" s="12"/>
      <c r="Q660" s="12"/>
      <c r="R660" s="12">
        <f t="shared" si="198"/>
        <v>0</v>
      </c>
      <c r="S660" s="12"/>
      <c r="T660" s="12"/>
      <c r="U660" s="12">
        <f t="shared" si="199"/>
        <v>0</v>
      </c>
      <c r="V660" s="12"/>
      <c r="W660" s="12"/>
      <c r="X660" s="12">
        <f t="shared" si="200"/>
        <v>0</v>
      </c>
      <c r="Y660" s="12"/>
      <c r="Z660" s="12"/>
      <c r="AA660" s="13">
        <f t="shared" si="201"/>
        <v>700000</v>
      </c>
      <c r="AB660" s="14"/>
    </row>
    <row r="661" spans="1:28" ht="15.75" hidden="1" x14ac:dyDescent="0.25">
      <c r="A661" s="65">
        <v>46050</v>
      </c>
      <c r="B661" s="10" t="s">
        <v>297</v>
      </c>
      <c r="C661" s="10"/>
      <c r="D661" s="10" t="s">
        <v>28</v>
      </c>
      <c r="E661" s="10" t="s">
        <v>418</v>
      </c>
      <c r="F661" s="10">
        <v>2</v>
      </c>
      <c r="G661" s="10" t="s">
        <v>39</v>
      </c>
      <c r="H661" s="10">
        <v>700000</v>
      </c>
      <c r="I661" s="10">
        <f t="shared" si="202"/>
        <v>1400000</v>
      </c>
      <c r="J661" s="52" t="s">
        <v>30</v>
      </c>
      <c r="K661" s="87" t="s">
        <v>251</v>
      </c>
      <c r="L661" s="12">
        <f t="shared" si="196"/>
        <v>0</v>
      </c>
      <c r="M661" s="12"/>
      <c r="N661" s="12"/>
      <c r="O661" s="12">
        <f t="shared" si="197"/>
        <v>0</v>
      </c>
      <c r="P661" s="12"/>
      <c r="Q661" s="12"/>
      <c r="R661" s="12">
        <f t="shared" si="198"/>
        <v>0</v>
      </c>
      <c r="S661" s="12"/>
      <c r="T661" s="12"/>
      <c r="U661" s="12">
        <f t="shared" si="199"/>
        <v>0</v>
      </c>
      <c r="V661" s="12"/>
      <c r="W661" s="12"/>
      <c r="X661" s="12">
        <f t="shared" si="200"/>
        <v>0</v>
      </c>
      <c r="Y661" s="12"/>
      <c r="Z661" s="12"/>
      <c r="AA661" s="13">
        <f t="shared" si="201"/>
        <v>1400000</v>
      </c>
      <c r="AB661" s="14"/>
    </row>
    <row r="662" spans="1:28" ht="15.75" hidden="1" x14ac:dyDescent="0.25">
      <c r="A662" s="65">
        <v>46050</v>
      </c>
      <c r="B662" s="10" t="s">
        <v>419</v>
      </c>
      <c r="C662" s="10"/>
      <c r="D662" s="10" t="s">
        <v>195</v>
      </c>
      <c r="E662" s="10" t="s">
        <v>344</v>
      </c>
      <c r="F662" s="10">
        <v>12.8</v>
      </c>
      <c r="G662" s="10" t="s">
        <v>36</v>
      </c>
      <c r="H662" s="10">
        <v>43000</v>
      </c>
      <c r="I662" s="10">
        <f t="shared" si="202"/>
        <v>550400</v>
      </c>
      <c r="J662" s="29" t="s">
        <v>110</v>
      </c>
      <c r="K662" s="10"/>
      <c r="L662" s="12">
        <f t="shared" si="196"/>
        <v>0</v>
      </c>
      <c r="M662" s="12"/>
      <c r="N662" s="12"/>
      <c r="O662" s="12">
        <f t="shared" si="197"/>
        <v>550400</v>
      </c>
      <c r="P662" s="12">
        <v>550400</v>
      </c>
      <c r="Q662" s="12"/>
      <c r="R662" s="12">
        <f t="shared" si="198"/>
        <v>0</v>
      </c>
      <c r="S662" s="12"/>
      <c r="T662" s="12"/>
      <c r="U662" s="12">
        <f t="shared" si="199"/>
        <v>0</v>
      </c>
      <c r="V662" s="12"/>
      <c r="W662" s="12"/>
      <c r="X662" s="12">
        <f t="shared" si="200"/>
        <v>0</v>
      </c>
      <c r="Y662" s="12"/>
      <c r="Z662" s="12"/>
      <c r="AA662" s="13">
        <f t="shared" si="201"/>
        <v>0</v>
      </c>
      <c r="AB662" s="14">
        <v>46050</v>
      </c>
    </row>
    <row r="663" spans="1:28" ht="15.75" hidden="1" x14ac:dyDescent="0.25">
      <c r="A663" s="65">
        <v>46050</v>
      </c>
      <c r="B663" s="10" t="s">
        <v>275</v>
      </c>
      <c r="C663" s="10"/>
      <c r="D663" s="10" t="s">
        <v>28</v>
      </c>
      <c r="E663" s="10" t="s">
        <v>276</v>
      </c>
      <c r="F663" s="10">
        <v>25</v>
      </c>
      <c r="G663" s="10" t="s">
        <v>36</v>
      </c>
      <c r="H663" s="10">
        <v>55000</v>
      </c>
      <c r="I663" s="10">
        <f t="shared" si="202"/>
        <v>1375000</v>
      </c>
      <c r="J663" s="29" t="s">
        <v>113</v>
      </c>
      <c r="K663" s="10"/>
      <c r="L663" s="12">
        <f t="shared" si="196"/>
        <v>1375000</v>
      </c>
      <c r="M663" s="12">
        <v>1375000</v>
      </c>
      <c r="N663" s="12"/>
      <c r="O663" s="12">
        <f t="shared" si="197"/>
        <v>0</v>
      </c>
      <c r="P663" s="12"/>
      <c r="Q663" s="12"/>
      <c r="R663" s="12">
        <f t="shared" si="198"/>
        <v>0</v>
      </c>
      <c r="S663" s="12"/>
      <c r="T663" s="12"/>
      <c r="U663" s="12">
        <f t="shared" si="199"/>
        <v>0</v>
      </c>
      <c r="V663" s="12"/>
      <c r="W663" s="12"/>
      <c r="X663" s="12">
        <f t="shared" si="200"/>
        <v>0</v>
      </c>
      <c r="Y663" s="12"/>
      <c r="Z663" s="12"/>
      <c r="AA663" s="13">
        <f t="shared" si="201"/>
        <v>0</v>
      </c>
      <c r="AB663" s="14">
        <v>46050</v>
      </c>
    </row>
    <row r="664" spans="1:28" ht="15.75" hidden="1" x14ac:dyDescent="0.25">
      <c r="A664" s="65">
        <v>46050</v>
      </c>
      <c r="B664" s="10" t="s">
        <v>334</v>
      </c>
      <c r="C664" s="10"/>
      <c r="D664" s="10" t="s">
        <v>383</v>
      </c>
      <c r="E664" s="10" t="s">
        <v>116</v>
      </c>
      <c r="F664" s="10">
        <v>8</v>
      </c>
      <c r="G664" s="10" t="s">
        <v>67</v>
      </c>
      <c r="H664" s="10">
        <v>65000</v>
      </c>
      <c r="I664" s="10">
        <f t="shared" si="202"/>
        <v>520000</v>
      </c>
      <c r="J664" s="52" t="s">
        <v>30</v>
      </c>
      <c r="K664" s="87" t="s">
        <v>387</v>
      </c>
      <c r="L664" s="12">
        <f t="shared" si="196"/>
        <v>0</v>
      </c>
      <c r="M664" s="12"/>
      <c r="N664" s="12"/>
      <c r="O664" s="12">
        <f t="shared" si="197"/>
        <v>0</v>
      </c>
      <c r="P664" s="12"/>
      <c r="Q664" s="12"/>
      <c r="R664" s="12">
        <f t="shared" si="198"/>
        <v>0</v>
      </c>
      <c r="S664" s="12"/>
      <c r="T664" s="12"/>
      <c r="U664" s="12">
        <f t="shared" si="199"/>
        <v>0</v>
      </c>
      <c r="V664" s="12"/>
      <c r="W664" s="12"/>
      <c r="X664" s="12">
        <f t="shared" si="200"/>
        <v>0</v>
      </c>
      <c r="Y664" s="12"/>
      <c r="Z664" s="12"/>
      <c r="AA664" s="13">
        <f t="shared" si="201"/>
        <v>520000</v>
      </c>
      <c r="AB664" s="14"/>
    </row>
    <row r="665" spans="1:28" ht="15.75" hidden="1" x14ac:dyDescent="0.25">
      <c r="A665" s="65">
        <v>46050</v>
      </c>
      <c r="B665" s="10" t="s">
        <v>334</v>
      </c>
      <c r="C665" s="10"/>
      <c r="D665" s="10" t="s">
        <v>383</v>
      </c>
      <c r="E665" s="10" t="s">
        <v>114</v>
      </c>
      <c r="F665" s="10">
        <v>10</v>
      </c>
      <c r="G665" s="10" t="s">
        <v>67</v>
      </c>
      <c r="H665" s="10">
        <v>50000</v>
      </c>
      <c r="I665" s="10">
        <f t="shared" si="202"/>
        <v>500000</v>
      </c>
      <c r="J665" s="52" t="s">
        <v>30</v>
      </c>
      <c r="K665" s="87" t="s">
        <v>387</v>
      </c>
      <c r="L665" s="12">
        <f t="shared" si="196"/>
        <v>0</v>
      </c>
      <c r="M665" s="12"/>
      <c r="N665" s="12"/>
      <c r="O665" s="12">
        <f t="shared" si="197"/>
        <v>0</v>
      </c>
      <c r="P665" s="12"/>
      <c r="Q665" s="12"/>
      <c r="R665" s="12">
        <f t="shared" si="198"/>
        <v>0</v>
      </c>
      <c r="S665" s="12"/>
      <c r="T665" s="12"/>
      <c r="U665" s="12">
        <f t="shared" si="199"/>
        <v>0</v>
      </c>
      <c r="V665" s="12"/>
      <c r="W665" s="12"/>
      <c r="X665" s="12">
        <f t="shared" si="200"/>
        <v>0</v>
      </c>
      <c r="Y665" s="12"/>
      <c r="Z665" s="12"/>
      <c r="AA665" s="13">
        <f t="shared" si="201"/>
        <v>500000</v>
      </c>
      <c r="AB665" s="14"/>
    </row>
    <row r="666" spans="1:28" ht="15.75" hidden="1" x14ac:dyDescent="0.25">
      <c r="A666" s="65">
        <v>46050</v>
      </c>
      <c r="B666" s="10" t="s">
        <v>420</v>
      </c>
      <c r="C666" s="10"/>
      <c r="D666" s="10" t="s">
        <v>195</v>
      </c>
      <c r="E666" s="10" t="s">
        <v>421</v>
      </c>
      <c r="F666" s="10">
        <v>3</v>
      </c>
      <c r="G666" s="10" t="s">
        <v>22</v>
      </c>
      <c r="H666" s="10">
        <v>400000</v>
      </c>
      <c r="I666" s="10">
        <f t="shared" si="202"/>
        <v>1200000</v>
      </c>
      <c r="J666" s="29" t="s">
        <v>110</v>
      </c>
      <c r="K666" s="10"/>
      <c r="L666" s="12">
        <f t="shared" si="196"/>
        <v>0</v>
      </c>
      <c r="M666" s="12"/>
      <c r="N666" s="12"/>
      <c r="O666" s="12">
        <f t="shared" si="197"/>
        <v>1200000</v>
      </c>
      <c r="P666" s="12">
        <v>1200000</v>
      </c>
      <c r="Q666" s="12"/>
      <c r="R666" s="12">
        <f t="shared" si="198"/>
        <v>0</v>
      </c>
      <c r="S666" s="12"/>
      <c r="T666" s="12"/>
      <c r="U666" s="12">
        <f t="shared" si="199"/>
        <v>0</v>
      </c>
      <c r="V666" s="12"/>
      <c r="W666" s="12"/>
      <c r="X666" s="12">
        <f t="shared" si="200"/>
        <v>0</v>
      </c>
      <c r="Y666" s="12"/>
      <c r="Z666" s="12"/>
      <c r="AA666" s="13">
        <f t="shared" si="201"/>
        <v>0</v>
      </c>
      <c r="AB666" s="14">
        <v>46049</v>
      </c>
    </row>
    <row r="667" spans="1:28" ht="15.75" hidden="1" x14ac:dyDescent="0.25">
      <c r="A667" s="65">
        <v>46050</v>
      </c>
      <c r="B667" s="10" t="s">
        <v>420</v>
      </c>
      <c r="C667" s="10"/>
      <c r="D667" s="10" t="s">
        <v>195</v>
      </c>
      <c r="E667" s="10" t="s">
        <v>314</v>
      </c>
      <c r="F667" s="10">
        <v>3</v>
      </c>
      <c r="G667" s="10" t="s">
        <v>22</v>
      </c>
      <c r="H667" s="10">
        <v>400000</v>
      </c>
      <c r="I667" s="10">
        <f t="shared" si="202"/>
        <v>1200000</v>
      </c>
      <c r="J667" s="29" t="s">
        <v>110</v>
      </c>
      <c r="K667" s="10"/>
      <c r="L667" s="12">
        <f t="shared" si="196"/>
        <v>0</v>
      </c>
      <c r="M667" s="12"/>
      <c r="N667" s="12"/>
      <c r="O667" s="12">
        <f t="shared" si="197"/>
        <v>1200000</v>
      </c>
      <c r="P667" s="12">
        <v>1200000</v>
      </c>
      <c r="Q667" s="12"/>
      <c r="R667" s="12">
        <f t="shared" si="198"/>
        <v>0</v>
      </c>
      <c r="S667" s="12"/>
      <c r="T667" s="12"/>
      <c r="U667" s="12">
        <f t="shared" si="199"/>
        <v>0</v>
      </c>
      <c r="V667" s="12"/>
      <c r="W667" s="12"/>
      <c r="X667" s="12">
        <f t="shared" si="200"/>
        <v>0</v>
      </c>
      <c r="Y667" s="12"/>
      <c r="Z667" s="12"/>
      <c r="AA667" s="13">
        <f t="shared" si="201"/>
        <v>0</v>
      </c>
      <c r="AB667" s="14">
        <v>46049</v>
      </c>
    </row>
    <row r="668" spans="1:28" ht="15.75" hidden="1" x14ac:dyDescent="0.25">
      <c r="A668" s="65">
        <v>46050</v>
      </c>
      <c r="B668" s="10" t="s">
        <v>422</v>
      </c>
      <c r="C668" s="10"/>
      <c r="D668" s="10" t="s">
        <v>383</v>
      </c>
      <c r="E668" s="10" t="s">
        <v>65</v>
      </c>
      <c r="F668" s="10">
        <v>6000</v>
      </c>
      <c r="G668" s="10" t="s">
        <v>26</v>
      </c>
      <c r="H668" s="10">
        <v>3800</v>
      </c>
      <c r="I668" s="10">
        <f t="shared" si="202"/>
        <v>22800000</v>
      </c>
      <c r="J668" s="29" t="s">
        <v>110</v>
      </c>
      <c r="K668" s="10"/>
      <c r="L668" s="12">
        <f t="shared" si="196"/>
        <v>0</v>
      </c>
      <c r="M668" s="12"/>
      <c r="N668" s="12"/>
      <c r="O668" s="12">
        <f t="shared" si="197"/>
        <v>0</v>
      </c>
      <c r="P668" s="12"/>
      <c r="Q668" s="12"/>
      <c r="R668" s="12">
        <f t="shared" si="198"/>
        <v>22800000</v>
      </c>
      <c r="S668" s="12">
        <v>22800000</v>
      </c>
      <c r="T668" s="12"/>
      <c r="U668" s="12">
        <f t="shared" si="199"/>
        <v>0</v>
      </c>
      <c r="V668" s="12"/>
      <c r="W668" s="12"/>
      <c r="X668" s="12">
        <f t="shared" si="200"/>
        <v>0</v>
      </c>
      <c r="Y668" s="12"/>
      <c r="Z668" s="12"/>
      <c r="AA668" s="13">
        <f t="shared" si="201"/>
        <v>0</v>
      </c>
      <c r="AB668" s="14">
        <v>46050</v>
      </c>
    </row>
    <row r="669" spans="1:28" ht="15.75" hidden="1" x14ac:dyDescent="0.25">
      <c r="A669" s="65">
        <v>46050</v>
      </c>
      <c r="B669" s="10" t="s">
        <v>55</v>
      </c>
      <c r="C669" s="10"/>
      <c r="D669" s="10" t="s">
        <v>195</v>
      </c>
      <c r="E669" s="10" t="s">
        <v>65</v>
      </c>
      <c r="F669" s="10">
        <v>4000</v>
      </c>
      <c r="G669" s="10" t="s">
        <v>26</v>
      </c>
      <c r="H669" s="10">
        <v>3800</v>
      </c>
      <c r="I669" s="10">
        <f t="shared" si="202"/>
        <v>15200000</v>
      </c>
      <c r="J669" s="52" t="s">
        <v>90</v>
      </c>
      <c r="K669" s="10" t="s">
        <v>394</v>
      </c>
      <c r="L669" s="12">
        <f t="shared" si="196"/>
        <v>0</v>
      </c>
      <c r="M669" s="12"/>
      <c r="N669" s="12"/>
      <c r="O669" s="12">
        <f t="shared" si="197"/>
        <v>0</v>
      </c>
      <c r="P669" s="12"/>
      <c r="Q669" s="12"/>
      <c r="R669" s="12">
        <f t="shared" si="198"/>
        <v>0</v>
      </c>
      <c r="S669" s="12"/>
      <c r="T669" s="12"/>
      <c r="U669" s="12">
        <f t="shared" si="199"/>
        <v>0</v>
      </c>
      <c r="V669" s="12"/>
      <c r="W669" s="12"/>
      <c r="X669" s="12">
        <f t="shared" si="200"/>
        <v>0</v>
      </c>
      <c r="Y669" s="12"/>
      <c r="Z669" s="12"/>
      <c r="AA669" s="13">
        <f t="shared" si="201"/>
        <v>15200000</v>
      </c>
      <c r="AB669" s="14"/>
    </row>
    <row r="670" spans="1:28" ht="15.75" hidden="1" x14ac:dyDescent="0.25">
      <c r="A670" s="65">
        <v>46050</v>
      </c>
      <c r="B670" s="10" t="s">
        <v>106</v>
      </c>
      <c r="C670" s="10"/>
      <c r="D670" s="10" t="s">
        <v>195</v>
      </c>
      <c r="E670" s="10" t="s">
        <v>139</v>
      </c>
      <c r="F670" s="10">
        <v>19</v>
      </c>
      <c r="G670" s="10" t="s">
        <v>36</v>
      </c>
      <c r="H670" s="10">
        <v>43000</v>
      </c>
      <c r="I670" s="10">
        <f t="shared" si="202"/>
        <v>817000</v>
      </c>
      <c r="J670" s="29" t="s">
        <v>110</v>
      </c>
      <c r="K670" s="10"/>
      <c r="L670" s="12">
        <f t="shared" si="196"/>
        <v>0</v>
      </c>
      <c r="M670" s="12"/>
      <c r="N670" s="12"/>
      <c r="O670" s="12">
        <f t="shared" si="197"/>
        <v>0</v>
      </c>
      <c r="P670" s="12"/>
      <c r="Q670" s="12"/>
      <c r="R670" s="12">
        <f t="shared" si="198"/>
        <v>817000</v>
      </c>
      <c r="S670" s="12">
        <v>817000</v>
      </c>
      <c r="T670" s="12"/>
      <c r="U670" s="12">
        <f t="shared" si="199"/>
        <v>0</v>
      </c>
      <c r="V670" s="12"/>
      <c r="W670" s="12"/>
      <c r="X670" s="12">
        <f t="shared" si="200"/>
        <v>0</v>
      </c>
      <c r="Y670" s="12"/>
      <c r="Z670" s="12"/>
      <c r="AA670" s="13">
        <f t="shared" si="201"/>
        <v>0</v>
      </c>
      <c r="AB670" s="14">
        <v>46050</v>
      </c>
    </row>
    <row r="671" spans="1:28" ht="15.75" hidden="1" x14ac:dyDescent="0.25">
      <c r="A671" s="65">
        <v>46050</v>
      </c>
      <c r="B671" s="10" t="s">
        <v>267</v>
      </c>
      <c r="C671" s="10"/>
      <c r="D671" s="10" t="s">
        <v>195</v>
      </c>
      <c r="E671" s="10" t="s">
        <v>104</v>
      </c>
      <c r="F671" s="10">
        <v>600</v>
      </c>
      <c r="G671" s="10" t="s">
        <v>26</v>
      </c>
      <c r="H671" s="10">
        <v>1900</v>
      </c>
      <c r="I671" s="10">
        <f t="shared" si="202"/>
        <v>1140000</v>
      </c>
      <c r="J671" s="29" t="s">
        <v>113</v>
      </c>
      <c r="K671" s="10"/>
      <c r="L671" s="12">
        <f t="shared" si="196"/>
        <v>1140000</v>
      </c>
      <c r="M671" s="12">
        <v>1140000</v>
      </c>
      <c r="N671" s="12"/>
      <c r="O671" s="12">
        <f t="shared" si="197"/>
        <v>0</v>
      </c>
      <c r="P671" s="12"/>
      <c r="Q671" s="12"/>
      <c r="R671" s="12">
        <f t="shared" si="198"/>
        <v>0</v>
      </c>
      <c r="S671" s="12"/>
      <c r="T671" s="12"/>
      <c r="U671" s="12">
        <f t="shared" si="199"/>
        <v>0</v>
      </c>
      <c r="V671" s="12"/>
      <c r="W671" s="12"/>
      <c r="X671" s="12">
        <f t="shared" si="200"/>
        <v>0</v>
      </c>
      <c r="Y671" s="12"/>
      <c r="Z671" s="12"/>
      <c r="AA671" s="13">
        <f t="shared" si="201"/>
        <v>0</v>
      </c>
      <c r="AB671" s="14">
        <v>46050</v>
      </c>
    </row>
    <row r="672" spans="1:28" ht="15.75" hidden="1" x14ac:dyDescent="0.25">
      <c r="A672" s="65">
        <v>46050</v>
      </c>
      <c r="B672" s="10" t="s">
        <v>272</v>
      </c>
      <c r="C672" s="10"/>
      <c r="D672" s="10"/>
      <c r="E672" s="10" t="s">
        <v>315</v>
      </c>
      <c r="F672" s="10">
        <v>133.5</v>
      </c>
      <c r="G672" s="10" t="s">
        <v>36</v>
      </c>
      <c r="H672" s="10"/>
      <c r="I672" s="10">
        <f t="shared" si="202"/>
        <v>0</v>
      </c>
      <c r="J672" s="52" t="s">
        <v>90</v>
      </c>
      <c r="K672" s="10"/>
      <c r="L672" s="12">
        <f t="shared" si="196"/>
        <v>0</v>
      </c>
      <c r="M672" s="12"/>
      <c r="N672" s="12"/>
      <c r="O672" s="12">
        <f t="shared" si="197"/>
        <v>0</v>
      </c>
      <c r="P672" s="12"/>
      <c r="Q672" s="12"/>
      <c r="R672" s="12">
        <f t="shared" si="198"/>
        <v>0</v>
      </c>
      <c r="S672" s="12"/>
      <c r="T672" s="12"/>
      <c r="U672" s="12">
        <f t="shared" si="199"/>
        <v>0</v>
      </c>
      <c r="V672" s="12"/>
      <c r="W672" s="12"/>
      <c r="X672" s="12">
        <f t="shared" si="200"/>
        <v>0</v>
      </c>
      <c r="Y672" s="12"/>
      <c r="Z672" s="12"/>
      <c r="AA672" s="13">
        <f t="shared" si="201"/>
        <v>0</v>
      </c>
      <c r="AB672" s="14"/>
    </row>
    <row r="673" spans="1:28" ht="15.75" hidden="1" x14ac:dyDescent="0.25">
      <c r="A673" s="65">
        <v>46050</v>
      </c>
      <c r="B673" s="10" t="s">
        <v>272</v>
      </c>
      <c r="C673" s="10"/>
      <c r="D673" s="10"/>
      <c r="E673" s="10" t="s">
        <v>315</v>
      </c>
      <c r="F673" s="10">
        <v>54</v>
      </c>
      <c r="G673" s="10" t="s">
        <v>36</v>
      </c>
      <c r="H673" s="10"/>
      <c r="I673" s="10">
        <f t="shared" si="202"/>
        <v>0</v>
      </c>
      <c r="J673" s="52" t="s">
        <v>30</v>
      </c>
      <c r="K673" s="10"/>
      <c r="L673" s="12">
        <f t="shared" si="196"/>
        <v>0</v>
      </c>
      <c r="M673" s="12"/>
      <c r="N673" s="12"/>
      <c r="O673" s="12">
        <f t="shared" si="197"/>
        <v>0</v>
      </c>
      <c r="P673" s="12"/>
      <c r="Q673" s="12"/>
      <c r="R673" s="12">
        <f t="shared" si="198"/>
        <v>0</v>
      </c>
      <c r="S673" s="12"/>
      <c r="T673" s="12"/>
      <c r="U673" s="12">
        <f t="shared" si="199"/>
        <v>0</v>
      </c>
      <c r="V673" s="12"/>
      <c r="W673" s="12"/>
      <c r="X673" s="12">
        <f t="shared" si="200"/>
        <v>0</v>
      </c>
      <c r="Y673" s="12"/>
      <c r="Z673" s="12"/>
      <c r="AA673" s="13">
        <f t="shared" si="201"/>
        <v>0</v>
      </c>
      <c r="AB673" s="14"/>
    </row>
    <row r="674" spans="1:28" ht="15.75" hidden="1" x14ac:dyDescent="0.25">
      <c r="A674" s="65">
        <v>46050</v>
      </c>
      <c r="B674" s="10" t="s">
        <v>272</v>
      </c>
      <c r="C674" s="10"/>
      <c r="D674" s="10"/>
      <c r="E674" s="10" t="s">
        <v>80</v>
      </c>
      <c r="F674" s="10">
        <v>67.099999999999994</v>
      </c>
      <c r="G674" s="10" t="s">
        <v>36</v>
      </c>
      <c r="H674" s="10"/>
      <c r="I674" s="10">
        <f t="shared" si="202"/>
        <v>0</v>
      </c>
      <c r="J674" s="86" t="s">
        <v>76</v>
      </c>
      <c r="K674" s="10"/>
      <c r="L674" s="12">
        <f t="shared" si="196"/>
        <v>0</v>
      </c>
      <c r="M674" s="12"/>
      <c r="N674" s="12"/>
      <c r="O674" s="12">
        <f t="shared" si="197"/>
        <v>0</v>
      </c>
      <c r="P674" s="12"/>
      <c r="Q674" s="12"/>
      <c r="R674" s="12">
        <f t="shared" si="198"/>
        <v>0</v>
      </c>
      <c r="S674" s="12"/>
      <c r="T674" s="12"/>
      <c r="U674" s="12">
        <f t="shared" si="199"/>
        <v>0</v>
      </c>
      <c r="V674" s="12"/>
      <c r="W674" s="12"/>
      <c r="X674" s="12">
        <f t="shared" si="200"/>
        <v>0</v>
      </c>
      <c r="Y674" s="12"/>
      <c r="Z674" s="12"/>
      <c r="AA674" s="13">
        <f t="shared" si="201"/>
        <v>0</v>
      </c>
      <c r="AB674" s="14"/>
    </row>
    <row r="675" spans="1:28" ht="15.75" hidden="1" x14ac:dyDescent="0.25">
      <c r="A675" s="65">
        <v>46050</v>
      </c>
      <c r="B675" s="10" t="s">
        <v>272</v>
      </c>
      <c r="C675" s="10"/>
      <c r="D675" s="10"/>
      <c r="E675" s="10" t="s">
        <v>307</v>
      </c>
      <c r="F675" s="10">
        <v>55.2</v>
      </c>
      <c r="G675" s="10" t="s">
        <v>36</v>
      </c>
      <c r="H675" s="10"/>
      <c r="I675" s="10">
        <f t="shared" si="202"/>
        <v>0</v>
      </c>
      <c r="J675" s="86" t="s">
        <v>76</v>
      </c>
      <c r="K675" s="10"/>
      <c r="L675" s="12">
        <f t="shared" si="196"/>
        <v>0</v>
      </c>
      <c r="M675" s="12"/>
      <c r="N675" s="12"/>
      <c r="O675" s="12">
        <f t="shared" si="197"/>
        <v>0</v>
      </c>
      <c r="P675" s="12"/>
      <c r="Q675" s="12"/>
      <c r="R675" s="12">
        <f t="shared" si="198"/>
        <v>0</v>
      </c>
      <c r="S675" s="12"/>
      <c r="T675" s="12"/>
      <c r="U675" s="12">
        <f t="shared" si="199"/>
        <v>0</v>
      </c>
      <c r="V675" s="12"/>
      <c r="W675" s="12"/>
      <c r="X675" s="12">
        <f t="shared" si="200"/>
        <v>0</v>
      </c>
      <c r="Y675" s="12"/>
      <c r="Z675" s="12"/>
      <c r="AA675" s="13">
        <f t="shared" si="201"/>
        <v>0</v>
      </c>
      <c r="AB675" s="14"/>
    </row>
    <row r="676" spans="1:28" ht="15.75" hidden="1" x14ac:dyDescent="0.25">
      <c r="A676" s="65">
        <v>46050</v>
      </c>
      <c r="B676" s="10" t="s">
        <v>272</v>
      </c>
      <c r="C676" s="10"/>
      <c r="D676" s="10"/>
      <c r="E676" s="10" t="s">
        <v>168</v>
      </c>
      <c r="F676" s="10">
        <v>157.1</v>
      </c>
      <c r="G676" s="10" t="s">
        <v>36</v>
      </c>
      <c r="H676" s="10"/>
      <c r="I676" s="10">
        <f t="shared" si="202"/>
        <v>0</v>
      </c>
      <c r="J676" s="86" t="s">
        <v>76</v>
      </c>
      <c r="K676" s="10"/>
      <c r="L676" s="12">
        <f t="shared" si="196"/>
        <v>0</v>
      </c>
      <c r="M676" s="12"/>
      <c r="N676" s="12"/>
      <c r="O676" s="12">
        <f t="shared" si="197"/>
        <v>0</v>
      </c>
      <c r="P676" s="12"/>
      <c r="Q676" s="12"/>
      <c r="R676" s="12">
        <f t="shared" si="198"/>
        <v>0</v>
      </c>
      <c r="S676" s="12"/>
      <c r="T676" s="12"/>
      <c r="U676" s="12">
        <f t="shared" si="199"/>
        <v>0</v>
      </c>
      <c r="V676" s="12"/>
      <c r="W676" s="12"/>
      <c r="X676" s="12">
        <f t="shared" si="200"/>
        <v>0</v>
      </c>
      <c r="Y676" s="12"/>
      <c r="Z676" s="12"/>
      <c r="AA676" s="13">
        <f t="shared" si="201"/>
        <v>0</v>
      </c>
      <c r="AB676" s="14"/>
    </row>
    <row r="677" spans="1:28" ht="15.75" hidden="1" x14ac:dyDescent="0.25">
      <c r="A677" s="65">
        <v>46050</v>
      </c>
      <c r="B677" s="10" t="s">
        <v>272</v>
      </c>
      <c r="C677" s="10"/>
      <c r="D677" s="10"/>
      <c r="E677" s="10" t="s">
        <v>92</v>
      </c>
      <c r="F677" s="10">
        <v>68.599999999999994</v>
      </c>
      <c r="G677" s="10" t="s">
        <v>36</v>
      </c>
      <c r="H677" s="10"/>
      <c r="I677" s="10">
        <f t="shared" si="202"/>
        <v>0</v>
      </c>
      <c r="J677" s="52" t="s">
        <v>30</v>
      </c>
      <c r="K677" s="10"/>
      <c r="L677" s="12">
        <f t="shared" si="196"/>
        <v>0</v>
      </c>
      <c r="M677" s="12"/>
      <c r="N677" s="12"/>
      <c r="O677" s="12">
        <f t="shared" si="197"/>
        <v>0</v>
      </c>
      <c r="P677" s="12"/>
      <c r="Q677" s="12"/>
      <c r="R677" s="12">
        <f t="shared" si="198"/>
        <v>0</v>
      </c>
      <c r="S677" s="12"/>
      <c r="T677" s="12"/>
      <c r="U677" s="12">
        <f t="shared" si="199"/>
        <v>0</v>
      </c>
      <c r="V677" s="12"/>
      <c r="W677" s="12"/>
      <c r="X677" s="12">
        <f t="shared" si="200"/>
        <v>0</v>
      </c>
      <c r="Y677" s="12"/>
      <c r="Z677" s="12"/>
      <c r="AA677" s="13">
        <f t="shared" si="201"/>
        <v>0</v>
      </c>
      <c r="AB677" s="14"/>
    </row>
    <row r="678" spans="1:28" ht="15.75" hidden="1" x14ac:dyDescent="0.25">
      <c r="A678" s="65">
        <v>46050</v>
      </c>
      <c r="B678" s="10" t="s">
        <v>272</v>
      </c>
      <c r="C678" s="10"/>
      <c r="D678" s="10"/>
      <c r="E678" s="10" t="s">
        <v>423</v>
      </c>
      <c r="F678" s="10">
        <v>35.4</v>
      </c>
      <c r="G678" s="10" t="s">
        <v>36</v>
      </c>
      <c r="H678" s="10"/>
      <c r="I678" s="10">
        <f t="shared" si="202"/>
        <v>0</v>
      </c>
      <c r="J678" s="86" t="s">
        <v>76</v>
      </c>
      <c r="K678" s="10"/>
      <c r="L678" s="12">
        <f t="shared" si="196"/>
        <v>0</v>
      </c>
      <c r="M678" s="12"/>
      <c r="N678" s="12"/>
      <c r="O678" s="12">
        <f t="shared" si="197"/>
        <v>0</v>
      </c>
      <c r="P678" s="12"/>
      <c r="Q678" s="12"/>
      <c r="R678" s="12">
        <f t="shared" si="198"/>
        <v>0</v>
      </c>
      <c r="S678" s="12"/>
      <c r="T678" s="12"/>
      <c r="U678" s="12">
        <f t="shared" si="199"/>
        <v>0</v>
      </c>
      <c r="V678" s="12"/>
      <c r="W678" s="12"/>
      <c r="X678" s="12">
        <f t="shared" si="200"/>
        <v>0</v>
      </c>
      <c r="Y678" s="12"/>
      <c r="Z678" s="12"/>
      <c r="AA678" s="13">
        <f t="shared" si="201"/>
        <v>0</v>
      </c>
      <c r="AB678" s="14"/>
    </row>
    <row r="679" spans="1:28" ht="15.75" hidden="1" x14ac:dyDescent="0.25">
      <c r="A679" s="65">
        <v>46050</v>
      </c>
      <c r="B679" s="10" t="s">
        <v>272</v>
      </c>
      <c r="C679" s="10"/>
      <c r="D679" s="10"/>
      <c r="E679" s="10" t="s">
        <v>86</v>
      </c>
      <c r="F679" s="10">
        <v>85.3</v>
      </c>
      <c r="G679" s="10" t="s">
        <v>36</v>
      </c>
      <c r="H679" s="10"/>
      <c r="I679" s="10">
        <f t="shared" si="202"/>
        <v>0</v>
      </c>
      <c r="J679" s="86" t="s">
        <v>76</v>
      </c>
      <c r="K679" s="10"/>
      <c r="L679" s="12">
        <f t="shared" si="196"/>
        <v>0</v>
      </c>
      <c r="M679" s="12"/>
      <c r="N679" s="12"/>
      <c r="O679" s="12">
        <f t="shared" si="197"/>
        <v>0</v>
      </c>
      <c r="P679" s="12"/>
      <c r="Q679" s="12"/>
      <c r="R679" s="12">
        <f t="shared" si="198"/>
        <v>0</v>
      </c>
      <c r="S679" s="12"/>
      <c r="T679" s="12"/>
      <c r="U679" s="12">
        <f t="shared" si="199"/>
        <v>0</v>
      </c>
      <c r="V679" s="12"/>
      <c r="W679" s="12"/>
      <c r="X679" s="12">
        <f t="shared" si="200"/>
        <v>0</v>
      </c>
      <c r="Y679" s="12"/>
      <c r="Z679" s="12"/>
      <c r="AA679" s="13">
        <f t="shared" si="201"/>
        <v>0</v>
      </c>
      <c r="AB679" s="14"/>
    </row>
    <row r="680" spans="1:28" ht="15.75" hidden="1" x14ac:dyDescent="0.25">
      <c r="A680" s="65">
        <v>46050</v>
      </c>
      <c r="B680" s="10" t="s">
        <v>272</v>
      </c>
      <c r="C680" s="10"/>
      <c r="D680" s="10"/>
      <c r="E680" s="10" t="s">
        <v>86</v>
      </c>
      <c r="F680" s="10">
        <v>29.6</v>
      </c>
      <c r="G680" s="10" t="s">
        <v>36</v>
      </c>
      <c r="H680" s="10"/>
      <c r="I680" s="10">
        <f t="shared" si="202"/>
        <v>0</v>
      </c>
      <c r="J680" s="52" t="s">
        <v>30</v>
      </c>
      <c r="K680" s="10"/>
      <c r="L680" s="12">
        <f t="shared" si="196"/>
        <v>0</v>
      </c>
      <c r="M680" s="12"/>
      <c r="N680" s="12"/>
      <c r="O680" s="12">
        <f t="shared" si="197"/>
        <v>0</v>
      </c>
      <c r="P680" s="12"/>
      <c r="Q680" s="12"/>
      <c r="R680" s="12">
        <f t="shared" si="198"/>
        <v>0</v>
      </c>
      <c r="S680" s="12"/>
      <c r="T680" s="12"/>
      <c r="U680" s="12">
        <f t="shared" si="199"/>
        <v>0</v>
      </c>
      <c r="V680" s="12"/>
      <c r="W680" s="12"/>
      <c r="X680" s="12">
        <f t="shared" si="200"/>
        <v>0</v>
      </c>
      <c r="Y680" s="12"/>
      <c r="Z680" s="12"/>
      <c r="AA680" s="13">
        <f t="shared" si="201"/>
        <v>0</v>
      </c>
      <c r="AB680" s="14"/>
    </row>
    <row r="681" spans="1:28" ht="15.75" hidden="1" x14ac:dyDescent="0.25">
      <c r="A681" s="65">
        <v>46050</v>
      </c>
      <c r="B681" s="10" t="s">
        <v>272</v>
      </c>
      <c r="C681" s="10"/>
      <c r="D681" s="10"/>
      <c r="E681" s="10" t="s">
        <v>136</v>
      </c>
      <c r="F681" s="10">
        <v>24.6</v>
      </c>
      <c r="G681" s="10" t="s">
        <v>36</v>
      </c>
      <c r="H681" s="10"/>
      <c r="I681" s="10">
        <f t="shared" si="202"/>
        <v>0</v>
      </c>
      <c r="J681" s="86" t="s">
        <v>76</v>
      </c>
      <c r="K681" s="10"/>
      <c r="L681" s="12">
        <f t="shared" si="196"/>
        <v>0</v>
      </c>
      <c r="M681" s="12"/>
      <c r="N681" s="12"/>
      <c r="O681" s="12">
        <f t="shared" si="197"/>
        <v>0</v>
      </c>
      <c r="P681" s="12"/>
      <c r="Q681" s="12"/>
      <c r="R681" s="12">
        <f t="shared" si="198"/>
        <v>0</v>
      </c>
      <c r="S681" s="12"/>
      <c r="T681" s="12"/>
      <c r="U681" s="12">
        <f t="shared" si="199"/>
        <v>0</v>
      </c>
      <c r="V681" s="12"/>
      <c r="W681" s="12"/>
      <c r="X681" s="12">
        <f t="shared" si="200"/>
        <v>0</v>
      </c>
      <c r="Y681" s="12"/>
      <c r="Z681" s="12"/>
      <c r="AA681" s="13">
        <f t="shared" si="201"/>
        <v>0</v>
      </c>
      <c r="AB681" s="14"/>
    </row>
    <row r="682" spans="1:28" ht="15.75" x14ac:dyDescent="0.25">
      <c r="A682" s="65">
        <v>46050</v>
      </c>
      <c r="B682" s="10" t="s">
        <v>273</v>
      </c>
      <c r="C682" s="10"/>
      <c r="D682" s="10"/>
      <c r="E682" s="10" t="s">
        <v>424</v>
      </c>
      <c r="F682" s="10">
        <v>1</v>
      </c>
      <c r="G682" s="10" t="s">
        <v>22</v>
      </c>
      <c r="H682" s="10"/>
      <c r="I682" s="10">
        <f t="shared" si="202"/>
        <v>0</v>
      </c>
      <c r="J682" s="86" t="s">
        <v>76</v>
      </c>
      <c r="K682" s="10"/>
      <c r="L682" s="12">
        <f t="shared" si="196"/>
        <v>0</v>
      </c>
      <c r="M682" s="12"/>
      <c r="N682" s="12"/>
      <c r="O682" s="12">
        <f t="shared" si="197"/>
        <v>0</v>
      </c>
      <c r="P682" s="12"/>
      <c r="Q682" s="12"/>
      <c r="R682" s="12">
        <f t="shared" si="198"/>
        <v>0</v>
      </c>
      <c r="S682" s="12"/>
      <c r="T682" s="12"/>
      <c r="U682" s="12">
        <f t="shared" si="199"/>
        <v>0</v>
      </c>
      <c r="V682" s="12"/>
      <c r="W682" s="12"/>
      <c r="X682" s="12">
        <f t="shared" si="200"/>
        <v>0</v>
      </c>
      <c r="Y682" s="12"/>
      <c r="Z682" s="12"/>
      <c r="AA682" s="13">
        <f t="shared" si="201"/>
        <v>0</v>
      </c>
      <c r="AB682" s="14"/>
    </row>
    <row r="683" spans="1:28" ht="15.75" hidden="1" x14ac:dyDescent="0.25">
      <c r="A683" s="65">
        <v>46050</v>
      </c>
      <c r="B683" s="10" t="s">
        <v>274</v>
      </c>
      <c r="C683" s="10"/>
      <c r="D683" s="10" t="s">
        <v>383</v>
      </c>
      <c r="E683" s="10" t="s">
        <v>78</v>
      </c>
      <c r="F683" s="10">
        <v>10</v>
      </c>
      <c r="G683" s="10" t="s">
        <v>61</v>
      </c>
      <c r="H683" s="10">
        <v>240000</v>
      </c>
      <c r="I683" s="10">
        <f t="shared" si="202"/>
        <v>2400000</v>
      </c>
      <c r="J683" s="52" t="s">
        <v>30</v>
      </c>
      <c r="K683" s="10"/>
      <c r="L683" s="12">
        <f t="shared" si="196"/>
        <v>2310000</v>
      </c>
      <c r="M683" s="12">
        <v>2310000</v>
      </c>
      <c r="N683" s="12"/>
      <c r="O683" s="12">
        <f t="shared" si="197"/>
        <v>0</v>
      </c>
      <c r="P683" s="12"/>
      <c r="Q683" s="12"/>
      <c r="R683" s="12">
        <f t="shared" si="198"/>
        <v>0</v>
      </c>
      <c r="S683" s="12"/>
      <c r="T683" s="12"/>
      <c r="U683" s="12">
        <f t="shared" si="199"/>
        <v>0</v>
      </c>
      <c r="V683" s="12"/>
      <c r="W683" s="12"/>
      <c r="X683" s="12">
        <f t="shared" si="200"/>
        <v>0</v>
      </c>
      <c r="Y683" s="12"/>
      <c r="Z683" s="12"/>
      <c r="AA683" s="13">
        <f t="shared" si="201"/>
        <v>90000</v>
      </c>
      <c r="AB683" s="14">
        <v>46050</v>
      </c>
    </row>
    <row r="684" spans="1:28" ht="15.75" hidden="1" x14ac:dyDescent="0.25">
      <c r="A684" s="65">
        <v>46050</v>
      </c>
      <c r="B684" s="10" t="s">
        <v>274</v>
      </c>
      <c r="C684" s="10"/>
      <c r="D684" s="10" t="s">
        <v>383</v>
      </c>
      <c r="E684" s="10" t="s">
        <v>138</v>
      </c>
      <c r="F684" s="10">
        <v>32</v>
      </c>
      <c r="G684" s="10" t="s">
        <v>61</v>
      </c>
      <c r="H684" s="10">
        <v>275000</v>
      </c>
      <c r="I684" s="10">
        <f t="shared" si="202"/>
        <v>8800000</v>
      </c>
      <c r="J684" s="29" t="s">
        <v>113</v>
      </c>
      <c r="K684" s="10"/>
      <c r="L684" s="12">
        <f t="shared" si="196"/>
        <v>8800000</v>
      </c>
      <c r="M684" s="12">
        <v>8800000</v>
      </c>
      <c r="N684" s="12"/>
      <c r="O684" s="12">
        <f t="shared" si="197"/>
        <v>0</v>
      </c>
      <c r="P684" s="12"/>
      <c r="Q684" s="12"/>
      <c r="R684" s="12">
        <f t="shared" si="198"/>
        <v>0</v>
      </c>
      <c r="S684" s="12"/>
      <c r="T684" s="12"/>
      <c r="U684" s="12">
        <f t="shared" si="199"/>
        <v>0</v>
      </c>
      <c r="V684" s="12"/>
      <c r="W684" s="12"/>
      <c r="X684" s="12">
        <f t="shared" si="200"/>
        <v>0</v>
      </c>
      <c r="Y684" s="12"/>
      <c r="Z684" s="12"/>
      <c r="AA684" s="13">
        <f t="shared" si="201"/>
        <v>0</v>
      </c>
      <c r="AB684" s="14">
        <v>46050</v>
      </c>
    </row>
    <row r="685" spans="1:28" ht="15.75" hidden="1" x14ac:dyDescent="0.25">
      <c r="A685" s="65">
        <v>46050</v>
      </c>
      <c r="B685" s="10" t="s">
        <v>274</v>
      </c>
      <c r="C685" s="10"/>
      <c r="D685" s="10" t="s">
        <v>383</v>
      </c>
      <c r="E685" s="10" t="s">
        <v>177</v>
      </c>
      <c r="F685" s="10">
        <v>8</v>
      </c>
      <c r="G685" s="10" t="s">
        <v>61</v>
      </c>
      <c r="H685" s="10">
        <v>412500</v>
      </c>
      <c r="I685" s="10">
        <f t="shared" si="202"/>
        <v>3300000</v>
      </c>
      <c r="J685" s="29" t="s">
        <v>113</v>
      </c>
      <c r="K685" s="10"/>
      <c r="L685" s="12">
        <f t="shared" si="196"/>
        <v>3300000</v>
      </c>
      <c r="M685" s="12">
        <v>3300000</v>
      </c>
      <c r="N685" s="12"/>
      <c r="O685" s="12">
        <f t="shared" si="197"/>
        <v>0</v>
      </c>
      <c r="P685" s="12"/>
      <c r="Q685" s="12"/>
      <c r="R685" s="12">
        <f t="shared" si="198"/>
        <v>0</v>
      </c>
      <c r="S685" s="12"/>
      <c r="T685" s="12"/>
      <c r="U685" s="12">
        <f t="shared" si="199"/>
        <v>0</v>
      </c>
      <c r="V685" s="12"/>
      <c r="W685" s="12"/>
      <c r="X685" s="12">
        <f t="shared" si="200"/>
        <v>0</v>
      </c>
      <c r="Y685" s="12"/>
      <c r="Z685" s="12"/>
      <c r="AA685" s="13">
        <f t="shared" si="201"/>
        <v>0</v>
      </c>
      <c r="AB685" s="14">
        <v>46050</v>
      </c>
    </row>
    <row r="686" spans="1:28" ht="15.75" hidden="1" x14ac:dyDescent="0.25">
      <c r="A686" s="28">
        <v>46050</v>
      </c>
      <c r="B686" s="10" t="s">
        <v>425</v>
      </c>
      <c r="C686" s="10"/>
      <c r="D686" s="10" t="s">
        <v>383</v>
      </c>
      <c r="E686" s="10" t="s">
        <v>25</v>
      </c>
      <c r="F686" s="10">
        <v>200</v>
      </c>
      <c r="G686" s="10" t="s">
        <v>26</v>
      </c>
      <c r="H686" s="10">
        <v>2700</v>
      </c>
      <c r="I686" s="10">
        <f t="shared" si="202"/>
        <v>540000</v>
      </c>
      <c r="J686" s="29" t="s">
        <v>113</v>
      </c>
      <c r="K686" s="10"/>
      <c r="L686" s="12">
        <f t="shared" si="196"/>
        <v>540000</v>
      </c>
      <c r="M686" s="12">
        <v>540000</v>
      </c>
      <c r="N686" s="12"/>
      <c r="O686" s="12">
        <f t="shared" si="197"/>
        <v>0</v>
      </c>
      <c r="P686" s="12"/>
      <c r="Q686" s="12"/>
      <c r="R686" s="12">
        <f t="shared" si="198"/>
        <v>0</v>
      </c>
      <c r="S686" s="12"/>
      <c r="T686" s="12"/>
      <c r="U686" s="12">
        <f t="shared" si="199"/>
        <v>0</v>
      </c>
      <c r="V686" s="12"/>
      <c r="W686" s="12"/>
      <c r="X686" s="12">
        <f t="shared" si="200"/>
        <v>0</v>
      </c>
      <c r="Y686" s="12"/>
      <c r="Z686" s="12"/>
      <c r="AA686" s="13">
        <f t="shared" si="201"/>
        <v>0</v>
      </c>
      <c r="AB686" s="14">
        <v>46050</v>
      </c>
    </row>
    <row r="687" spans="1:28" ht="16.5" hidden="1" thickBot="1" x14ac:dyDescent="0.3">
      <c r="A687" s="53">
        <v>46050</v>
      </c>
      <c r="B687" s="31" t="s">
        <v>342</v>
      </c>
      <c r="C687" s="31"/>
      <c r="D687" s="31" t="s">
        <v>28</v>
      </c>
      <c r="E687" s="31" t="s">
        <v>104</v>
      </c>
      <c r="F687" s="31">
        <v>3500</v>
      </c>
      <c r="G687" s="31" t="s">
        <v>26</v>
      </c>
      <c r="H687" s="31">
        <v>2000</v>
      </c>
      <c r="I687" s="31">
        <f t="shared" si="202"/>
        <v>7000000</v>
      </c>
      <c r="J687" s="51" t="s">
        <v>110</v>
      </c>
      <c r="K687" s="31"/>
      <c r="L687" s="34">
        <f t="shared" si="196"/>
        <v>0</v>
      </c>
      <c r="M687" s="34"/>
      <c r="N687" s="34"/>
      <c r="O687" s="34">
        <f t="shared" si="197"/>
        <v>7000000</v>
      </c>
      <c r="P687" s="34">
        <v>7000000</v>
      </c>
      <c r="Q687" s="34"/>
      <c r="R687" s="34">
        <f t="shared" si="198"/>
        <v>0</v>
      </c>
      <c r="S687" s="34"/>
      <c r="T687" s="34"/>
      <c r="U687" s="34">
        <f t="shared" si="199"/>
        <v>0</v>
      </c>
      <c r="V687" s="34"/>
      <c r="W687" s="34"/>
      <c r="X687" s="34">
        <f t="shared" si="200"/>
        <v>0</v>
      </c>
      <c r="Y687" s="34"/>
      <c r="Z687" s="34"/>
      <c r="AA687" s="35">
        <f t="shared" si="201"/>
        <v>0</v>
      </c>
      <c r="AB687" s="36">
        <v>46050</v>
      </c>
    </row>
    <row r="688" spans="1:28" ht="15.75" hidden="1" x14ac:dyDescent="0.25">
      <c r="A688" s="65">
        <v>46051</v>
      </c>
      <c r="B688" s="66" t="s">
        <v>426</v>
      </c>
      <c r="C688" s="66"/>
      <c r="D688" s="66" t="s">
        <v>28</v>
      </c>
      <c r="E688" s="66" t="s">
        <v>116</v>
      </c>
      <c r="F688" s="66">
        <v>12</v>
      </c>
      <c r="G688" s="66" t="s">
        <v>67</v>
      </c>
      <c r="H688" s="66">
        <v>60000</v>
      </c>
      <c r="I688" s="45">
        <f t="shared" si="202"/>
        <v>720000</v>
      </c>
      <c r="J688" s="84" t="s">
        <v>110</v>
      </c>
      <c r="K688" s="66"/>
      <c r="L688" s="48">
        <f t="shared" ref="L688" si="203">M688+N688</f>
        <v>0</v>
      </c>
      <c r="M688" s="48"/>
      <c r="N688" s="48"/>
      <c r="O688" s="48">
        <f t="shared" ref="O688" si="204">P688+Q688</f>
        <v>0</v>
      </c>
      <c r="P688" s="48"/>
      <c r="Q688" s="48"/>
      <c r="R688" s="48">
        <f t="shared" ref="R688" si="205">S688+T688</f>
        <v>720000</v>
      </c>
      <c r="S688" s="48">
        <v>720000</v>
      </c>
      <c r="T688" s="48"/>
      <c r="U688" s="48">
        <f t="shared" ref="U688" si="206">V688+W688</f>
        <v>0</v>
      </c>
      <c r="V688" s="48"/>
      <c r="W688" s="48"/>
      <c r="X688" s="48">
        <f t="shared" ref="X688" si="207">Y688+Z688</f>
        <v>0</v>
      </c>
      <c r="Y688" s="48"/>
      <c r="Z688" s="48"/>
      <c r="AA688" s="49">
        <f t="shared" ref="AA688" si="208">C688+I688-L688-O688-U688-X688-R688</f>
        <v>0</v>
      </c>
      <c r="AB688" s="50">
        <v>46051</v>
      </c>
    </row>
    <row r="689" spans="1:28" ht="15.75" hidden="1" x14ac:dyDescent="0.25">
      <c r="A689" s="65">
        <v>46051</v>
      </c>
      <c r="B689" s="66" t="s">
        <v>426</v>
      </c>
      <c r="C689" s="10"/>
      <c r="D689" s="66" t="s">
        <v>28</v>
      </c>
      <c r="E689" s="10" t="s">
        <v>114</v>
      </c>
      <c r="F689" s="10">
        <v>40</v>
      </c>
      <c r="G689" s="66" t="s">
        <v>67</v>
      </c>
      <c r="H689" s="10">
        <v>49500</v>
      </c>
      <c r="I689" s="10">
        <f t="shared" si="202"/>
        <v>1980000</v>
      </c>
      <c r="J689" s="29" t="s">
        <v>110</v>
      </c>
      <c r="K689" s="10"/>
      <c r="L689" s="12">
        <f t="shared" ref="L689:L711" si="209">M689+N689</f>
        <v>0</v>
      </c>
      <c r="M689" s="12"/>
      <c r="N689" s="12"/>
      <c r="O689" s="12">
        <f t="shared" ref="O689:O711" si="210">P689+Q689</f>
        <v>0</v>
      </c>
      <c r="P689" s="12"/>
      <c r="Q689" s="12"/>
      <c r="R689" s="12">
        <f t="shared" ref="R689:R711" si="211">S689+T689</f>
        <v>1980000</v>
      </c>
      <c r="S689" s="12">
        <v>1980000</v>
      </c>
      <c r="T689" s="12"/>
      <c r="U689" s="12">
        <f t="shared" ref="U689:U711" si="212">V689+W689</f>
        <v>0</v>
      </c>
      <c r="V689" s="12"/>
      <c r="W689" s="12"/>
      <c r="X689" s="12">
        <f t="shared" ref="X689:X711" si="213">Y689+Z689</f>
        <v>0</v>
      </c>
      <c r="Y689" s="12"/>
      <c r="Z689" s="12"/>
      <c r="AA689" s="13">
        <f t="shared" ref="AA689:AA711" si="214">C689+I689-L689-O689-U689-X689-R689</f>
        <v>0</v>
      </c>
      <c r="AB689" s="14">
        <v>46051</v>
      </c>
    </row>
    <row r="690" spans="1:28" ht="15.75" hidden="1" x14ac:dyDescent="0.25">
      <c r="A690" s="65">
        <v>46051</v>
      </c>
      <c r="B690" s="10" t="s">
        <v>280</v>
      </c>
      <c r="C690" s="10"/>
      <c r="D690" s="66" t="s">
        <v>195</v>
      </c>
      <c r="E690" s="10" t="s">
        <v>161</v>
      </c>
      <c r="F690" s="10">
        <v>2</v>
      </c>
      <c r="G690" s="10" t="s">
        <v>61</v>
      </c>
      <c r="H690" s="10">
        <v>230000</v>
      </c>
      <c r="I690" s="10">
        <f t="shared" si="202"/>
        <v>460000</v>
      </c>
      <c r="J690" s="29" t="s">
        <v>113</v>
      </c>
      <c r="K690" s="10"/>
      <c r="L690" s="12">
        <f t="shared" si="209"/>
        <v>0</v>
      </c>
      <c r="M690" s="12"/>
      <c r="N690" s="12"/>
      <c r="O690" s="12">
        <f t="shared" si="210"/>
        <v>0</v>
      </c>
      <c r="P690" s="12"/>
      <c r="Q690" s="12"/>
      <c r="R690" s="12">
        <f t="shared" si="211"/>
        <v>0</v>
      </c>
      <c r="S690" s="12"/>
      <c r="T690" s="12"/>
      <c r="U690" s="12">
        <f t="shared" si="212"/>
        <v>460000</v>
      </c>
      <c r="V690" s="12">
        <v>460000</v>
      </c>
      <c r="W690" s="12"/>
      <c r="X690" s="12">
        <f t="shared" si="213"/>
        <v>0</v>
      </c>
      <c r="Y690" s="12"/>
      <c r="Z690" s="12"/>
      <c r="AA690" s="13">
        <f t="shared" si="214"/>
        <v>0</v>
      </c>
      <c r="AB690" s="14">
        <v>46051</v>
      </c>
    </row>
    <row r="691" spans="1:28" ht="15.75" hidden="1" x14ac:dyDescent="0.25">
      <c r="A691" s="65">
        <v>46051</v>
      </c>
      <c r="B691" s="10" t="s">
        <v>135</v>
      </c>
      <c r="C691" s="10"/>
      <c r="D691" s="10" t="s">
        <v>28</v>
      </c>
      <c r="E691" s="10" t="s">
        <v>80</v>
      </c>
      <c r="F691" s="10">
        <v>90.9</v>
      </c>
      <c r="G691" s="10" t="s">
        <v>36</v>
      </c>
      <c r="H691" s="10">
        <v>43000</v>
      </c>
      <c r="I691" s="10">
        <f t="shared" si="202"/>
        <v>3908700.0000000005</v>
      </c>
      <c r="J691" s="29" t="s">
        <v>113</v>
      </c>
      <c r="K691" s="10" t="s">
        <v>376</v>
      </c>
      <c r="L691" s="12">
        <f t="shared" si="209"/>
        <v>3908700</v>
      </c>
      <c r="M691" s="12">
        <v>3908700</v>
      </c>
      <c r="N691" s="12"/>
      <c r="O691" s="12">
        <f t="shared" si="210"/>
        <v>0</v>
      </c>
      <c r="P691" s="12"/>
      <c r="Q691" s="12"/>
      <c r="R691" s="12">
        <f t="shared" si="211"/>
        <v>0</v>
      </c>
      <c r="S691" s="12"/>
      <c r="T691" s="12"/>
      <c r="U691" s="12">
        <f t="shared" si="212"/>
        <v>0</v>
      </c>
      <c r="V691" s="12"/>
      <c r="W691" s="12"/>
      <c r="X691" s="12">
        <f t="shared" si="213"/>
        <v>0</v>
      </c>
      <c r="Y691" s="12"/>
      <c r="Z691" s="12"/>
      <c r="AA691" s="13">
        <f t="shared" si="214"/>
        <v>4.6566128730773926E-10</v>
      </c>
      <c r="AB691" s="14">
        <v>46053</v>
      </c>
    </row>
    <row r="692" spans="1:28" ht="15.75" hidden="1" x14ac:dyDescent="0.25">
      <c r="A692" s="65">
        <v>46051</v>
      </c>
      <c r="B692" s="10" t="s">
        <v>427</v>
      </c>
      <c r="C692" s="10"/>
      <c r="D692" s="10" t="s">
        <v>28</v>
      </c>
      <c r="E692" s="10" t="s">
        <v>428</v>
      </c>
      <c r="F692" s="10">
        <v>41.3</v>
      </c>
      <c r="G692" s="10" t="s">
        <v>36</v>
      </c>
      <c r="H692" s="10">
        <v>110000</v>
      </c>
      <c r="I692" s="10">
        <f t="shared" si="202"/>
        <v>4543000</v>
      </c>
      <c r="J692" s="29" t="s">
        <v>113</v>
      </c>
      <c r="K692" s="10"/>
      <c r="L692" s="12">
        <f t="shared" si="209"/>
        <v>3600000</v>
      </c>
      <c r="M692" s="12">
        <v>3600000</v>
      </c>
      <c r="N692" s="12"/>
      <c r="O692" s="12">
        <f t="shared" si="210"/>
        <v>0</v>
      </c>
      <c r="P692" s="12"/>
      <c r="Q692" s="12"/>
      <c r="R692" s="12">
        <f t="shared" si="211"/>
        <v>0</v>
      </c>
      <c r="S692" s="12"/>
      <c r="T692" s="12"/>
      <c r="U692" s="12">
        <f t="shared" si="212"/>
        <v>943000</v>
      </c>
      <c r="V692" s="12">
        <v>943000</v>
      </c>
      <c r="W692" s="12"/>
      <c r="X692" s="12">
        <f t="shared" si="213"/>
        <v>0</v>
      </c>
      <c r="Y692" s="12"/>
      <c r="Z692" s="12"/>
      <c r="AA692" s="13">
        <f t="shared" si="214"/>
        <v>0</v>
      </c>
      <c r="AB692" s="14">
        <v>46051</v>
      </c>
    </row>
    <row r="693" spans="1:28" ht="15.75" hidden="1" x14ac:dyDescent="0.25">
      <c r="A693" s="65">
        <v>46051</v>
      </c>
      <c r="B693" s="10" t="s">
        <v>429</v>
      </c>
      <c r="C693" s="10"/>
      <c r="D693" s="10" t="s">
        <v>28</v>
      </c>
      <c r="E693" s="10" t="s">
        <v>38</v>
      </c>
      <c r="F693" s="10">
        <v>2</v>
      </c>
      <c r="G693" s="10" t="s">
        <v>39</v>
      </c>
      <c r="H693" s="10">
        <v>45000</v>
      </c>
      <c r="I693" s="10">
        <f t="shared" si="202"/>
        <v>90000</v>
      </c>
      <c r="J693" s="29" t="s">
        <v>113</v>
      </c>
      <c r="K693" s="10"/>
      <c r="L693" s="12">
        <f t="shared" si="209"/>
        <v>0</v>
      </c>
      <c r="M693" s="12"/>
      <c r="N693" s="12"/>
      <c r="O693" s="12">
        <f t="shared" si="210"/>
        <v>0</v>
      </c>
      <c r="P693" s="12"/>
      <c r="Q693" s="12"/>
      <c r="R693" s="12">
        <f t="shared" si="211"/>
        <v>0</v>
      </c>
      <c r="S693" s="12"/>
      <c r="T693" s="12"/>
      <c r="U693" s="12">
        <f t="shared" si="212"/>
        <v>90000</v>
      </c>
      <c r="V693" s="12">
        <v>90000</v>
      </c>
      <c r="W693" s="12"/>
      <c r="X693" s="12">
        <f t="shared" si="213"/>
        <v>0</v>
      </c>
      <c r="Y693" s="12"/>
      <c r="Z693" s="12"/>
      <c r="AA693" s="13">
        <f t="shared" si="214"/>
        <v>0</v>
      </c>
      <c r="AB693" s="14">
        <v>46051</v>
      </c>
    </row>
    <row r="694" spans="1:28" ht="15.75" hidden="1" x14ac:dyDescent="0.25">
      <c r="A694" s="65">
        <v>46051</v>
      </c>
      <c r="B694" s="10" t="s">
        <v>230</v>
      </c>
      <c r="C694" s="10"/>
      <c r="D694" s="10" t="s">
        <v>383</v>
      </c>
      <c r="E694" s="10" t="s">
        <v>98</v>
      </c>
      <c r="F694" s="10">
        <v>2000</v>
      </c>
      <c r="G694" s="10" t="s">
        <v>26</v>
      </c>
      <c r="H694" s="10">
        <v>1900</v>
      </c>
      <c r="I694" s="10">
        <f t="shared" si="202"/>
        <v>3800000</v>
      </c>
      <c r="J694" s="52" t="s">
        <v>90</v>
      </c>
      <c r="K694" s="87" t="s">
        <v>251</v>
      </c>
      <c r="L694" s="12">
        <f t="shared" si="209"/>
        <v>0</v>
      </c>
      <c r="M694" s="12"/>
      <c r="N694" s="12"/>
      <c r="O694" s="12">
        <f t="shared" si="210"/>
        <v>0</v>
      </c>
      <c r="P694" s="12"/>
      <c r="Q694" s="12"/>
      <c r="R694" s="12">
        <f t="shared" si="211"/>
        <v>0</v>
      </c>
      <c r="S694" s="12"/>
      <c r="T694" s="12"/>
      <c r="U694" s="12">
        <f t="shared" si="212"/>
        <v>0</v>
      </c>
      <c r="V694" s="12"/>
      <c r="W694" s="12"/>
      <c r="X694" s="12">
        <f t="shared" si="213"/>
        <v>0</v>
      </c>
      <c r="Y694" s="12"/>
      <c r="Z694" s="12"/>
      <c r="AA694" s="13">
        <f t="shared" si="214"/>
        <v>3800000</v>
      </c>
      <c r="AB694" s="14"/>
    </row>
    <row r="695" spans="1:28" ht="15.75" hidden="1" x14ac:dyDescent="0.25">
      <c r="A695" s="65">
        <v>46051</v>
      </c>
      <c r="B695" s="10" t="s">
        <v>53</v>
      </c>
      <c r="C695" s="10"/>
      <c r="D695" s="10" t="s">
        <v>195</v>
      </c>
      <c r="E695" s="10" t="s">
        <v>184</v>
      </c>
      <c r="F695" s="10">
        <v>294.7</v>
      </c>
      <c r="G695" s="10" t="s">
        <v>36</v>
      </c>
      <c r="H695" s="10">
        <v>43000</v>
      </c>
      <c r="I695" s="10">
        <f t="shared" si="202"/>
        <v>12672100</v>
      </c>
      <c r="J695" s="52" t="s">
        <v>90</v>
      </c>
      <c r="K695" s="10" t="s">
        <v>433</v>
      </c>
      <c r="L695" s="12">
        <f t="shared" si="209"/>
        <v>0</v>
      </c>
      <c r="M695" s="12"/>
      <c r="N695" s="12"/>
      <c r="O695" s="12">
        <f t="shared" si="210"/>
        <v>0</v>
      </c>
      <c r="P695" s="12"/>
      <c r="Q695" s="12"/>
      <c r="R695" s="12">
        <f t="shared" si="211"/>
        <v>0</v>
      </c>
      <c r="S695" s="12"/>
      <c r="T695" s="12"/>
      <c r="U695" s="12">
        <f t="shared" si="212"/>
        <v>0</v>
      </c>
      <c r="V695" s="12"/>
      <c r="W695" s="12"/>
      <c r="X695" s="12">
        <f t="shared" si="213"/>
        <v>0</v>
      </c>
      <c r="Y695" s="12"/>
      <c r="Z695" s="12"/>
      <c r="AA695" s="13">
        <f t="shared" si="214"/>
        <v>12672100</v>
      </c>
      <c r="AB695" s="14"/>
    </row>
    <row r="696" spans="1:28" ht="15.75" hidden="1" x14ac:dyDescent="0.25">
      <c r="A696" s="65">
        <v>46051</v>
      </c>
      <c r="B696" s="10" t="s">
        <v>53</v>
      </c>
      <c r="C696" s="10"/>
      <c r="D696" s="10" t="s">
        <v>195</v>
      </c>
      <c r="E696" s="10" t="s">
        <v>136</v>
      </c>
      <c r="F696" s="10">
        <v>239.6</v>
      </c>
      <c r="G696" s="10" t="s">
        <v>36</v>
      </c>
      <c r="H696" s="10">
        <v>43000</v>
      </c>
      <c r="I696" s="10">
        <f t="shared" si="202"/>
        <v>10302800</v>
      </c>
      <c r="J696" s="52" t="s">
        <v>90</v>
      </c>
      <c r="K696" s="10" t="s">
        <v>433</v>
      </c>
      <c r="L696" s="12">
        <f t="shared" si="209"/>
        <v>0</v>
      </c>
      <c r="M696" s="12"/>
      <c r="N696" s="12"/>
      <c r="O696" s="12">
        <f t="shared" si="210"/>
        <v>0</v>
      </c>
      <c r="P696" s="12"/>
      <c r="Q696" s="12"/>
      <c r="R696" s="12">
        <f t="shared" si="211"/>
        <v>0</v>
      </c>
      <c r="S696" s="12"/>
      <c r="T696" s="12"/>
      <c r="U696" s="12">
        <f t="shared" si="212"/>
        <v>0</v>
      </c>
      <c r="V696" s="12"/>
      <c r="W696" s="12"/>
      <c r="X696" s="12">
        <f t="shared" si="213"/>
        <v>0</v>
      </c>
      <c r="Y696" s="12"/>
      <c r="Z696" s="12"/>
      <c r="AA696" s="13">
        <f t="shared" si="214"/>
        <v>10302800</v>
      </c>
      <c r="AB696" s="14"/>
    </row>
    <row r="697" spans="1:28" ht="15.75" hidden="1" x14ac:dyDescent="0.25">
      <c r="A697" s="65">
        <v>46051</v>
      </c>
      <c r="B697" s="10" t="s">
        <v>53</v>
      </c>
      <c r="C697" s="10"/>
      <c r="D697" s="10" t="s">
        <v>195</v>
      </c>
      <c r="E697" s="10" t="s">
        <v>307</v>
      </c>
      <c r="F697" s="10">
        <v>144.19999999999999</v>
      </c>
      <c r="G697" s="10" t="s">
        <v>36</v>
      </c>
      <c r="H697" s="10">
        <v>43000</v>
      </c>
      <c r="I697" s="10">
        <f t="shared" si="202"/>
        <v>6200599.9999999991</v>
      </c>
      <c r="J697" s="52" t="s">
        <v>90</v>
      </c>
      <c r="K697" s="10" t="s">
        <v>433</v>
      </c>
      <c r="L697" s="12">
        <f t="shared" si="209"/>
        <v>0</v>
      </c>
      <c r="M697" s="12"/>
      <c r="N697" s="12"/>
      <c r="O697" s="12">
        <f t="shared" si="210"/>
        <v>0</v>
      </c>
      <c r="P697" s="12"/>
      <c r="Q697" s="12"/>
      <c r="R697" s="12">
        <f t="shared" si="211"/>
        <v>0</v>
      </c>
      <c r="S697" s="12"/>
      <c r="T697" s="12"/>
      <c r="U697" s="12">
        <f t="shared" si="212"/>
        <v>0</v>
      </c>
      <c r="V697" s="12"/>
      <c r="W697" s="12"/>
      <c r="X697" s="12">
        <f t="shared" si="213"/>
        <v>0</v>
      </c>
      <c r="Y697" s="12"/>
      <c r="Z697" s="12"/>
      <c r="AA697" s="13">
        <f t="shared" si="214"/>
        <v>6200599.9999999991</v>
      </c>
      <c r="AB697" s="14"/>
    </row>
    <row r="698" spans="1:28" ht="15.75" hidden="1" x14ac:dyDescent="0.25">
      <c r="A698" s="65">
        <v>46051</v>
      </c>
      <c r="B698" s="10" t="s">
        <v>53</v>
      </c>
      <c r="C698" s="10"/>
      <c r="D698" s="10" t="s">
        <v>195</v>
      </c>
      <c r="E698" s="10" t="s">
        <v>198</v>
      </c>
      <c r="F698" s="10">
        <v>162</v>
      </c>
      <c r="G698" s="10" t="s">
        <v>36</v>
      </c>
      <c r="H698" s="10">
        <v>43000</v>
      </c>
      <c r="I698" s="10">
        <f t="shared" si="202"/>
        <v>6966000</v>
      </c>
      <c r="J698" s="52" t="s">
        <v>90</v>
      </c>
      <c r="K698" s="10" t="s">
        <v>433</v>
      </c>
      <c r="L698" s="12">
        <f t="shared" si="209"/>
        <v>0</v>
      </c>
      <c r="M698" s="12"/>
      <c r="N698" s="12"/>
      <c r="O698" s="12">
        <f t="shared" si="210"/>
        <v>0</v>
      </c>
      <c r="P698" s="12"/>
      <c r="Q698" s="12"/>
      <c r="R698" s="12">
        <f t="shared" si="211"/>
        <v>0</v>
      </c>
      <c r="S698" s="12"/>
      <c r="T698" s="12"/>
      <c r="U698" s="12">
        <f t="shared" si="212"/>
        <v>0</v>
      </c>
      <c r="V698" s="12"/>
      <c r="W698" s="12"/>
      <c r="X698" s="12">
        <f t="shared" si="213"/>
        <v>0</v>
      </c>
      <c r="Y698" s="12"/>
      <c r="Z698" s="12"/>
      <c r="AA698" s="13">
        <f t="shared" si="214"/>
        <v>6966000</v>
      </c>
      <c r="AB698" s="14"/>
    </row>
    <row r="699" spans="1:28" ht="15.75" hidden="1" x14ac:dyDescent="0.25">
      <c r="A699" s="65">
        <v>46051</v>
      </c>
      <c r="B699" s="10" t="s">
        <v>53</v>
      </c>
      <c r="C699" s="10"/>
      <c r="D699" s="10" t="s">
        <v>195</v>
      </c>
      <c r="E699" s="10" t="s">
        <v>244</v>
      </c>
      <c r="F699" s="10">
        <v>20</v>
      </c>
      <c r="G699" s="10" t="s">
        <v>22</v>
      </c>
      <c r="H699" s="10">
        <v>400000</v>
      </c>
      <c r="I699" s="10">
        <f t="shared" si="202"/>
        <v>8000000</v>
      </c>
      <c r="J699" s="52" t="s">
        <v>90</v>
      </c>
      <c r="K699" s="10" t="s">
        <v>433</v>
      </c>
      <c r="L699" s="12">
        <f t="shared" si="209"/>
        <v>0</v>
      </c>
      <c r="M699" s="12"/>
      <c r="N699" s="12"/>
      <c r="O699" s="12">
        <f t="shared" si="210"/>
        <v>0</v>
      </c>
      <c r="P699" s="12"/>
      <c r="Q699" s="12"/>
      <c r="R699" s="12">
        <f t="shared" si="211"/>
        <v>0</v>
      </c>
      <c r="S699" s="12"/>
      <c r="T699" s="12"/>
      <c r="U699" s="12">
        <f t="shared" si="212"/>
        <v>0</v>
      </c>
      <c r="V699" s="12"/>
      <c r="W699" s="12"/>
      <c r="X699" s="12">
        <f t="shared" si="213"/>
        <v>0</v>
      </c>
      <c r="Y699" s="12"/>
      <c r="Z699" s="12"/>
      <c r="AA699" s="13">
        <f t="shared" si="214"/>
        <v>8000000</v>
      </c>
      <c r="AB699" s="14"/>
    </row>
    <row r="700" spans="1:28" ht="15.75" hidden="1" x14ac:dyDescent="0.25">
      <c r="A700" s="65">
        <v>46051</v>
      </c>
      <c r="B700" s="10" t="s">
        <v>53</v>
      </c>
      <c r="C700" s="10"/>
      <c r="D700" s="10" t="s">
        <v>195</v>
      </c>
      <c r="E700" s="10" t="s">
        <v>119</v>
      </c>
      <c r="F700" s="10">
        <v>25</v>
      </c>
      <c r="G700" s="10" t="s">
        <v>36</v>
      </c>
      <c r="H700" s="10">
        <v>180000</v>
      </c>
      <c r="I700" s="10">
        <f t="shared" si="202"/>
        <v>4500000</v>
      </c>
      <c r="J700" s="52" t="s">
        <v>90</v>
      </c>
      <c r="K700" s="10" t="s">
        <v>433</v>
      </c>
      <c r="L700" s="12">
        <f t="shared" si="209"/>
        <v>0</v>
      </c>
      <c r="M700" s="12"/>
      <c r="N700" s="12"/>
      <c r="O700" s="12">
        <f t="shared" si="210"/>
        <v>0</v>
      </c>
      <c r="P700" s="12"/>
      <c r="Q700" s="12"/>
      <c r="R700" s="12">
        <f t="shared" si="211"/>
        <v>0</v>
      </c>
      <c r="S700" s="12"/>
      <c r="T700" s="12"/>
      <c r="U700" s="12">
        <f t="shared" si="212"/>
        <v>0</v>
      </c>
      <c r="V700" s="12"/>
      <c r="W700" s="12"/>
      <c r="X700" s="12">
        <f t="shared" si="213"/>
        <v>0</v>
      </c>
      <c r="Y700" s="12"/>
      <c r="Z700" s="12"/>
      <c r="AA700" s="13">
        <f t="shared" si="214"/>
        <v>4500000</v>
      </c>
      <c r="AB700" s="14"/>
    </row>
    <row r="701" spans="1:28" ht="15.75" hidden="1" x14ac:dyDescent="0.25">
      <c r="A701" s="65">
        <v>46051</v>
      </c>
      <c r="B701" s="10" t="s">
        <v>53</v>
      </c>
      <c r="C701" s="10"/>
      <c r="D701" s="10" t="s">
        <v>195</v>
      </c>
      <c r="E701" s="10" t="s">
        <v>137</v>
      </c>
      <c r="F701" s="10">
        <v>10</v>
      </c>
      <c r="G701" s="10" t="s">
        <v>36</v>
      </c>
      <c r="H701" s="10">
        <v>200000</v>
      </c>
      <c r="I701" s="10">
        <f t="shared" si="202"/>
        <v>2000000</v>
      </c>
      <c r="J701" s="52" t="s">
        <v>90</v>
      </c>
      <c r="K701" s="10" t="s">
        <v>433</v>
      </c>
      <c r="L701" s="12">
        <f t="shared" si="209"/>
        <v>0</v>
      </c>
      <c r="M701" s="12"/>
      <c r="N701" s="12"/>
      <c r="O701" s="12">
        <f t="shared" si="210"/>
        <v>0</v>
      </c>
      <c r="P701" s="12"/>
      <c r="Q701" s="12"/>
      <c r="R701" s="12">
        <f t="shared" si="211"/>
        <v>0</v>
      </c>
      <c r="S701" s="12"/>
      <c r="T701" s="12"/>
      <c r="U701" s="12">
        <f t="shared" si="212"/>
        <v>0</v>
      </c>
      <c r="V701" s="12"/>
      <c r="W701" s="12"/>
      <c r="X701" s="12">
        <f t="shared" si="213"/>
        <v>0</v>
      </c>
      <c r="Y701" s="12"/>
      <c r="Z701" s="12"/>
      <c r="AA701" s="13">
        <f t="shared" si="214"/>
        <v>2000000</v>
      </c>
      <c r="AB701" s="14"/>
    </row>
    <row r="702" spans="1:28" ht="15.75" hidden="1" x14ac:dyDescent="0.25">
      <c r="A702" s="65">
        <v>46051</v>
      </c>
      <c r="B702" s="10" t="s">
        <v>303</v>
      </c>
      <c r="C702" s="10"/>
      <c r="D702" s="10" t="s">
        <v>383</v>
      </c>
      <c r="E702" s="10" t="s">
        <v>65</v>
      </c>
      <c r="F702" s="10">
        <v>900</v>
      </c>
      <c r="G702" s="10" t="s">
        <v>26</v>
      </c>
      <c r="H702" s="10">
        <v>3700</v>
      </c>
      <c r="I702" s="10">
        <f t="shared" si="202"/>
        <v>3330000</v>
      </c>
      <c r="J702" s="29" t="s">
        <v>110</v>
      </c>
      <c r="K702" s="10"/>
      <c r="L702" s="12">
        <f t="shared" si="209"/>
        <v>0</v>
      </c>
      <c r="M702" s="12"/>
      <c r="N702" s="12"/>
      <c r="O702" s="12">
        <f t="shared" si="210"/>
        <v>3330000</v>
      </c>
      <c r="P702" s="12">
        <v>3330000</v>
      </c>
      <c r="Q702" s="12"/>
      <c r="R702" s="12">
        <f t="shared" si="211"/>
        <v>0</v>
      </c>
      <c r="S702" s="12"/>
      <c r="T702" s="12"/>
      <c r="U702" s="12">
        <f t="shared" si="212"/>
        <v>0</v>
      </c>
      <c r="V702" s="12"/>
      <c r="W702" s="12"/>
      <c r="X702" s="12">
        <f t="shared" si="213"/>
        <v>0</v>
      </c>
      <c r="Y702" s="12"/>
      <c r="Z702" s="12"/>
      <c r="AA702" s="13">
        <f t="shared" si="214"/>
        <v>0</v>
      </c>
      <c r="AB702" s="14">
        <v>46051</v>
      </c>
    </row>
    <row r="703" spans="1:28" ht="15.75" hidden="1" x14ac:dyDescent="0.25">
      <c r="A703" s="65">
        <v>46051</v>
      </c>
      <c r="B703" s="10" t="s">
        <v>430</v>
      </c>
      <c r="C703" s="10"/>
      <c r="D703" s="10" t="s">
        <v>383</v>
      </c>
      <c r="E703" s="10" t="s">
        <v>51</v>
      </c>
      <c r="F703" s="10">
        <v>4</v>
      </c>
      <c r="G703" s="10" t="s">
        <v>22</v>
      </c>
      <c r="H703" s="10">
        <v>350000</v>
      </c>
      <c r="I703" s="10">
        <f t="shared" si="202"/>
        <v>1400000</v>
      </c>
      <c r="J703" s="29" t="s">
        <v>110</v>
      </c>
      <c r="K703" s="10" t="s">
        <v>252</v>
      </c>
      <c r="L703" s="12">
        <f t="shared" si="209"/>
        <v>0</v>
      </c>
      <c r="M703" s="12"/>
      <c r="N703" s="12"/>
      <c r="O703" s="12">
        <f t="shared" si="210"/>
        <v>1400000</v>
      </c>
      <c r="P703" s="12">
        <v>1400000</v>
      </c>
      <c r="Q703" s="12"/>
      <c r="R703" s="12">
        <f t="shared" si="211"/>
        <v>0</v>
      </c>
      <c r="S703" s="12"/>
      <c r="T703" s="12"/>
      <c r="U703" s="12">
        <f t="shared" si="212"/>
        <v>0</v>
      </c>
      <c r="V703" s="12"/>
      <c r="W703" s="12"/>
      <c r="X703" s="12">
        <f t="shared" si="213"/>
        <v>0</v>
      </c>
      <c r="Y703" s="12"/>
      <c r="Z703" s="12"/>
      <c r="AA703" s="13">
        <f t="shared" si="214"/>
        <v>0</v>
      </c>
      <c r="AB703" s="14">
        <v>46052</v>
      </c>
    </row>
    <row r="704" spans="1:28" ht="15.75" hidden="1" x14ac:dyDescent="0.25">
      <c r="A704" s="65">
        <v>46051</v>
      </c>
      <c r="B704" s="10" t="s">
        <v>430</v>
      </c>
      <c r="C704" s="10"/>
      <c r="D704" s="10" t="s">
        <v>383</v>
      </c>
      <c r="E704" s="10" t="s">
        <v>431</v>
      </c>
      <c r="F704" s="10">
        <v>4</v>
      </c>
      <c r="G704" s="10" t="s">
        <v>192</v>
      </c>
      <c r="H704" s="10">
        <v>900000</v>
      </c>
      <c r="I704" s="10">
        <f t="shared" si="202"/>
        <v>3600000</v>
      </c>
      <c r="J704" s="29" t="s">
        <v>110</v>
      </c>
      <c r="K704" s="10" t="s">
        <v>252</v>
      </c>
      <c r="L704" s="12">
        <f t="shared" si="209"/>
        <v>0</v>
      </c>
      <c r="M704" s="12"/>
      <c r="N704" s="12"/>
      <c r="O704" s="12">
        <f t="shared" si="210"/>
        <v>3600000</v>
      </c>
      <c r="P704" s="12">
        <v>3600000</v>
      </c>
      <c r="Q704" s="12"/>
      <c r="R704" s="12">
        <f t="shared" si="211"/>
        <v>0</v>
      </c>
      <c r="S704" s="12"/>
      <c r="T704" s="12"/>
      <c r="U704" s="12">
        <f t="shared" si="212"/>
        <v>0</v>
      </c>
      <c r="V704" s="12"/>
      <c r="W704" s="12"/>
      <c r="X704" s="12">
        <f t="shared" si="213"/>
        <v>0</v>
      </c>
      <c r="Y704" s="12"/>
      <c r="Z704" s="12"/>
      <c r="AA704" s="13">
        <f t="shared" si="214"/>
        <v>0</v>
      </c>
      <c r="AB704" s="14">
        <v>46052</v>
      </c>
    </row>
    <row r="705" spans="1:28" ht="15.75" hidden="1" x14ac:dyDescent="0.25">
      <c r="A705" s="65">
        <v>46051</v>
      </c>
      <c r="B705" s="10" t="s">
        <v>430</v>
      </c>
      <c r="C705" s="10"/>
      <c r="D705" s="10" t="s">
        <v>383</v>
      </c>
      <c r="E705" s="10" t="s">
        <v>168</v>
      </c>
      <c r="F705" s="10">
        <v>31.5</v>
      </c>
      <c r="G705" s="10" t="s">
        <v>36</v>
      </c>
      <c r="H705" s="10">
        <v>42000</v>
      </c>
      <c r="I705" s="10">
        <f t="shared" si="202"/>
        <v>1323000</v>
      </c>
      <c r="J705" s="29" t="s">
        <v>110</v>
      </c>
      <c r="K705" s="10" t="s">
        <v>252</v>
      </c>
      <c r="L705" s="12">
        <f t="shared" si="209"/>
        <v>0</v>
      </c>
      <c r="M705" s="12"/>
      <c r="N705" s="12"/>
      <c r="O705" s="12">
        <f t="shared" si="210"/>
        <v>1323000</v>
      </c>
      <c r="P705" s="12">
        <v>1323000</v>
      </c>
      <c r="Q705" s="12"/>
      <c r="R705" s="12">
        <f t="shared" si="211"/>
        <v>0</v>
      </c>
      <c r="S705" s="12"/>
      <c r="T705" s="12"/>
      <c r="U705" s="12">
        <f t="shared" si="212"/>
        <v>0</v>
      </c>
      <c r="V705" s="12"/>
      <c r="W705" s="12"/>
      <c r="X705" s="12">
        <f t="shared" si="213"/>
        <v>0</v>
      </c>
      <c r="Y705" s="12"/>
      <c r="Z705" s="12"/>
      <c r="AA705" s="13">
        <f t="shared" si="214"/>
        <v>0</v>
      </c>
      <c r="AB705" s="14">
        <v>46052</v>
      </c>
    </row>
    <row r="706" spans="1:28" ht="15.75" hidden="1" x14ac:dyDescent="0.25">
      <c r="A706" s="65">
        <v>46051</v>
      </c>
      <c r="B706" s="10" t="s">
        <v>197</v>
      </c>
      <c r="C706" s="10"/>
      <c r="D706" s="10" t="s">
        <v>28</v>
      </c>
      <c r="E706" s="10" t="s">
        <v>114</v>
      </c>
      <c r="F706" s="10">
        <v>100</v>
      </c>
      <c r="G706" s="10" t="s">
        <v>67</v>
      </c>
      <c r="H706" s="10">
        <v>50000</v>
      </c>
      <c r="I706" s="10">
        <f t="shared" si="202"/>
        <v>5000000</v>
      </c>
      <c r="J706" s="52" t="s">
        <v>90</v>
      </c>
      <c r="K706" s="87" t="s">
        <v>251</v>
      </c>
      <c r="L706" s="12">
        <f t="shared" si="209"/>
        <v>0</v>
      </c>
      <c r="M706" s="12"/>
      <c r="N706" s="12"/>
      <c r="O706" s="12">
        <f t="shared" si="210"/>
        <v>0</v>
      </c>
      <c r="P706" s="12"/>
      <c r="Q706" s="12"/>
      <c r="R706" s="12">
        <f t="shared" si="211"/>
        <v>0</v>
      </c>
      <c r="S706" s="12"/>
      <c r="T706" s="12"/>
      <c r="U706" s="12">
        <f t="shared" si="212"/>
        <v>0</v>
      </c>
      <c r="V706" s="12"/>
      <c r="W706" s="12"/>
      <c r="X706" s="12">
        <f t="shared" si="213"/>
        <v>0</v>
      </c>
      <c r="Y706" s="12"/>
      <c r="Z706" s="12"/>
      <c r="AA706" s="13">
        <f t="shared" si="214"/>
        <v>5000000</v>
      </c>
      <c r="AB706" s="14"/>
    </row>
    <row r="707" spans="1:28" ht="15.75" hidden="1" x14ac:dyDescent="0.25">
      <c r="A707" s="65">
        <v>46051</v>
      </c>
      <c r="B707" s="10" t="s">
        <v>272</v>
      </c>
      <c r="C707" s="10"/>
      <c r="D707" s="10"/>
      <c r="E707" s="10" t="s">
        <v>86</v>
      </c>
      <c r="F707" s="10">
        <v>58</v>
      </c>
      <c r="G707" s="10" t="s">
        <v>36</v>
      </c>
      <c r="H707" s="10"/>
      <c r="I707" s="10">
        <f t="shared" si="202"/>
        <v>0</v>
      </c>
      <c r="J707" s="52" t="s">
        <v>90</v>
      </c>
      <c r="K707" s="10"/>
      <c r="L707" s="12">
        <f t="shared" si="209"/>
        <v>0</v>
      </c>
      <c r="M707" s="12"/>
      <c r="N707" s="12"/>
      <c r="O707" s="12">
        <f t="shared" si="210"/>
        <v>0</v>
      </c>
      <c r="P707" s="12"/>
      <c r="Q707" s="12"/>
      <c r="R707" s="12">
        <f t="shared" si="211"/>
        <v>0</v>
      </c>
      <c r="S707" s="12"/>
      <c r="T707" s="12"/>
      <c r="U707" s="12">
        <f t="shared" si="212"/>
        <v>0</v>
      </c>
      <c r="V707" s="12"/>
      <c r="W707" s="12"/>
      <c r="X707" s="12">
        <f t="shared" si="213"/>
        <v>0</v>
      </c>
      <c r="Y707" s="12"/>
      <c r="Z707" s="12"/>
      <c r="AA707" s="13">
        <f t="shared" si="214"/>
        <v>0</v>
      </c>
      <c r="AB707" s="14"/>
    </row>
    <row r="708" spans="1:28" ht="15.75" hidden="1" x14ac:dyDescent="0.25">
      <c r="A708" s="65">
        <v>46051</v>
      </c>
      <c r="B708" s="10" t="s">
        <v>272</v>
      </c>
      <c r="C708" s="10"/>
      <c r="D708" s="10"/>
      <c r="E708" s="10" t="s">
        <v>80</v>
      </c>
      <c r="F708" s="10">
        <v>45.5</v>
      </c>
      <c r="G708" s="10" t="s">
        <v>36</v>
      </c>
      <c r="H708" s="10"/>
      <c r="I708" s="10">
        <f t="shared" si="202"/>
        <v>0</v>
      </c>
      <c r="J708" s="86" t="s">
        <v>76</v>
      </c>
      <c r="K708" s="10"/>
      <c r="L708" s="12">
        <f t="shared" si="209"/>
        <v>0</v>
      </c>
      <c r="M708" s="12"/>
      <c r="N708" s="12"/>
      <c r="O708" s="12">
        <f t="shared" si="210"/>
        <v>0</v>
      </c>
      <c r="P708" s="12"/>
      <c r="Q708" s="12"/>
      <c r="R708" s="12">
        <f t="shared" si="211"/>
        <v>0</v>
      </c>
      <c r="S708" s="12"/>
      <c r="T708" s="12"/>
      <c r="U708" s="12">
        <f t="shared" si="212"/>
        <v>0</v>
      </c>
      <c r="V708" s="12"/>
      <c r="W708" s="12"/>
      <c r="X708" s="12">
        <f t="shared" si="213"/>
        <v>0</v>
      </c>
      <c r="Y708" s="12"/>
      <c r="Z708" s="12"/>
      <c r="AA708" s="13">
        <f t="shared" si="214"/>
        <v>0</v>
      </c>
      <c r="AB708" s="14"/>
    </row>
    <row r="709" spans="1:28" ht="15.75" hidden="1" x14ac:dyDescent="0.25">
      <c r="A709" s="28">
        <v>46051</v>
      </c>
      <c r="B709" s="10" t="s">
        <v>272</v>
      </c>
      <c r="C709" s="10"/>
      <c r="D709" s="10"/>
      <c r="E709" s="10" t="s">
        <v>307</v>
      </c>
      <c r="F709" s="10">
        <v>27</v>
      </c>
      <c r="G709" s="10" t="s">
        <v>36</v>
      </c>
      <c r="H709" s="10"/>
      <c r="I709" s="10">
        <f t="shared" si="202"/>
        <v>0</v>
      </c>
      <c r="J709" s="86" t="s">
        <v>76</v>
      </c>
      <c r="K709" s="10"/>
      <c r="L709" s="12">
        <f t="shared" si="209"/>
        <v>0</v>
      </c>
      <c r="M709" s="12"/>
      <c r="N709" s="12"/>
      <c r="O709" s="12">
        <f t="shared" si="210"/>
        <v>0</v>
      </c>
      <c r="P709" s="12"/>
      <c r="Q709" s="12"/>
      <c r="R709" s="12">
        <f t="shared" si="211"/>
        <v>0</v>
      </c>
      <c r="S709" s="12"/>
      <c r="T709" s="12"/>
      <c r="U709" s="12">
        <f t="shared" si="212"/>
        <v>0</v>
      </c>
      <c r="V709" s="12"/>
      <c r="W709" s="12"/>
      <c r="X709" s="12">
        <f t="shared" si="213"/>
        <v>0</v>
      </c>
      <c r="Y709" s="12"/>
      <c r="Z709" s="12"/>
      <c r="AA709" s="13">
        <f t="shared" si="214"/>
        <v>0</v>
      </c>
      <c r="AB709" s="14"/>
    </row>
    <row r="710" spans="1:28" ht="15.75" hidden="1" x14ac:dyDescent="0.25">
      <c r="A710" s="28">
        <v>46051</v>
      </c>
      <c r="B710" s="10" t="s">
        <v>272</v>
      </c>
      <c r="C710" s="10"/>
      <c r="D710" s="10"/>
      <c r="E710" s="10" t="s">
        <v>315</v>
      </c>
      <c r="F710" s="10">
        <v>27</v>
      </c>
      <c r="G710" s="10" t="s">
        <v>36</v>
      </c>
      <c r="H710" s="10"/>
      <c r="I710" s="10">
        <f t="shared" si="202"/>
        <v>0</v>
      </c>
      <c r="J710" s="86" t="s">
        <v>76</v>
      </c>
      <c r="K710" s="10"/>
      <c r="L710" s="12">
        <f t="shared" si="209"/>
        <v>0</v>
      </c>
      <c r="M710" s="12"/>
      <c r="N710" s="12"/>
      <c r="O710" s="12">
        <f t="shared" si="210"/>
        <v>0</v>
      </c>
      <c r="P710" s="12"/>
      <c r="Q710" s="12"/>
      <c r="R710" s="12">
        <f t="shared" si="211"/>
        <v>0</v>
      </c>
      <c r="S710" s="12"/>
      <c r="T710" s="12"/>
      <c r="U710" s="12">
        <f t="shared" si="212"/>
        <v>0</v>
      </c>
      <c r="V710" s="12"/>
      <c r="W710" s="12"/>
      <c r="X710" s="12">
        <f t="shared" si="213"/>
        <v>0</v>
      </c>
      <c r="Y710" s="12"/>
      <c r="Z710" s="12"/>
      <c r="AA710" s="13">
        <f t="shared" si="214"/>
        <v>0</v>
      </c>
      <c r="AB710" s="14"/>
    </row>
    <row r="711" spans="1:28" ht="15.75" hidden="1" x14ac:dyDescent="0.25">
      <c r="A711" s="65">
        <v>46051</v>
      </c>
      <c r="B711" s="10" t="s">
        <v>272</v>
      </c>
      <c r="C711" s="10"/>
      <c r="D711" s="10"/>
      <c r="E711" s="10" t="s">
        <v>168</v>
      </c>
      <c r="F711" s="10">
        <v>31.9</v>
      </c>
      <c r="G711" s="10" t="s">
        <v>36</v>
      </c>
      <c r="H711" s="10"/>
      <c r="I711" s="10">
        <f t="shared" si="202"/>
        <v>0</v>
      </c>
      <c r="J711" s="86" t="s">
        <v>76</v>
      </c>
      <c r="K711" s="10"/>
      <c r="L711" s="12">
        <f t="shared" si="209"/>
        <v>0</v>
      </c>
      <c r="M711" s="12"/>
      <c r="N711" s="12"/>
      <c r="O711" s="12">
        <f t="shared" si="210"/>
        <v>0</v>
      </c>
      <c r="P711" s="12"/>
      <c r="Q711" s="12"/>
      <c r="R711" s="12">
        <f t="shared" si="211"/>
        <v>0</v>
      </c>
      <c r="S711" s="12"/>
      <c r="T711" s="12"/>
      <c r="U711" s="12">
        <f t="shared" si="212"/>
        <v>0</v>
      </c>
      <c r="V711" s="12"/>
      <c r="W711" s="12"/>
      <c r="X711" s="12">
        <f t="shared" si="213"/>
        <v>0</v>
      </c>
      <c r="Y711" s="12"/>
      <c r="Z711" s="12"/>
      <c r="AA711" s="13">
        <f t="shared" si="214"/>
        <v>0</v>
      </c>
      <c r="AB711" s="14"/>
    </row>
    <row r="712" spans="1:28" ht="16.5" hidden="1" thickBot="1" x14ac:dyDescent="0.3">
      <c r="A712" s="53">
        <v>46051</v>
      </c>
      <c r="B712" s="54" t="s">
        <v>432</v>
      </c>
      <c r="C712" s="54"/>
      <c r="D712" s="54" t="s">
        <v>195</v>
      </c>
      <c r="E712" s="54" t="s">
        <v>25</v>
      </c>
      <c r="F712" s="54">
        <v>200</v>
      </c>
      <c r="G712" s="54" t="s">
        <v>26</v>
      </c>
      <c r="H712" s="54">
        <v>2700</v>
      </c>
      <c r="I712" s="31">
        <f t="shared" si="202"/>
        <v>540000</v>
      </c>
      <c r="J712" s="55" t="s">
        <v>113</v>
      </c>
      <c r="K712" s="54"/>
      <c r="L712" s="34">
        <f t="shared" ref="L712:L713" si="215">M712+N712</f>
        <v>0</v>
      </c>
      <c r="M712" s="34"/>
      <c r="N712" s="34"/>
      <c r="O712" s="34">
        <f t="shared" ref="O712:O713" si="216">P712+Q712</f>
        <v>0</v>
      </c>
      <c r="P712" s="34"/>
      <c r="Q712" s="34"/>
      <c r="R712" s="34">
        <f t="shared" ref="R712:R713" si="217">S712+T712</f>
        <v>0</v>
      </c>
      <c r="S712" s="34"/>
      <c r="T712" s="34"/>
      <c r="U712" s="34">
        <f t="shared" ref="U712:U713" si="218">V712+W712</f>
        <v>540000</v>
      </c>
      <c r="V712" s="34">
        <v>540000</v>
      </c>
      <c r="W712" s="34"/>
      <c r="X712" s="34">
        <f t="shared" ref="X712:X713" si="219">Y712+Z712</f>
        <v>0</v>
      </c>
      <c r="Y712" s="34"/>
      <c r="Z712" s="34"/>
      <c r="AA712" s="35">
        <f t="shared" ref="AA712:AA713" si="220">C712+I712-L712-O712-U712-X712-R712</f>
        <v>0</v>
      </c>
      <c r="AB712" s="36">
        <v>46051</v>
      </c>
    </row>
    <row r="713" spans="1:28" ht="15.75" hidden="1" x14ac:dyDescent="0.25">
      <c r="A713" s="65">
        <v>46052</v>
      </c>
      <c r="B713" s="66" t="s">
        <v>246</v>
      </c>
      <c r="C713" s="66"/>
      <c r="D713" s="66" t="s">
        <v>28</v>
      </c>
      <c r="E713" s="66" t="s">
        <v>65</v>
      </c>
      <c r="F713" s="66">
        <v>1500</v>
      </c>
      <c r="G713" s="66" t="s">
        <v>26</v>
      </c>
      <c r="H713" s="66">
        <v>3950</v>
      </c>
      <c r="I713" s="45">
        <f t="shared" si="202"/>
        <v>5925000</v>
      </c>
      <c r="J713" s="52" t="s">
        <v>90</v>
      </c>
      <c r="K713" s="66" t="s">
        <v>434</v>
      </c>
      <c r="L713" s="48">
        <f t="shared" si="215"/>
        <v>0</v>
      </c>
      <c r="M713" s="48"/>
      <c r="N713" s="48"/>
      <c r="O713" s="48">
        <f t="shared" si="216"/>
        <v>0</v>
      </c>
      <c r="P713" s="48"/>
      <c r="Q713" s="48"/>
      <c r="R713" s="48">
        <f t="shared" si="217"/>
        <v>0</v>
      </c>
      <c r="S713" s="48"/>
      <c r="T713" s="48"/>
      <c r="U713" s="48">
        <f t="shared" si="218"/>
        <v>0</v>
      </c>
      <c r="V713" s="48"/>
      <c r="W713" s="48"/>
      <c r="X713" s="48">
        <f t="shared" si="219"/>
        <v>0</v>
      </c>
      <c r="Y713" s="48"/>
      <c r="Z713" s="48"/>
      <c r="AA713" s="49">
        <f t="shared" si="220"/>
        <v>5925000</v>
      </c>
      <c r="AB713" s="50"/>
    </row>
    <row r="714" spans="1:28" ht="15.75" hidden="1" x14ac:dyDescent="0.25">
      <c r="A714" s="65">
        <v>46052</v>
      </c>
      <c r="B714" s="66" t="s">
        <v>246</v>
      </c>
      <c r="C714" s="10"/>
      <c r="D714" s="66" t="s">
        <v>28</v>
      </c>
      <c r="E714" s="10" t="s">
        <v>119</v>
      </c>
      <c r="F714" s="10">
        <v>25</v>
      </c>
      <c r="G714" s="10" t="s">
        <v>36</v>
      </c>
      <c r="H714" s="10">
        <v>165000</v>
      </c>
      <c r="I714" s="10">
        <f t="shared" si="202"/>
        <v>4125000</v>
      </c>
      <c r="J714" s="52" t="s">
        <v>90</v>
      </c>
      <c r="K714" s="66" t="s">
        <v>434</v>
      </c>
      <c r="L714" s="12">
        <f t="shared" ref="L714:L735" si="221">M714+N714</f>
        <v>0</v>
      </c>
      <c r="M714" s="12"/>
      <c r="N714" s="12"/>
      <c r="O714" s="12">
        <f t="shared" ref="O714:O735" si="222">P714+Q714</f>
        <v>0</v>
      </c>
      <c r="P714" s="12"/>
      <c r="Q714" s="12"/>
      <c r="R714" s="12">
        <f t="shared" ref="R714:R735" si="223">S714+T714</f>
        <v>0</v>
      </c>
      <c r="S714" s="12"/>
      <c r="T714" s="12"/>
      <c r="U714" s="12">
        <f t="shared" ref="U714:U735" si="224">V714+W714</f>
        <v>0</v>
      </c>
      <c r="V714" s="12"/>
      <c r="W714" s="12"/>
      <c r="X714" s="12">
        <f t="shared" ref="X714:X735" si="225">Y714+Z714</f>
        <v>0</v>
      </c>
      <c r="Y714" s="12"/>
      <c r="Z714" s="12"/>
      <c r="AA714" s="13">
        <f t="shared" ref="AA714:AA735" si="226">C714+I714-L714-O714-U714-X714-R714</f>
        <v>4125000</v>
      </c>
      <c r="AB714" s="14"/>
    </row>
    <row r="715" spans="1:28" ht="15.75" hidden="1" x14ac:dyDescent="0.25">
      <c r="A715" s="65">
        <v>46052</v>
      </c>
      <c r="B715" s="66" t="s">
        <v>246</v>
      </c>
      <c r="C715" s="10"/>
      <c r="D715" s="66" t="s">
        <v>28</v>
      </c>
      <c r="E715" s="10" t="s">
        <v>137</v>
      </c>
      <c r="F715" s="10">
        <v>10</v>
      </c>
      <c r="G715" s="10" t="s">
        <v>36</v>
      </c>
      <c r="H715" s="10">
        <v>170000</v>
      </c>
      <c r="I715" s="10">
        <f t="shared" ref="I715:I754" si="227">F715*H715</f>
        <v>1700000</v>
      </c>
      <c r="J715" s="52" t="s">
        <v>90</v>
      </c>
      <c r="K715" s="66" t="s">
        <v>434</v>
      </c>
      <c r="L715" s="12">
        <f t="shared" si="221"/>
        <v>0</v>
      </c>
      <c r="M715" s="12"/>
      <c r="N715" s="12"/>
      <c r="O715" s="12">
        <f t="shared" si="222"/>
        <v>0</v>
      </c>
      <c r="P715" s="12"/>
      <c r="Q715" s="12"/>
      <c r="R715" s="12">
        <f t="shared" si="223"/>
        <v>0</v>
      </c>
      <c r="S715" s="12"/>
      <c r="T715" s="12"/>
      <c r="U715" s="12">
        <f t="shared" si="224"/>
        <v>0</v>
      </c>
      <c r="V715" s="12"/>
      <c r="W715" s="12"/>
      <c r="X715" s="12">
        <f t="shared" si="225"/>
        <v>0</v>
      </c>
      <c r="Y715" s="12"/>
      <c r="Z715" s="12"/>
      <c r="AA715" s="13">
        <f t="shared" si="226"/>
        <v>1700000</v>
      </c>
      <c r="AB715" s="14"/>
    </row>
    <row r="716" spans="1:28" ht="15.75" hidden="1" x14ac:dyDescent="0.25">
      <c r="A716" s="65">
        <v>46052</v>
      </c>
      <c r="B716" s="10" t="s">
        <v>237</v>
      </c>
      <c r="C716" s="10"/>
      <c r="D716" s="10" t="s">
        <v>32</v>
      </c>
      <c r="E716" s="10" t="s">
        <v>98</v>
      </c>
      <c r="F716" s="10">
        <v>10400</v>
      </c>
      <c r="G716" s="10" t="s">
        <v>26</v>
      </c>
      <c r="H716" s="10">
        <v>1800</v>
      </c>
      <c r="I716" s="10">
        <f t="shared" si="227"/>
        <v>18720000</v>
      </c>
      <c r="J716" s="29" t="s">
        <v>110</v>
      </c>
      <c r="K716" s="10"/>
      <c r="L716" s="12">
        <f t="shared" si="221"/>
        <v>0</v>
      </c>
      <c r="M716" s="12"/>
      <c r="N716" s="12"/>
      <c r="O716" s="12">
        <f t="shared" si="222"/>
        <v>18720000</v>
      </c>
      <c r="P716" s="12">
        <v>18720000</v>
      </c>
      <c r="Q716" s="12"/>
      <c r="R716" s="12">
        <f t="shared" si="223"/>
        <v>0</v>
      </c>
      <c r="S716" s="12"/>
      <c r="T716" s="12"/>
      <c r="U716" s="12">
        <f t="shared" si="224"/>
        <v>0</v>
      </c>
      <c r="V716" s="12"/>
      <c r="W716" s="12"/>
      <c r="X716" s="12">
        <f t="shared" si="225"/>
        <v>0</v>
      </c>
      <c r="Y716" s="12"/>
      <c r="Z716" s="12"/>
      <c r="AA716" s="13">
        <f t="shared" si="226"/>
        <v>0</v>
      </c>
      <c r="AB716" s="14">
        <v>46052</v>
      </c>
    </row>
    <row r="717" spans="1:28" ht="15.75" hidden="1" x14ac:dyDescent="0.25">
      <c r="A717" s="65">
        <v>46052</v>
      </c>
      <c r="B717" s="10" t="s">
        <v>232</v>
      </c>
      <c r="C717" s="10"/>
      <c r="D717" s="10" t="s">
        <v>383</v>
      </c>
      <c r="E717" s="10" t="s">
        <v>78</v>
      </c>
      <c r="F717" s="10">
        <v>10</v>
      </c>
      <c r="G717" s="10" t="s">
        <v>61</v>
      </c>
      <c r="H717" s="10">
        <v>250000</v>
      </c>
      <c r="I717" s="10">
        <f t="shared" si="227"/>
        <v>2500000</v>
      </c>
      <c r="J717" s="52" t="s">
        <v>30</v>
      </c>
      <c r="K717" s="10" t="s">
        <v>435</v>
      </c>
      <c r="L717" s="12">
        <f t="shared" si="221"/>
        <v>0</v>
      </c>
      <c r="M717" s="12"/>
      <c r="N717" s="12"/>
      <c r="O717" s="12">
        <f t="shared" si="222"/>
        <v>0</v>
      </c>
      <c r="P717" s="12"/>
      <c r="Q717" s="12"/>
      <c r="R717" s="12">
        <f t="shared" si="223"/>
        <v>0</v>
      </c>
      <c r="S717" s="12"/>
      <c r="T717" s="12"/>
      <c r="U717" s="12">
        <f t="shared" si="224"/>
        <v>0</v>
      </c>
      <c r="V717" s="12"/>
      <c r="W717" s="12"/>
      <c r="X717" s="12">
        <f t="shared" si="225"/>
        <v>0</v>
      </c>
      <c r="Y717" s="12"/>
      <c r="Z717" s="12"/>
      <c r="AA717" s="13">
        <f t="shared" si="226"/>
        <v>2500000</v>
      </c>
      <c r="AB717" s="14"/>
    </row>
    <row r="718" spans="1:28" ht="15.75" hidden="1" x14ac:dyDescent="0.25">
      <c r="A718" s="65">
        <v>46052</v>
      </c>
      <c r="B718" s="10" t="s">
        <v>232</v>
      </c>
      <c r="C718" s="10"/>
      <c r="D718" s="10" t="s">
        <v>383</v>
      </c>
      <c r="E718" s="10" t="s">
        <v>104</v>
      </c>
      <c r="F718" s="10">
        <v>10000</v>
      </c>
      <c r="G718" s="10" t="s">
        <v>26</v>
      </c>
      <c r="H718" s="10">
        <v>1900</v>
      </c>
      <c r="I718" s="10">
        <f t="shared" si="227"/>
        <v>19000000</v>
      </c>
      <c r="J718" s="52" t="s">
        <v>30</v>
      </c>
      <c r="K718" s="10" t="s">
        <v>435</v>
      </c>
      <c r="L718" s="12">
        <f t="shared" si="221"/>
        <v>0</v>
      </c>
      <c r="M718" s="12"/>
      <c r="N718" s="12"/>
      <c r="O718" s="12">
        <f t="shared" si="222"/>
        <v>0</v>
      </c>
      <c r="P718" s="12"/>
      <c r="Q718" s="12"/>
      <c r="R718" s="12">
        <f t="shared" si="223"/>
        <v>0</v>
      </c>
      <c r="S718" s="12"/>
      <c r="T718" s="12"/>
      <c r="U718" s="12">
        <f t="shared" si="224"/>
        <v>0</v>
      </c>
      <c r="V718" s="12"/>
      <c r="W718" s="12"/>
      <c r="X718" s="12">
        <f t="shared" si="225"/>
        <v>0</v>
      </c>
      <c r="Y718" s="12"/>
      <c r="Z718" s="12"/>
      <c r="AA718" s="13">
        <f t="shared" si="226"/>
        <v>19000000</v>
      </c>
      <c r="AB718" s="14"/>
    </row>
    <row r="719" spans="1:28" ht="15.75" hidden="1" x14ac:dyDescent="0.25">
      <c r="A719" s="65">
        <v>46052</v>
      </c>
      <c r="B719" s="10" t="s">
        <v>245</v>
      </c>
      <c r="C719" s="10"/>
      <c r="D719" s="10" t="s">
        <v>195</v>
      </c>
      <c r="E719" s="10" t="s">
        <v>80</v>
      </c>
      <c r="F719" s="10">
        <v>45.1</v>
      </c>
      <c r="G719" s="10" t="s">
        <v>36</v>
      </c>
      <c r="H719" s="10">
        <v>43000</v>
      </c>
      <c r="I719" s="10">
        <f t="shared" si="227"/>
        <v>1939300</v>
      </c>
      <c r="J719" s="29" t="s">
        <v>110</v>
      </c>
      <c r="K719" s="10"/>
      <c r="L719" s="12">
        <f t="shared" si="221"/>
        <v>0</v>
      </c>
      <c r="M719" s="12"/>
      <c r="N719" s="12"/>
      <c r="O719" s="12">
        <f t="shared" si="222"/>
        <v>1939300</v>
      </c>
      <c r="P719" s="12">
        <v>1939300</v>
      </c>
      <c r="Q719" s="12"/>
      <c r="R719" s="12">
        <f t="shared" si="223"/>
        <v>0</v>
      </c>
      <c r="S719" s="12"/>
      <c r="T719" s="12"/>
      <c r="U719" s="12">
        <f t="shared" si="224"/>
        <v>0</v>
      </c>
      <c r="V719" s="12"/>
      <c r="W719" s="12"/>
      <c r="X719" s="12">
        <f t="shared" si="225"/>
        <v>0</v>
      </c>
      <c r="Y719" s="12"/>
      <c r="Z719" s="12"/>
      <c r="AA719" s="13">
        <f t="shared" si="226"/>
        <v>0</v>
      </c>
      <c r="AB719" s="14">
        <v>46052</v>
      </c>
    </row>
    <row r="720" spans="1:28" ht="15.75" hidden="1" x14ac:dyDescent="0.25">
      <c r="A720" s="65">
        <v>46052</v>
      </c>
      <c r="B720" s="10" t="s">
        <v>245</v>
      </c>
      <c r="C720" s="10"/>
      <c r="D720" s="10" t="s">
        <v>195</v>
      </c>
      <c r="E720" s="10" t="s">
        <v>107</v>
      </c>
      <c r="F720" s="10">
        <v>20</v>
      </c>
      <c r="G720" s="10" t="s">
        <v>36</v>
      </c>
      <c r="H720" s="10">
        <v>60000</v>
      </c>
      <c r="I720" s="10">
        <f t="shared" si="227"/>
        <v>1200000</v>
      </c>
      <c r="J720" s="29" t="s">
        <v>110</v>
      </c>
      <c r="K720" s="10"/>
      <c r="L720" s="12">
        <f t="shared" si="221"/>
        <v>0</v>
      </c>
      <c r="M720" s="12"/>
      <c r="N720" s="12"/>
      <c r="O720" s="12">
        <f t="shared" si="222"/>
        <v>1200000</v>
      </c>
      <c r="P720" s="12">
        <v>1200000</v>
      </c>
      <c r="Q720" s="12"/>
      <c r="R720" s="12">
        <f t="shared" si="223"/>
        <v>0</v>
      </c>
      <c r="S720" s="12"/>
      <c r="T720" s="12"/>
      <c r="U720" s="12">
        <f t="shared" si="224"/>
        <v>0</v>
      </c>
      <c r="V720" s="12"/>
      <c r="W720" s="12"/>
      <c r="X720" s="12">
        <f t="shared" si="225"/>
        <v>0</v>
      </c>
      <c r="Y720" s="12"/>
      <c r="Z720" s="12"/>
      <c r="AA720" s="13">
        <f t="shared" si="226"/>
        <v>0</v>
      </c>
      <c r="AB720" s="14">
        <v>46052</v>
      </c>
    </row>
    <row r="721" spans="1:28" ht="15.75" hidden="1" x14ac:dyDescent="0.25">
      <c r="A721" s="65">
        <v>46052</v>
      </c>
      <c r="B721" s="10" t="s">
        <v>101</v>
      </c>
      <c r="C721" s="10"/>
      <c r="D721" s="10" t="s">
        <v>195</v>
      </c>
      <c r="E721" s="10" t="s">
        <v>88</v>
      </c>
      <c r="F721" s="10">
        <v>50</v>
      </c>
      <c r="G721" s="10" t="s">
        <v>36</v>
      </c>
      <c r="H721" s="10">
        <v>125000</v>
      </c>
      <c r="I721" s="10">
        <f t="shared" si="227"/>
        <v>6250000</v>
      </c>
      <c r="J721" s="52" t="s">
        <v>90</v>
      </c>
      <c r="K721" s="10" t="s">
        <v>433</v>
      </c>
      <c r="L721" s="12">
        <f t="shared" si="221"/>
        <v>0</v>
      </c>
      <c r="M721" s="12"/>
      <c r="N721" s="12"/>
      <c r="O721" s="12">
        <f t="shared" si="222"/>
        <v>0</v>
      </c>
      <c r="P721" s="12"/>
      <c r="Q721" s="12"/>
      <c r="R721" s="12">
        <f t="shared" si="223"/>
        <v>0</v>
      </c>
      <c r="S721" s="12"/>
      <c r="T721" s="12"/>
      <c r="U721" s="12">
        <f t="shared" si="224"/>
        <v>0</v>
      </c>
      <c r="V721" s="12"/>
      <c r="W721" s="12"/>
      <c r="X721" s="12">
        <f t="shared" si="225"/>
        <v>0</v>
      </c>
      <c r="Y721" s="12"/>
      <c r="Z721" s="12"/>
      <c r="AA721" s="13">
        <f t="shared" si="226"/>
        <v>6250000</v>
      </c>
      <c r="AB721" s="14"/>
    </row>
    <row r="722" spans="1:28" ht="15.75" hidden="1" x14ac:dyDescent="0.25">
      <c r="A722" s="65">
        <v>46052</v>
      </c>
      <c r="B722" s="10" t="s">
        <v>101</v>
      </c>
      <c r="C722" s="10"/>
      <c r="D722" s="10" t="s">
        <v>195</v>
      </c>
      <c r="E722" s="10" t="s">
        <v>290</v>
      </c>
      <c r="F722" s="10">
        <v>10</v>
      </c>
      <c r="G722" s="10" t="s">
        <v>36</v>
      </c>
      <c r="H722" s="10">
        <v>25000</v>
      </c>
      <c r="I722" s="10">
        <f t="shared" si="227"/>
        <v>250000</v>
      </c>
      <c r="J722" s="52" t="s">
        <v>90</v>
      </c>
      <c r="K722" s="10" t="s">
        <v>433</v>
      </c>
      <c r="L722" s="12">
        <f t="shared" si="221"/>
        <v>0</v>
      </c>
      <c r="M722" s="12"/>
      <c r="N722" s="12"/>
      <c r="O722" s="12">
        <f t="shared" si="222"/>
        <v>0</v>
      </c>
      <c r="P722" s="12"/>
      <c r="Q722" s="12"/>
      <c r="R722" s="12">
        <f t="shared" si="223"/>
        <v>0</v>
      </c>
      <c r="S722" s="12"/>
      <c r="T722" s="12"/>
      <c r="U722" s="12">
        <f t="shared" si="224"/>
        <v>0</v>
      </c>
      <c r="V722" s="12"/>
      <c r="W722" s="12"/>
      <c r="X722" s="12">
        <f t="shared" si="225"/>
        <v>0</v>
      </c>
      <c r="Y722" s="12"/>
      <c r="Z722" s="12"/>
      <c r="AA722" s="13">
        <f t="shared" si="226"/>
        <v>250000</v>
      </c>
      <c r="AB722" s="14"/>
    </row>
    <row r="723" spans="1:28" ht="15.75" hidden="1" x14ac:dyDescent="0.25">
      <c r="A723" s="65">
        <v>46052</v>
      </c>
      <c r="B723" s="10" t="s">
        <v>109</v>
      </c>
      <c r="C723" s="10"/>
      <c r="D723" s="10" t="s">
        <v>28</v>
      </c>
      <c r="E723" s="10" t="s">
        <v>167</v>
      </c>
      <c r="F723" s="10">
        <v>2.5</v>
      </c>
      <c r="G723" s="10" t="s">
        <v>36</v>
      </c>
      <c r="H723" s="10">
        <v>90000</v>
      </c>
      <c r="I723" s="10">
        <f t="shared" si="227"/>
        <v>225000</v>
      </c>
      <c r="J723" s="29" t="s">
        <v>113</v>
      </c>
      <c r="K723" s="10"/>
      <c r="L723" s="12">
        <f t="shared" si="221"/>
        <v>225000</v>
      </c>
      <c r="M723" s="12">
        <v>225000</v>
      </c>
      <c r="N723" s="12"/>
      <c r="O723" s="12">
        <f t="shared" si="222"/>
        <v>0</v>
      </c>
      <c r="P723" s="12"/>
      <c r="Q723" s="12"/>
      <c r="R723" s="12">
        <f t="shared" si="223"/>
        <v>0</v>
      </c>
      <c r="S723" s="12"/>
      <c r="T723" s="12"/>
      <c r="U723" s="12">
        <f t="shared" si="224"/>
        <v>0</v>
      </c>
      <c r="V723" s="12"/>
      <c r="W723" s="12"/>
      <c r="X723" s="12">
        <f t="shared" si="225"/>
        <v>0</v>
      </c>
      <c r="Y723" s="12"/>
      <c r="Z723" s="12"/>
      <c r="AA723" s="13">
        <f t="shared" si="226"/>
        <v>0</v>
      </c>
      <c r="AB723" s="14">
        <v>46052</v>
      </c>
    </row>
    <row r="724" spans="1:28" ht="15.75" hidden="1" x14ac:dyDescent="0.25">
      <c r="A724" s="65">
        <v>46052</v>
      </c>
      <c r="B724" s="10" t="s">
        <v>109</v>
      </c>
      <c r="C724" s="10"/>
      <c r="D724" s="10" t="s">
        <v>28</v>
      </c>
      <c r="E724" s="10" t="s">
        <v>370</v>
      </c>
      <c r="F724" s="10">
        <v>2.5</v>
      </c>
      <c r="G724" s="10" t="s">
        <v>36</v>
      </c>
      <c r="H724" s="10">
        <v>86000</v>
      </c>
      <c r="I724" s="10">
        <f t="shared" si="227"/>
        <v>215000</v>
      </c>
      <c r="J724" s="29" t="s">
        <v>113</v>
      </c>
      <c r="K724" s="10"/>
      <c r="L724" s="12">
        <f t="shared" si="221"/>
        <v>215000</v>
      </c>
      <c r="M724" s="12">
        <v>215000</v>
      </c>
      <c r="N724" s="12"/>
      <c r="O724" s="12">
        <f t="shared" si="222"/>
        <v>0</v>
      </c>
      <c r="P724" s="12"/>
      <c r="Q724" s="12"/>
      <c r="R724" s="12">
        <f t="shared" si="223"/>
        <v>0</v>
      </c>
      <c r="S724" s="12"/>
      <c r="T724" s="12"/>
      <c r="U724" s="12">
        <f t="shared" si="224"/>
        <v>0</v>
      </c>
      <c r="V724" s="12"/>
      <c r="W724" s="12"/>
      <c r="X724" s="12">
        <f t="shared" si="225"/>
        <v>0</v>
      </c>
      <c r="Y724" s="12"/>
      <c r="Z724" s="12"/>
      <c r="AA724" s="13">
        <f t="shared" si="226"/>
        <v>0</v>
      </c>
      <c r="AB724" s="14">
        <v>46052</v>
      </c>
    </row>
    <row r="725" spans="1:28" ht="15.75" hidden="1" x14ac:dyDescent="0.25">
      <c r="A725" s="65">
        <v>46052</v>
      </c>
      <c r="B725" s="10" t="s">
        <v>109</v>
      </c>
      <c r="C725" s="10"/>
      <c r="D725" s="10" t="s">
        <v>28</v>
      </c>
      <c r="E725" s="10" t="s">
        <v>116</v>
      </c>
      <c r="F725" s="10">
        <v>2</v>
      </c>
      <c r="G725" s="10" t="s">
        <v>67</v>
      </c>
      <c r="H725" s="10">
        <v>65000</v>
      </c>
      <c r="I725" s="10">
        <f t="shared" si="227"/>
        <v>130000</v>
      </c>
      <c r="J725" s="29" t="s">
        <v>113</v>
      </c>
      <c r="K725" s="10"/>
      <c r="L725" s="12">
        <f t="shared" si="221"/>
        <v>130000</v>
      </c>
      <c r="M725" s="12">
        <v>130000</v>
      </c>
      <c r="N725" s="12"/>
      <c r="O725" s="12">
        <f t="shared" si="222"/>
        <v>0</v>
      </c>
      <c r="P725" s="12"/>
      <c r="Q725" s="12"/>
      <c r="R725" s="12">
        <f t="shared" si="223"/>
        <v>0</v>
      </c>
      <c r="S725" s="12"/>
      <c r="T725" s="12"/>
      <c r="U725" s="12">
        <f t="shared" si="224"/>
        <v>0</v>
      </c>
      <c r="V725" s="12"/>
      <c r="W725" s="12"/>
      <c r="X725" s="12">
        <f t="shared" si="225"/>
        <v>0</v>
      </c>
      <c r="Y725" s="12"/>
      <c r="Z725" s="12"/>
      <c r="AA725" s="13">
        <f t="shared" si="226"/>
        <v>0</v>
      </c>
      <c r="AB725" s="14">
        <v>46052</v>
      </c>
    </row>
    <row r="726" spans="1:28" ht="15.75" hidden="1" x14ac:dyDescent="0.25">
      <c r="A726" s="65">
        <v>46052</v>
      </c>
      <c r="B726" s="10" t="s">
        <v>109</v>
      </c>
      <c r="C726" s="10"/>
      <c r="D726" s="10" t="s">
        <v>28</v>
      </c>
      <c r="E726" s="10" t="s">
        <v>114</v>
      </c>
      <c r="F726" s="10">
        <v>10</v>
      </c>
      <c r="G726" s="10" t="s">
        <v>67</v>
      </c>
      <c r="H726" s="10">
        <v>50000</v>
      </c>
      <c r="I726" s="10">
        <f t="shared" si="227"/>
        <v>500000</v>
      </c>
      <c r="J726" s="29" t="s">
        <v>113</v>
      </c>
      <c r="K726" s="10"/>
      <c r="L726" s="12">
        <f t="shared" si="221"/>
        <v>500000</v>
      </c>
      <c r="M726" s="12">
        <v>500000</v>
      </c>
      <c r="N726" s="12"/>
      <c r="O726" s="12">
        <f t="shared" si="222"/>
        <v>0</v>
      </c>
      <c r="P726" s="12"/>
      <c r="Q726" s="12"/>
      <c r="R726" s="12">
        <f t="shared" si="223"/>
        <v>0</v>
      </c>
      <c r="S726" s="12"/>
      <c r="T726" s="12"/>
      <c r="U726" s="12">
        <f t="shared" si="224"/>
        <v>0</v>
      </c>
      <c r="V726" s="12"/>
      <c r="W726" s="12"/>
      <c r="X726" s="12">
        <f t="shared" si="225"/>
        <v>0</v>
      </c>
      <c r="Y726" s="12"/>
      <c r="Z726" s="12"/>
      <c r="AA726" s="13">
        <f t="shared" si="226"/>
        <v>0</v>
      </c>
      <c r="AB726" s="14">
        <v>46052</v>
      </c>
    </row>
    <row r="727" spans="1:28" ht="15.75" hidden="1" x14ac:dyDescent="0.25">
      <c r="A727" s="65">
        <v>46052</v>
      </c>
      <c r="B727" s="10" t="s">
        <v>176</v>
      </c>
      <c r="C727" s="10"/>
      <c r="D727" s="10" t="s">
        <v>195</v>
      </c>
      <c r="E727" s="10" t="s">
        <v>164</v>
      </c>
      <c r="F727" s="10">
        <v>17</v>
      </c>
      <c r="G727" s="10" t="s">
        <v>36</v>
      </c>
      <c r="H727" s="10">
        <v>43000</v>
      </c>
      <c r="I727" s="10">
        <f t="shared" si="227"/>
        <v>731000</v>
      </c>
      <c r="J727" s="52" t="s">
        <v>30</v>
      </c>
      <c r="K727" s="10" t="s">
        <v>433</v>
      </c>
      <c r="L727" s="12">
        <f t="shared" si="221"/>
        <v>0</v>
      </c>
      <c r="M727" s="12"/>
      <c r="N727" s="12"/>
      <c r="O727" s="12">
        <f t="shared" si="222"/>
        <v>0</v>
      </c>
      <c r="P727" s="12"/>
      <c r="Q727" s="12"/>
      <c r="R727" s="12">
        <f t="shared" si="223"/>
        <v>0</v>
      </c>
      <c r="S727" s="12"/>
      <c r="T727" s="12"/>
      <c r="U727" s="12">
        <f t="shared" si="224"/>
        <v>0</v>
      </c>
      <c r="V727" s="12"/>
      <c r="W727" s="12"/>
      <c r="X727" s="12">
        <f t="shared" si="225"/>
        <v>0</v>
      </c>
      <c r="Y727" s="12"/>
      <c r="Z727" s="12"/>
      <c r="AA727" s="13">
        <f t="shared" si="226"/>
        <v>731000</v>
      </c>
      <c r="AB727" s="14"/>
    </row>
    <row r="728" spans="1:28" ht="15.75" hidden="1" x14ac:dyDescent="0.25">
      <c r="A728" s="65">
        <v>46052</v>
      </c>
      <c r="B728" s="10" t="s">
        <v>267</v>
      </c>
      <c r="C728" s="10"/>
      <c r="D728" s="10" t="s">
        <v>195</v>
      </c>
      <c r="E728" s="10" t="s">
        <v>164</v>
      </c>
      <c r="F728" s="10">
        <v>16.899999999999999</v>
      </c>
      <c r="G728" s="10" t="s">
        <v>36</v>
      </c>
      <c r="H728" s="10">
        <v>43000</v>
      </c>
      <c r="I728" s="10">
        <f t="shared" si="227"/>
        <v>726699.99999999988</v>
      </c>
      <c r="J728" s="29" t="s">
        <v>113</v>
      </c>
      <c r="K728" s="10"/>
      <c r="L728" s="12">
        <f t="shared" si="221"/>
        <v>726700</v>
      </c>
      <c r="M728" s="12">
        <v>726700</v>
      </c>
      <c r="N728" s="12"/>
      <c r="O728" s="12">
        <f t="shared" si="222"/>
        <v>0</v>
      </c>
      <c r="P728" s="12"/>
      <c r="Q728" s="12"/>
      <c r="R728" s="12">
        <f t="shared" si="223"/>
        <v>0</v>
      </c>
      <c r="S728" s="12"/>
      <c r="T728" s="12"/>
      <c r="U728" s="12">
        <f t="shared" si="224"/>
        <v>0</v>
      </c>
      <c r="V728" s="12"/>
      <c r="W728" s="12"/>
      <c r="X728" s="12">
        <f t="shared" si="225"/>
        <v>0</v>
      </c>
      <c r="Y728" s="12"/>
      <c r="Z728" s="12"/>
      <c r="AA728" s="13">
        <f t="shared" si="226"/>
        <v>-1.1641532182693481E-10</v>
      </c>
      <c r="AB728" s="14">
        <v>46052</v>
      </c>
    </row>
    <row r="729" spans="1:28" ht="15.75" hidden="1" x14ac:dyDescent="0.25">
      <c r="A729" s="65">
        <v>46052</v>
      </c>
      <c r="B729" s="10" t="s">
        <v>267</v>
      </c>
      <c r="C729" s="10"/>
      <c r="D729" s="10" t="s">
        <v>195</v>
      </c>
      <c r="E729" s="10" t="s">
        <v>116</v>
      </c>
      <c r="F729" s="10">
        <v>2</v>
      </c>
      <c r="G729" s="10" t="s">
        <v>67</v>
      </c>
      <c r="H729" s="10">
        <v>65000</v>
      </c>
      <c r="I729" s="10">
        <f t="shared" si="227"/>
        <v>130000</v>
      </c>
      <c r="J729" s="29" t="s">
        <v>113</v>
      </c>
      <c r="K729" s="10"/>
      <c r="L729" s="12">
        <f t="shared" si="221"/>
        <v>130000</v>
      </c>
      <c r="M729" s="12">
        <v>130000</v>
      </c>
      <c r="N729" s="12"/>
      <c r="O729" s="12">
        <f t="shared" si="222"/>
        <v>0</v>
      </c>
      <c r="P729" s="12"/>
      <c r="Q729" s="12"/>
      <c r="R729" s="12">
        <f t="shared" si="223"/>
        <v>0</v>
      </c>
      <c r="S729" s="12"/>
      <c r="T729" s="12"/>
      <c r="U729" s="12">
        <f t="shared" si="224"/>
        <v>0</v>
      </c>
      <c r="V729" s="12"/>
      <c r="W729" s="12"/>
      <c r="X729" s="12">
        <f t="shared" si="225"/>
        <v>0</v>
      </c>
      <c r="Y729" s="12"/>
      <c r="Z729" s="12"/>
      <c r="AA729" s="13">
        <f t="shared" si="226"/>
        <v>0</v>
      </c>
      <c r="AB729" s="14">
        <v>46052</v>
      </c>
    </row>
    <row r="730" spans="1:28" ht="15.75" hidden="1" x14ac:dyDescent="0.25">
      <c r="A730" s="65">
        <v>46052</v>
      </c>
      <c r="B730" s="10" t="s">
        <v>267</v>
      </c>
      <c r="C730" s="10"/>
      <c r="D730" s="10" t="s">
        <v>195</v>
      </c>
      <c r="E730" s="10" t="s">
        <v>60</v>
      </c>
      <c r="F730" s="10">
        <v>2</v>
      </c>
      <c r="G730" s="10" t="s">
        <v>61</v>
      </c>
      <c r="H730" s="10">
        <v>145000</v>
      </c>
      <c r="I730" s="10">
        <f t="shared" si="227"/>
        <v>290000</v>
      </c>
      <c r="J730" s="29" t="s">
        <v>113</v>
      </c>
      <c r="K730" s="10"/>
      <c r="L730" s="12">
        <f t="shared" si="221"/>
        <v>290000</v>
      </c>
      <c r="M730" s="12">
        <v>290000</v>
      </c>
      <c r="N730" s="12"/>
      <c r="O730" s="12">
        <f t="shared" si="222"/>
        <v>0</v>
      </c>
      <c r="P730" s="12"/>
      <c r="Q730" s="12"/>
      <c r="R730" s="12">
        <f t="shared" si="223"/>
        <v>0</v>
      </c>
      <c r="S730" s="12"/>
      <c r="T730" s="12"/>
      <c r="U730" s="12">
        <f t="shared" si="224"/>
        <v>0</v>
      </c>
      <c r="V730" s="12"/>
      <c r="W730" s="12"/>
      <c r="X730" s="12">
        <f t="shared" si="225"/>
        <v>0</v>
      </c>
      <c r="Y730" s="12"/>
      <c r="Z730" s="12"/>
      <c r="AA730" s="13">
        <f t="shared" si="226"/>
        <v>0</v>
      </c>
      <c r="AB730" s="14">
        <v>46052</v>
      </c>
    </row>
    <row r="731" spans="1:28" ht="15.75" hidden="1" x14ac:dyDescent="0.25">
      <c r="A731" s="65">
        <v>46052</v>
      </c>
      <c r="B731" s="10" t="s">
        <v>272</v>
      </c>
      <c r="C731" s="10"/>
      <c r="D731" s="10"/>
      <c r="E731" s="10" t="s">
        <v>92</v>
      </c>
      <c r="F731" s="10">
        <v>68.400000000000006</v>
      </c>
      <c r="G731" s="10" t="s">
        <v>36</v>
      </c>
      <c r="H731" s="10"/>
      <c r="I731" s="10">
        <f t="shared" si="227"/>
        <v>0</v>
      </c>
      <c r="J731" s="86" t="s">
        <v>76</v>
      </c>
      <c r="K731" s="10"/>
      <c r="L731" s="12">
        <f t="shared" si="221"/>
        <v>0</v>
      </c>
      <c r="M731" s="12"/>
      <c r="N731" s="12"/>
      <c r="O731" s="12">
        <f t="shared" si="222"/>
        <v>0</v>
      </c>
      <c r="P731" s="12"/>
      <c r="Q731" s="12"/>
      <c r="R731" s="12">
        <f t="shared" si="223"/>
        <v>0</v>
      </c>
      <c r="S731" s="12"/>
      <c r="T731" s="12"/>
      <c r="U731" s="12">
        <f t="shared" si="224"/>
        <v>0</v>
      </c>
      <c r="V731" s="12"/>
      <c r="W731" s="12"/>
      <c r="X731" s="12">
        <f t="shared" si="225"/>
        <v>0</v>
      </c>
      <c r="Y731" s="12"/>
      <c r="Z731" s="12"/>
      <c r="AA731" s="13">
        <f t="shared" si="226"/>
        <v>0</v>
      </c>
      <c r="AB731" s="14"/>
    </row>
    <row r="732" spans="1:28" ht="15.75" hidden="1" x14ac:dyDescent="0.25">
      <c r="A732" s="28">
        <v>46052</v>
      </c>
      <c r="B732" s="10" t="s">
        <v>272</v>
      </c>
      <c r="C732" s="10"/>
      <c r="D732" s="10"/>
      <c r="E732" s="10" t="s">
        <v>436</v>
      </c>
      <c r="F732" s="10">
        <v>33.200000000000003</v>
      </c>
      <c r="G732" s="10" t="s">
        <v>36</v>
      </c>
      <c r="H732" s="10"/>
      <c r="I732" s="10">
        <f t="shared" si="227"/>
        <v>0</v>
      </c>
      <c r="J732" s="86" t="s">
        <v>76</v>
      </c>
      <c r="K732" s="10"/>
      <c r="L732" s="12">
        <f t="shared" si="221"/>
        <v>0</v>
      </c>
      <c r="M732" s="12"/>
      <c r="N732" s="12"/>
      <c r="O732" s="12">
        <f t="shared" si="222"/>
        <v>0</v>
      </c>
      <c r="P732" s="12"/>
      <c r="Q732" s="12"/>
      <c r="R732" s="12">
        <f t="shared" si="223"/>
        <v>0</v>
      </c>
      <c r="S732" s="12"/>
      <c r="T732" s="12"/>
      <c r="U732" s="12">
        <f t="shared" si="224"/>
        <v>0</v>
      </c>
      <c r="V732" s="12"/>
      <c r="W732" s="12"/>
      <c r="X732" s="12">
        <f t="shared" si="225"/>
        <v>0</v>
      </c>
      <c r="Y732" s="12"/>
      <c r="Z732" s="12"/>
      <c r="AA732" s="13">
        <f t="shared" si="226"/>
        <v>0</v>
      </c>
      <c r="AB732" s="14"/>
    </row>
    <row r="733" spans="1:28" ht="15.75" hidden="1" x14ac:dyDescent="0.25">
      <c r="A733" s="65">
        <v>46052</v>
      </c>
      <c r="B733" s="10" t="s">
        <v>272</v>
      </c>
      <c r="C733" s="10"/>
      <c r="D733" s="10"/>
      <c r="E733" s="10" t="s">
        <v>136</v>
      </c>
      <c r="F733" s="10">
        <v>23.7</v>
      </c>
      <c r="G733" s="10" t="s">
        <v>36</v>
      </c>
      <c r="H733" s="10"/>
      <c r="I733" s="10">
        <f t="shared" si="227"/>
        <v>0</v>
      </c>
      <c r="J733" s="86" t="s">
        <v>76</v>
      </c>
      <c r="K733" s="10"/>
      <c r="L733" s="12">
        <f t="shared" si="221"/>
        <v>0</v>
      </c>
      <c r="M733" s="12"/>
      <c r="N733" s="12"/>
      <c r="O733" s="12">
        <f t="shared" si="222"/>
        <v>0</v>
      </c>
      <c r="P733" s="12"/>
      <c r="Q733" s="12"/>
      <c r="R733" s="12">
        <f t="shared" si="223"/>
        <v>0</v>
      </c>
      <c r="S733" s="12"/>
      <c r="T733" s="12"/>
      <c r="U733" s="12">
        <f t="shared" si="224"/>
        <v>0</v>
      </c>
      <c r="V733" s="12"/>
      <c r="W733" s="12"/>
      <c r="X733" s="12">
        <f t="shared" si="225"/>
        <v>0</v>
      </c>
      <c r="Y733" s="12"/>
      <c r="Z733" s="12"/>
      <c r="AA733" s="13">
        <f t="shared" si="226"/>
        <v>0</v>
      </c>
      <c r="AB733" s="14"/>
    </row>
    <row r="734" spans="1:28" ht="15.75" hidden="1" x14ac:dyDescent="0.25">
      <c r="A734" s="28">
        <v>46052</v>
      </c>
      <c r="B734" s="10" t="s">
        <v>272</v>
      </c>
      <c r="C734" s="10"/>
      <c r="D734" s="10"/>
      <c r="E734" s="10" t="s">
        <v>80</v>
      </c>
      <c r="F734" s="10">
        <v>23</v>
      </c>
      <c r="G734" s="10" t="s">
        <v>36</v>
      </c>
      <c r="H734" s="10"/>
      <c r="I734" s="10">
        <f t="shared" si="227"/>
        <v>0</v>
      </c>
      <c r="J734" s="86" t="s">
        <v>76</v>
      </c>
      <c r="K734" s="10"/>
      <c r="L734" s="12">
        <f t="shared" si="221"/>
        <v>0</v>
      </c>
      <c r="M734" s="12"/>
      <c r="N734" s="12"/>
      <c r="O734" s="12">
        <f t="shared" si="222"/>
        <v>0</v>
      </c>
      <c r="P734" s="12"/>
      <c r="Q734" s="12"/>
      <c r="R734" s="12">
        <f t="shared" si="223"/>
        <v>0</v>
      </c>
      <c r="S734" s="12"/>
      <c r="T734" s="12"/>
      <c r="U734" s="12">
        <f t="shared" si="224"/>
        <v>0</v>
      </c>
      <c r="V734" s="12"/>
      <c r="W734" s="12"/>
      <c r="X734" s="12">
        <f t="shared" si="225"/>
        <v>0</v>
      </c>
      <c r="Y734" s="12"/>
      <c r="Z734" s="12"/>
      <c r="AA734" s="13">
        <f t="shared" si="226"/>
        <v>0</v>
      </c>
      <c r="AB734" s="14"/>
    </row>
    <row r="735" spans="1:28" ht="15.75" hidden="1" x14ac:dyDescent="0.25">
      <c r="A735" s="65">
        <v>46052</v>
      </c>
      <c r="B735" s="10" t="s">
        <v>272</v>
      </c>
      <c r="C735" s="10"/>
      <c r="D735" s="10"/>
      <c r="E735" s="10" t="s">
        <v>168</v>
      </c>
      <c r="F735" s="10">
        <v>31.3</v>
      </c>
      <c r="G735" s="10" t="s">
        <v>36</v>
      </c>
      <c r="H735" s="10"/>
      <c r="I735" s="10">
        <f t="shared" si="227"/>
        <v>0</v>
      </c>
      <c r="J735" s="86" t="s">
        <v>76</v>
      </c>
      <c r="K735" s="10"/>
      <c r="L735" s="12">
        <f t="shared" si="221"/>
        <v>0</v>
      </c>
      <c r="M735" s="12"/>
      <c r="N735" s="12"/>
      <c r="O735" s="12">
        <f t="shared" si="222"/>
        <v>0</v>
      </c>
      <c r="P735" s="12"/>
      <c r="Q735" s="12"/>
      <c r="R735" s="12">
        <f t="shared" si="223"/>
        <v>0</v>
      </c>
      <c r="S735" s="12"/>
      <c r="T735" s="12"/>
      <c r="U735" s="12">
        <f t="shared" si="224"/>
        <v>0</v>
      </c>
      <c r="V735" s="12"/>
      <c r="W735" s="12"/>
      <c r="X735" s="12">
        <f t="shared" si="225"/>
        <v>0</v>
      </c>
      <c r="Y735" s="12"/>
      <c r="Z735" s="12"/>
      <c r="AA735" s="13">
        <f t="shared" si="226"/>
        <v>0</v>
      </c>
      <c r="AB735" s="14"/>
    </row>
    <row r="736" spans="1:28" ht="16.5" hidden="1" thickBot="1" x14ac:dyDescent="0.3">
      <c r="A736" s="53">
        <v>46052</v>
      </c>
      <c r="B736" s="54" t="s">
        <v>272</v>
      </c>
      <c r="C736" s="54"/>
      <c r="D736" s="54"/>
      <c r="E736" s="54" t="s">
        <v>92</v>
      </c>
      <c r="F736" s="54">
        <v>34</v>
      </c>
      <c r="G736" s="54" t="s">
        <v>36</v>
      </c>
      <c r="H736" s="54"/>
      <c r="I736" s="31">
        <f t="shared" si="227"/>
        <v>0</v>
      </c>
      <c r="J736" s="105" t="s">
        <v>76</v>
      </c>
      <c r="K736" s="54"/>
      <c r="L736" s="34">
        <f t="shared" ref="L736:L737" si="228">M736+N736</f>
        <v>0</v>
      </c>
      <c r="M736" s="34"/>
      <c r="N736" s="34"/>
      <c r="O736" s="34">
        <f t="shared" ref="O736:O737" si="229">P736+Q736</f>
        <v>0</v>
      </c>
      <c r="P736" s="34"/>
      <c r="Q736" s="34"/>
      <c r="R736" s="34">
        <f t="shared" ref="R736:R737" si="230">S736+T736</f>
        <v>0</v>
      </c>
      <c r="S736" s="34"/>
      <c r="T736" s="34"/>
      <c r="U736" s="34">
        <f t="shared" ref="U736:U737" si="231">V736+W736</f>
        <v>0</v>
      </c>
      <c r="V736" s="34"/>
      <c r="W736" s="34"/>
      <c r="X736" s="34">
        <f t="shared" ref="X736:X737" si="232">Y736+Z736</f>
        <v>0</v>
      </c>
      <c r="Y736" s="34"/>
      <c r="Z736" s="34"/>
      <c r="AA736" s="35">
        <f t="shared" ref="AA736:AA737" si="233">C736+I736-L736-O736-U736-X736-R736</f>
        <v>0</v>
      </c>
      <c r="AB736" s="36"/>
    </row>
    <row r="737" spans="1:28" ht="15.75" hidden="1" x14ac:dyDescent="0.25">
      <c r="A737" s="65">
        <v>46053</v>
      </c>
      <c r="B737" s="66" t="s">
        <v>122</v>
      </c>
      <c r="C737" s="66"/>
      <c r="D737" s="66" t="s">
        <v>383</v>
      </c>
      <c r="E737" s="66" t="s">
        <v>65</v>
      </c>
      <c r="F737" s="66">
        <v>10400</v>
      </c>
      <c r="G737" s="66" t="s">
        <v>26</v>
      </c>
      <c r="H737" s="66">
        <v>3800</v>
      </c>
      <c r="I737" s="10">
        <f t="shared" si="227"/>
        <v>39520000</v>
      </c>
      <c r="J737" s="52" t="s">
        <v>30</v>
      </c>
      <c r="K737" s="66" t="s">
        <v>435</v>
      </c>
      <c r="L737" s="12">
        <f t="shared" si="228"/>
        <v>0</v>
      </c>
      <c r="M737" s="12"/>
      <c r="N737" s="12"/>
      <c r="O737" s="12">
        <f t="shared" si="229"/>
        <v>0</v>
      </c>
      <c r="P737" s="12"/>
      <c r="Q737" s="12"/>
      <c r="R737" s="12">
        <f t="shared" si="230"/>
        <v>0</v>
      </c>
      <c r="S737" s="12"/>
      <c r="T737" s="12"/>
      <c r="U737" s="12">
        <f t="shared" si="231"/>
        <v>0</v>
      </c>
      <c r="V737" s="12"/>
      <c r="W737" s="12"/>
      <c r="X737" s="12">
        <f t="shared" si="232"/>
        <v>0</v>
      </c>
      <c r="Y737" s="12"/>
      <c r="Z737" s="12"/>
      <c r="AA737" s="13">
        <f t="shared" si="233"/>
        <v>39520000</v>
      </c>
      <c r="AB737" s="14"/>
    </row>
    <row r="738" spans="1:28" ht="15.75" hidden="1" x14ac:dyDescent="0.25">
      <c r="A738" s="65">
        <v>46053</v>
      </c>
      <c r="B738" s="10" t="s">
        <v>178</v>
      </c>
      <c r="C738" s="10"/>
      <c r="D738" s="10" t="s">
        <v>32</v>
      </c>
      <c r="E738" s="10" t="s">
        <v>25</v>
      </c>
      <c r="F738" s="10">
        <v>2400</v>
      </c>
      <c r="G738" s="66" t="s">
        <v>26</v>
      </c>
      <c r="H738" s="10">
        <v>2700</v>
      </c>
      <c r="I738" s="10">
        <f t="shared" si="227"/>
        <v>6480000</v>
      </c>
      <c r="J738" s="29" t="s">
        <v>110</v>
      </c>
      <c r="K738" s="10"/>
      <c r="L738" s="12">
        <f t="shared" ref="L738:L754" si="234">M738+N738</f>
        <v>0</v>
      </c>
      <c r="M738" s="12"/>
      <c r="N738" s="12"/>
      <c r="O738" s="12">
        <f t="shared" ref="O738:O754" si="235">P738+Q738</f>
        <v>6480000</v>
      </c>
      <c r="P738" s="12">
        <v>6480000</v>
      </c>
      <c r="Q738" s="12"/>
      <c r="R738" s="12">
        <f t="shared" ref="R738:R754" si="236">S738+T738</f>
        <v>0</v>
      </c>
      <c r="S738" s="12"/>
      <c r="T738" s="12"/>
      <c r="U738" s="12">
        <f t="shared" ref="U738:U754" si="237">V738+W738</f>
        <v>0</v>
      </c>
      <c r="V738" s="12"/>
      <c r="W738" s="12"/>
      <c r="X738" s="12">
        <f t="shared" ref="X738:X754" si="238">Y738+Z738</f>
        <v>0</v>
      </c>
      <c r="Y738" s="12"/>
      <c r="Z738" s="12"/>
      <c r="AA738" s="13">
        <f t="shared" ref="AA738:AA754" si="239">C738+I738-L738-O738-U738-X738-R738</f>
        <v>0</v>
      </c>
      <c r="AB738" s="14">
        <v>46052</v>
      </c>
    </row>
    <row r="739" spans="1:28" ht="15.75" hidden="1" x14ac:dyDescent="0.25">
      <c r="A739" s="65">
        <v>46053</v>
      </c>
      <c r="B739" s="10" t="s">
        <v>106</v>
      </c>
      <c r="C739" s="10"/>
      <c r="D739" s="10" t="s">
        <v>383</v>
      </c>
      <c r="E739" s="10" t="s">
        <v>164</v>
      </c>
      <c r="F739" s="10">
        <v>17</v>
      </c>
      <c r="G739" s="10" t="s">
        <v>36</v>
      </c>
      <c r="H739" s="10">
        <v>43000</v>
      </c>
      <c r="I739" s="10">
        <f t="shared" si="227"/>
        <v>731000</v>
      </c>
      <c r="J739" s="52" t="s">
        <v>90</v>
      </c>
      <c r="K739" s="10" t="s">
        <v>376</v>
      </c>
      <c r="L739" s="12">
        <f t="shared" si="234"/>
        <v>0</v>
      </c>
      <c r="M739" s="12"/>
      <c r="N739" s="12"/>
      <c r="O739" s="12">
        <f t="shared" si="235"/>
        <v>0</v>
      </c>
      <c r="P739" s="12"/>
      <c r="Q739" s="12"/>
      <c r="R739" s="12">
        <f t="shared" si="236"/>
        <v>0</v>
      </c>
      <c r="S739" s="12"/>
      <c r="T739" s="12"/>
      <c r="U739" s="12">
        <f t="shared" si="237"/>
        <v>0</v>
      </c>
      <c r="V739" s="12"/>
      <c r="W739" s="12"/>
      <c r="X739" s="12">
        <f t="shared" si="238"/>
        <v>0</v>
      </c>
      <c r="Y739" s="12"/>
      <c r="Z739" s="12"/>
      <c r="AA739" s="13">
        <f t="shared" si="239"/>
        <v>731000</v>
      </c>
      <c r="AB739" s="14"/>
    </row>
    <row r="740" spans="1:28" ht="15.75" hidden="1" x14ac:dyDescent="0.25">
      <c r="A740" s="65">
        <v>46053</v>
      </c>
      <c r="B740" s="10" t="s">
        <v>437</v>
      </c>
      <c r="C740" s="10"/>
      <c r="D740" s="10" t="s">
        <v>28</v>
      </c>
      <c r="E740" s="10" t="s">
        <v>228</v>
      </c>
      <c r="F740" s="10">
        <v>5</v>
      </c>
      <c r="G740" s="10" t="s">
        <v>36</v>
      </c>
      <c r="H740" s="10">
        <v>300000</v>
      </c>
      <c r="I740" s="10">
        <f t="shared" si="227"/>
        <v>1500000</v>
      </c>
      <c r="J740" s="52" t="s">
        <v>90</v>
      </c>
      <c r="K740" s="10" t="s">
        <v>415</v>
      </c>
      <c r="L740" s="12">
        <f t="shared" si="234"/>
        <v>0</v>
      </c>
      <c r="M740" s="12"/>
      <c r="N740" s="12"/>
      <c r="O740" s="12">
        <f t="shared" si="235"/>
        <v>0</v>
      </c>
      <c r="P740" s="12"/>
      <c r="Q740" s="12"/>
      <c r="R740" s="12">
        <f t="shared" si="236"/>
        <v>0</v>
      </c>
      <c r="S740" s="12"/>
      <c r="T740" s="12"/>
      <c r="U740" s="12">
        <f t="shared" si="237"/>
        <v>0</v>
      </c>
      <c r="V740" s="12"/>
      <c r="W740" s="12"/>
      <c r="X740" s="12">
        <f t="shared" si="238"/>
        <v>0</v>
      </c>
      <c r="Y740" s="12"/>
      <c r="Z740" s="12"/>
      <c r="AA740" s="13">
        <f t="shared" si="239"/>
        <v>1500000</v>
      </c>
      <c r="AB740" s="14"/>
    </row>
    <row r="741" spans="1:28" ht="15.75" hidden="1" x14ac:dyDescent="0.25">
      <c r="A741" s="65">
        <v>46053</v>
      </c>
      <c r="B741" s="10" t="s">
        <v>437</v>
      </c>
      <c r="C741" s="10"/>
      <c r="D741" s="10" t="s">
        <v>28</v>
      </c>
      <c r="E741" s="10" t="s">
        <v>271</v>
      </c>
      <c r="F741" s="10">
        <v>5</v>
      </c>
      <c r="G741" s="10" t="s">
        <v>36</v>
      </c>
      <c r="H741" s="10">
        <v>165000</v>
      </c>
      <c r="I741" s="10">
        <f t="shared" si="227"/>
        <v>825000</v>
      </c>
      <c r="J741" s="52" t="s">
        <v>90</v>
      </c>
      <c r="K741" s="10" t="s">
        <v>415</v>
      </c>
      <c r="L741" s="12">
        <f t="shared" si="234"/>
        <v>0</v>
      </c>
      <c r="M741" s="12"/>
      <c r="N741" s="12"/>
      <c r="O741" s="12">
        <f t="shared" si="235"/>
        <v>0</v>
      </c>
      <c r="P741" s="12"/>
      <c r="Q741" s="12"/>
      <c r="R741" s="12">
        <f t="shared" si="236"/>
        <v>0</v>
      </c>
      <c r="S741" s="12"/>
      <c r="T741" s="12"/>
      <c r="U741" s="12">
        <f t="shared" si="237"/>
        <v>0</v>
      </c>
      <c r="V741" s="12"/>
      <c r="W741" s="12"/>
      <c r="X741" s="12">
        <f t="shared" si="238"/>
        <v>0</v>
      </c>
      <c r="Y741" s="12"/>
      <c r="Z741" s="12"/>
      <c r="AA741" s="13">
        <f t="shared" si="239"/>
        <v>825000</v>
      </c>
      <c r="AB741" s="14"/>
    </row>
    <row r="742" spans="1:28" ht="15.75" hidden="1" x14ac:dyDescent="0.25">
      <c r="A742" s="65">
        <v>46053</v>
      </c>
      <c r="B742" s="10" t="s">
        <v>267</v>
      </c>
      <c r="C742" s="10"/>
      <c r="D742" s="10" t="s">
        <v>383</v>
      </c>
      <c r="E742" s="10" t="s">
        <v>164</v>
      </c>
      <c r="F742" s="10">
        <v>17.100000000000001</v>
      </c>
      <c r="G742" s="10" t="s">
        <v>36</v>
      </c>
      <c r="H742" s="10">
        <v>43000</v>
      </c>
      <c r="I742" s="10">
        <f t="shared" si="227"/>
        <v>735300.00000000012</v>
      </c>
      <c r="J742" s="29" t="s">
        <v>113</v>
      </c>
      <c r="K742" s="10"/>
      <c r="L742" s="12">
        <f t="shared" si="234"/>
        <v>735300</v>
      </c>
      <c r="M742" s="12">
        <v>735300</v>
      </c>
      <c r="N742" s="12"/>
      <c r="O742" s="12">
        <f t="shared" si="235"/>
        <v>0</v>
      </c>
      <c r="P742" s="12"/>
      <c r="Q742" s="12"/>
      <c r="R742" s="12">
        <f t="shared" si="236"/>
        <v>0</v>
      </c>
      <c r="S742" s="12"/>
      <c r="T742" s="12"/>
      <c r="U742" s="12">
        <f t="shared" si="237"/>
        <v>0</v>
      </c>
      <c r="V742" s="12"/>
      <c r="W742" s="12"/>
      <c r="X742" s="12">
        <f t="shared" si="238"/>
        <v>0</v>
      </c>
      <c r="Y742" s="12"/>
      <c r="Z742" s="12"/>
      <c r="AA742" s="13">
        <f t="shared" si="239"/>
        <v>1.1641532182693481E-10</v>
      </c>
      <c r="AB742" s="14">
        <v>46053</v>
      </c>
    </row>
    <row r="743" spans="1:28" ht="15.75" hidden="1" x14ac:dyDescent="0.25">
      <c r="A743" s="65">
        <v>46053</v>
      </c>
      <c r="B743" s="10" t="s">
        <v>267</v>
      </c>
      <c r="C743" s="10"/>
      <c r="D743" s="10" t="s">
        <v>383</v>
      </c>
      <c r="E743" s="10" t="s">
        <v>84</v>
      </c>
      <c r="F743" s="10">
        <v>17.3</v>
      </c>
      <c r="G743" s="10" t="s">
        <v>36</v>
      </c>
      <c r="H743" s="10">
        <v>43000</v>
      </c>
      <c r="I743" s="10">
        <f t="shared" si="227"/>
        <v>743900</v>
      </c>
      <c r="J743" s="29" t="s">
        <v>113</v>
      </c>
      <c r="K743" s="10"/>
      <c r="L743" s="12">
        <f t="shared" si="234"/>
        <v>743900</v>
      </c>
      <c r="M743" s="12">
        <v>743900</v>
      </c>
      <c r="N743" s="12"/>
      <c r="O743" s="12">
        <f t="shared" si="235"/>
        <v>0</v>
      </c>
      <c r="P743" s="12"/>
      <c r="Q743" s="12"/>
      <c r="R743" s="12">
        <f t="shared" si="236"/>
        <v>0</v>
      </c>
      <c r="S743" s="12"/>
      <c r="T743" s="12"/>
      <c r="U743" s="12">
        <f t="shared" si="237"/>
        <v>0</v>
      </c>
      <c r="V743" s="12"/>
      <c r="W743" s="12"/>
      <c r="X743" s="12">
        <f t="shared" si="238"/>
        <v>0</v>
      </c>
      <c r="Y743" s="12"/>
      <c r="Z743" s="12"/>
      <c r="AA743" s="13">
        <f t="shared" si="239"/>
        <v>0</v>
      </c>
      <c r="AB743" s="14">
        <v>46053</v>
      </c>
    </row>
    <row r="744" spans="1:28" ht="15.75" hidden="1" x14ac:dyDescent="0.25">
      <c r="A744" s="65">
        <v>46053</v>
      </c>
      <c r="B744" s="10" t="s">
        <v>267</v>
      </c>
      <c r="C744" s="10"/>
      <c r="D744" s="10" t="s">
        <v>383</v>
      </c>
      <c r="E744" s="10" t="s">
        <v>60</v>
      </c>
      <c r="F744" s="10">
        <v>2</v>
      </c>
      <c r="G744" s="10" t="s">
        <v>61</v>
      </c>
      <c r="H744" s="10">
        <v>145000</v>
      </c>
      <c r="I744" s="10">
        <f t="shared" si="227"/>
        <v>290000</v>
      </c>
      <c r="J744" s="29" t="s">
        <v>113</v>
      </c>
      <c r="K744" s="10"/>
      <c r="L744" s="12">
        <f t="shared" si="234"/>
        <v>290000</v>
      </c>
      <c r="M744" s="12">
        <v>290000</v>
      </c>
      <c r="N744" s="12"/>
      <c r="O744" s="12">
        <f t="shared" si="235"/>
        <v>0</v>
      </c>
      <c r="P744" s="12"/>
      <c r="Q744" s="12"/>
      <c r="R744" s="12">
        <f t="shared" si="236"/>
        <v>0</v>
      </c>
      <c r="S744" s="12"/>
      <c r="T744" s="12"/>
      <c r="U744" s="12">
        <f t="shared" si="237"/>
        <v>0</v>
      </c>
      <c r="V744" s="12"/>
      <c r="W744" s="12"/>
      <c r="X744" s="12">
        <f t="shared" si="238"/>
        <v>0</v>
      </c>
      <c r="Y744" s="12"/>
      <c r="Z744" s="12"/>
      <c r="AA744" s="13">
        <f t="shared" si="239"/>
        <v>0</v>
      </c>
      <c r="AB744" s="14">
        <v>46053</v>
      </c>
    </row>
    <row r="745" spans="1:28" ht="15.75" hidden="1" x14ac:dyDescent="0.25">
      <c r="A745" s="65">
        <v>46053</v>
      </c>
      <c r="B745" s="10" t="s">
        <v>438</v>
      </c>
      <c r="C745" s="10"/>
      <c r="D745" s="10" t="s">
        <v>28</v>
      </c>
      <c r="E745" s="10" t="s">
        <v>439</v>
      </c>
      <c r="F745" s="10">
        <v>2060</v>
      </c>
      <c r="G745" s="10" t="s">
        <v>407</v>
      </c>
      <c r="H745" s="10">
        <v>4000</v>
      </c>
      <c r="I745" s="10">
        <f t="shared" si="227"/>
        <v>8240000</v>
      </c>
      <c r="J745" s="52" t="s">
        <v>90</v>
      </c>
      <c r="K745" s="10"/>
      <c r="L745" s="12">
        <f t="shared" si="234"/>
        <v>0</v>
      </c>
      <c r="M745" s="12"/>
      <c r="N745" s="12"/>
      <c r="O745" s="12">
        <f t="shared" si="235"/>
        <v>0</v>
      </c>
      <c r="P745" s="12"/>
      <c r="Q745" s="12"/>
      <c r="R745" s="12">
        <f t="shared" si="236"/>
        <v>7600000</v>
      </c>
      <c r="S745" s="12">
        <v>7600000</v>
      </c>
      <c r="T745" s="12"/>
      <c r="U745" s="12">
        <f t="shared" si="237"/>
        <v>0</v>
      </c>
      <c r="V745" s="12"/>
      <c r="W745" s="12"/>
      <c r="X745" s="12">
        <f t="shared" si="238"/>
        <v>0</v>
      </c>
      <c r="Y745" s="12"/>
      <c r="Z745" s="12"/>
      <c r="AA745" s="13">
        <f t="shared" si="239"/>
        <v>640000</v>
      </c>
      <c r="AB745" s="14">
        <v>46053</v>
      </c>
    </row>
    <row r="746" spans="1:28" ht="15.75" hidden="1" x14ac:dyDescent="0.25">
      <c r="A746" s="65">
        <v>46053</v>
      </c>
      <c r="B746" s="10" t="s">
        <v>440</v>
      </c>
      <c r="C746" s="10"/>
      <c r="D746" s="10" t="s">
        <v>383</v>
      </c>
      <c r="E746" s="10" t="s">
        <v>421</v>
      </c>
      <c r="F746" s="10">
        <v>1</v>
      </c>
      <c r="G746" s="10" t="s">
        <v>22</v>
      </c>
      <c r="H746" s="10">
        <v>400000</v>
      </c>
      <c r="I746" s="10">
        <f t="shared" si="227"/>
        <v>400000</v>
      </c>
      <c r="J746" s="52" t="s">
        <v>30</v>
      </c>
      <c r="K746" s="10" t="s">
        <v>441</v>
      </c>
      <c r="L746" s="12">
        <f t="shared" si="234"/>
        <v>0</v>
      </c>
      <c r="M746" s="12"/>
      <c r="N746" s="12"/>
      <c r="O746" s="12">
        <f t="shared" si="235"/>
        <v>0</v>
      </c>
      <c r="P746" s="12"/>
      <c r="Q746" s="12"/>
      <c r="R746" s="12">
        <f t="shared" si="236"/>
        <v>0</v>
      </c>
      <c r="S746" s="12"/>
      <c r="T746" s="12"/>
      <c r="U746" s="12">
        <f t="shared" si="237"/>
        <v>0</v>
      </c>
      <c r="V746" s="12"/>
      <c r="W746" s="12"/>
      <c r="X746" s="12">
        <f t="shared" si="238"/>
        <v>0</v>
      </c>
      <c r="Y746" s="12"/>
      <c r="Z746" s="12"/>
      <c r="AA746" s="13">
        <f t="shared" si="239"/>
        <v>400000</v>
      </c>
      <c r="AB746" s="14"/>
    </row>
    <row r="747" spans="1:28" ht="15.75" hidden="1" x14ac:dyDescent="0.25">
      <c r="A747" s="65">
        <v>46053</v>
      </c>
      <c r="B747" s="10" t="s">
        <v>440</v>
      </c>
      <c r="C747" s="10"/>
      <c r="D747" s="10" t="s">
        <v>383</v>
      </c>
      <c r="E747" s="10" t="s">
        <v>314</v>
      </c>
      <c r="F747" s="10">
        <v>1</v>
      </c>
      <c r="G747" s="10" t="s">
        <v>22</v>
      </c>
      <c r="H747" s="10">
        <v>400000</v>
      </c>
      <c r="I747" s="10">
        <f t="shared" si="227"/>
        <v>400000</v>
      </c>
      <c r="J747" s="52" t="s">
        <v>30</v>
      </c>
      <c r="K747" s="10" t="s">
        <v>441</v>
      </c>
      <c r="L747" s="12">
        <f t="shared" si="234"/>
        <v>0</v>
      </c>
      <c r="M747" s="12"/>
      <c r="N747" s="12"/>
      <c r="O747" s="12">
        <f t="shared" si="235"/>
        <v>0</v>
      </c>
      <c r="P747" s="12"/>
      <c r="Q747" s="12"/>
      <c r="R747" s="12">
        <f t="shared" si="236"/>
        <v>0</v>
      </c>
      <c r="S747" s="12"/>
      <c r="T747" s="12"/>
      <c r="U747" s="12">
        <f t="shared" si="237"/>
        <v>0</v>
      </c>
      <c r="V747" s="12"/>
      <c r="W747" s="12"/>
      <c r="X747" s="12">
        <f t="shared" si="238"/>
        <v>0</v>
      </c>
      <c r="Y747" s="12"/>
      <c r="Z747" s="12"/>
      <c r="AA747" s="13">
        <f t="shared" si="239"/>
        <v>400000</v>
      </c>
      <c r="AB747" s="14"/>
    </row>
    <row r="748" spans="1:28" ht="15.75" hidden="1" x14ac:dyDescent="0.25">
      <c r="A748" s="65">
        <v>46053</v>
      </c>
      <c r="B748" s="10" t="s">
        <v>274</v>
      </c>
      <c r="C748" s="10"/>
      <c r="D748" s="10" t="s">
        <v>383</v>
      </c>
      <c r="E748" s="10" t="s">
        <v>86</v>
      </c>
      <c r="F748" s="10">
        <v>29.9</v>
      </c>
      <c r="G748" s="10" t="s">
        <v>36</v>
      </c>
      <c r="H748" s="10">
        <v>43000</v>
      </c>
      <c r="I748" s="10">
        <f t="shared" si="227"/>
        <v>1285700</v>
      </c>
      <c r="J748" s="29" t="s">
        <v>113</v>
      </c>
      <c r="K748" s="10"/>
      <c r="L748" s="12">
        <f t="shared" si="234"/>
        <v>1285700</v>
      </c>
      <c r="M748" s="12">
        <v>1285700</v>
      </c>
      <c r="N748" s="12"/>
      <c r="O748" s="12">
        <f t="shared" si="235"/>
        <v>0</v>
      </c>
      <c r="P748" s="12"/>
      <c r="Q748" s="12"/>
      <c r="R748" s="12">
        <f t="shared" si="236"/>
        <v>0</v>
      </c>
      <c r="S748" s="12"/>
      <c r="T748" s="12"/>
      <c r="U748" s="12">
        <f t="shared" si="237"/>
        <v>0</v>
      </c>
      <c r="V748" s="12"/>
      <c r="W748" s="12"/>
      <c r="X748" s="12">
        <f t="shared" si="238"/>
        <v>0</v>
      </c>
      <c r="Y748" s="12"/>
      <c r="Z748" s="12"/>
      <c r="AA748" s="13">
        <f t="shared" si="239"/>
        <v>0</v>
      </c>
      <c r="AB748" s="14">
        <v>46053</v>
      </c>
    </row>
    <row r="749" spans="1:28" ht="15.75" hidden="1" x14ac:dyDescent="0.25">
      <c r="A749" s="65">
        <v>46053</v>
      </c>
      <c r="B749" s="10" t="s">
        <v>274</v>
      </c>
      <c r="C749" s="10"/>
      <c r="D749" s="10" t="s">
        <v>383</v>
      </c>
      <c r="E749" s="10" t="s">
        <v>168</v>
      </c>
      <c r="F749" s="10">
        <v>31.9</v>
      </c>
      <c r="G749" s="10" t="s">
        <v>36</v>
      </c>
      <c r="H749" s="10">
        <v>43000</v>
      </c>
      <c r="I749" s="10">
        <f t="shared" si="227"/>
        <v>1371700</v>
      </c>
      <c r="J749" s="52" t="s">
        <v>30</v>
      </c>
      <c r="K749" s="10"/>
      <c r="L749" s="12">
        <f t="shared" si="234"/>
        <v>1244300</v>
      </c>
      <c r="M749" s="12">
        <v>1244300</v>
      </c>
      <c r="N749" s="12"/>
      <c r="O749" s="12">
        <f t="shared" si="235"/>
        <v>0</v>
      </c>
      <c r="P749" s="12"/>
      <c r="Q749" s="12"/>
      <c r="R749" s="12">
        <f t="shared" si="236"/>
        <v>0</v>
      </c>
      <c r="S749" s="12"/>
      <c r="T749" s="12"/>
      <c r="U749" s="12">
        <f t="shared" si="237"/>
        <v>0</v>
      </c>
      <c r="V749" s="12"/>
      <c r="W749" s="12"/>
      <c r="X749" s="12">
        <f t="shared" si="238"/>
        <v>0</v>
      </c>
      <c r="Y749" s="12"/>
      <c r="Z749" s="12"/>
      <c r="AA749" s="13">
        <f t="shared" si="239"/>
        <v>127400</v>
      </c>
      <c r="AB749" s="14">
        <v>46053</v>
      </c>
    </row>
    <row r="750" spans="1:28" ht="15.75" hidden="1" x14ac:dyDescent="0.25">
      <c r="A750" s="65">
        <v>46053</v>
      </c>
      <c r="B750" s="10" t="s">
        <v>442</v>
      </c>
      <c r="C750" s="10"/>
      <c r="D750" s="10" t="s">
        <v>195</v>
      </c>
      <c r="E750" s="10" t="s">
        <v>116</v>
      </c>
      <c r="F750" s="10">
        <v>24</v>
      </c>
      <c r="G750" s="10" t="s">
        <v>67</v>
      </c>
      <c r="H750" s="10">
        <v>65000</v>
      </c>
      <c r="I750" s="10">
        <f t="shared" si="227"/>
        <v>1560000</v>
      </c>
      <c r="J750" s="52" t="s">
        <v>90</v>
      </c>
      <c r="K750" s="10" t="s">
        <v>414</v>
      </c>
      <c r="L750" s="12">
        <f t="shared" si="234"/>
        <v>0</v>
      </c>
      <c r="M750" s="12"/>
      <c r="N750" s="12"/>
      <c r="O750" s="12">
        <f t="shared" si="235"/>
        <v>0</v>
      </c>
      <c r="P750" s="12"/>
      <c r="Q750" s="12"/>
      <c r="R750" s="12">
        <f t="shared" si="236"/>
        <v>0</v>
      </c>
      <c r="S750" s="12"/>
      <c r="T750" s="12"/>
      <c r="U750" s="12">
        <f t="shared" si="237"/>
        <v>0</v>
      </c>
      <c r="V750" s="12"/>
      <c r="W750" s="12"/>
      <c r="X750" s="12">
        <f t="shared" si="238"/>
        <v>0</v>
      </c>
      <c r="Y750" s="12"/>
      <c r="Z750" s="12"/>
      <c r="AA750" s="13">
        <f t="shared" si="239"/>
        <v>1560000</v>
      </c>
      <c r="AB750" s="14"/>
    </row>
    <row r="751" spans="1:28" ht="15.75" hidden="1" x14ac:dyDescent="0.25">
      <c r="A751" s="65">
        <v>46053</v>
      </c>
      <c r="B751" s="10" t="s">
        <v>272</v>
      </c>
      <c r="C751" s="10"/>
      <c r="D751" s="10"/>
      <c r="E751" s="10" t="s">
        <v>80</v>
      </c>
      <c r="F751" s="10">
        <v>66.5</v>
      </c>
      <c r="G751" s="10" t="s">
        <v>36</v>
      </c>
      <c r="H751" s="10"/>
      <c r="I751" s="10">
        <f t="shared" si="227"/>
        <v>0</v>
      </c>
      <c r="J751" s="86" t="s">
        <v>76</v>
      </c>
      <c r="K751" s="10"/>
      <c r="L751" s="12">
        <f t="shared" si="234"/>
        <v>0</v>
      </c>
      <c r="M751" s="12"/>
      <c r="N751" s="12"/>
      <c r="O751" s="12">
        <f t="shared" si="235"/>
        <v>0</v>
      </c>
      <c r="P751" s="12"/>
      <c r="Q751" s="12"/>
      <c r="R751" s="12">
        <f t="shared" si="236"/>
        <v>0</v>
      </c>
      <c r="S751" s="12"/>
      <c r="T751" s="12"/>
      <c r="U751" s="12">
        <f t="shared" si="237"/>
        <v>0</v>
      </c>
      <c r="V751" s="12"/>
      <c r="W751" s="12"/>
      <c r="X751" s="12">
        <f t="shared" si="238"/>
        <v>0</v>
      </c>
      <c r="Y751" s="12"/>
      <c r="Z751" s="12"/>
      <c r="AA751" s="13">
        <f t="shared" si="239"/>
        <v>0</v>
      </c>
      <c r="AB751" s="14"/>
    </row>
    <row r="752" spans="1:28" ht="15.75" hidden="1" x14ac:dyDescent="0.25">
      <c r="A752" s="28">
        <v>46053</v>
      </c>
      <c r="B752" s="10" t="s">
        <v>272</v>
      </c>
      <c r="C752" s="10"/>
      <c r="D752" s="10"/>
      <c r="E752" s="10" t="s">
        <v>307</v>
      </c>
      <c r="F752" s="10">
        <v>27.5</v>
      </c>
      <c r="G752" s="10" t="s">
        <v>36</v>
      </c>
      <c r="H752" s="10"/>
      <c r="I752" s="10">
        <f t="shared" si="227"/>
        <v>0</v>
      </c>
      <c r="J752" s="86" t="s">
        <v>76</v>
      </c>
      <c r="K752" s="10"/>
      <c r="L752" s="12">
        <f t="shared" si="234"/>
        <v>0</v>
      </c>
      <c r="M752" s="12"/>
      <c r="N752" s="12"/>
      <c r="O752" s="12">
        <f t="shared" si="235"/>
        <v>0</v>
      </c>
      <c r="P752" s="12"/>
      <c r="Q752" s="12"/>
      <c r="R752" s="12">
        <f t="shared" si="236"/>
        <v>0</v>
      </c>
      <c r="S752" s="12"/>
      <c r="T752" s="12"/>
      <c r="U752" s="12">
        <f t="shared" si="237"/>
        <v>0</v>
      </c>
      <c r="V752" s="12"/>
      <c r="W752" s="12"/>
      <c r="X752" s="12">
        <f t="shared" si="238"/>
        <v>0</v>
      </c>
      <c r="Y752" s="12"/>
      <c r="Z752" s="12"/>
      <c r="AA752" s="13">
        <f t="shared" si="239"/>
        <v>0</v>
      </c>
      <c r="AB752" s="14"/>
    </row>
    <row r="753" spans="1:28" ht="15.75" hidden="1" x14ac:dyDescent="0.25">
      <c r="A753" s="65">
        <v>46053</v>
      </c>
      <c r="B753" s="10" t="s">
        <v>272</v>
      </c>
      <c r="C753" s="10"/>
      <c r="D753" s="10"/>
      <c r="E753" s="10" t="s">
        <v>86</v>
      </c>
      <c r="F753" s="10">
        <v>29</v>
      </c>
      <c r="G753" s="10" t="s">
        <v>36</v>
      </c>
      <c r="H753" s="10"/>
      <c r="I753" s="10">
        <f t="shared" si="227"/>
        <v>0</v>
      </c>
      <c r="J753" s="86" t="s">
        <v>76</v>
      </c>
      <c r="K753" s="10"/>
      <c r="L753" s="12">
        <f t="shared" si="234"/>
        <v>0</v>
      </c>
      <c r="M753" s="12"/>
      <c r="N753" s="12"/>
      <c r="O753" s="12">
        <f t="shared" si="235"/>
        <v>0</v>
      </c>
      <c r="P753" s="12"/>
      <c r="Q753" s="12"/>
      <c r="R753" s="12">
        <f t="shared" si="236"/>
        <v>0</v>
      </c>
      <c r="S753" s="12"/>
      <c r="T753" s="12"/>
      <c r="U753" s="12">
        <f t="shared" si="237"/>
        <v>0</v>
      </c>
      <c r="V753" s="12"/>
      <c r="W753" s="12"/>
      <c r="X753" s="12">
        <f t="shared" si="238"/>
        <v>0</v>
      </c>
      <c r="Y753" s="12"/>
      <c r="Z753" s="12"/>
      <c r="AA753" s="13">
        <f t="shared" si="239"/>
        <v>0</v>
      </c>
      <c r="AB753" s="14"/>
    </row>
    <row r="754" spans="1:28" ht="16.5" hidden="1" thickBot="1" x14ac:dyDescent="0.3">
      <c r="A754" s="53">
        <v>46053</v>
      </c>
      <c r="B754" s="31" t="s">
        <v>272</v>
      </c>
      <c r="C754" s="31"/>
      <c r="D754" s="31"/>
      <c r="E754" s="31" t="s">
        <v>443</v>
      </c>
      <c r="F754" s="31">
        <v>79</v>
      </c>
      <c r="G754" s="31" t="s">
        <v>36</v>
      </c>
      <c r="H754" s="31"/>
      <c r="I754" s="31">
        <f t="shared" si="227"/>
        <v>0</v>
      </c>
      <c r="J754" s="103" t="s">
        <v>76</v>
      </c>
      <c r="K754" s="31"/>
      <c r="L754" s="34">
        <f t="shared" si="234"/>
        <v>0</v>
      </c>
      <c r="M754" s="34"/>
      <c r="N754" s="34"/>
      <c r="O754" s="34">
        <f t="shared" si="235"/>
        <v>0</v>
      </c>
      <c r="P754" s="34"/>
      <c r="Q754" s="34"/>
      <c r="R754" s="34">
        <f t="shared" si="236"/>
        <v>0</v>
      </c>
      <c r="S754" s="34"/>
      <c r="T754" s="34"/>
      <c r="U754" s="34">
        <f t="shared" si="237"/>
        <v>0</v>
      </c>
      <c r="V754" s="34"/>
      <c r="W754" s="34"/>
      <c r="X754" s="34">
        <f t="shared" si="238"/>
        <v>0</v>
      </c>
      <c r="Y754" s="34"/>
      <c r="Z754" s="34"/>
      <c r="AA754" s="35">
        <f t="shared" si="239"/>
        <v>0</v>
      </c>
      <c r="AB754" s="36"/>
    </row>
  </sheetData>
  <autoFilter ref="A3:AB754">
    <filterColumn colId="1">
      <filters>
        <filter val="лак цех"/>
      </filters>
    </filterColumn>
  </autoFilter>
  <mergeCells count="17">
    <mergeCell ref="A1:A3"/>
    <mergeCell ref="B1:B3"/>
    <mergeCell ref="E1:I1"/>
    <mergeCell ref="L1:Z1"/>
    <mergeCell ref="D2:D3"/>
    <mergeCell ref="L2:N2"/>
    <mergeCell ref="O2:Q2"/>
    <mergeCell ref="R2:T2"/>
    <mergeCell ref="U2:W2"/>
    <mergeCell ref="AB1:AB3"/>
    <mergeCell ref="C2:C3"/>
    <mergeCell ref="E2:E3"/>
    <mergeCell ref="F2:F3"/>
    <mergeCell ref="G2:G3"/>
    <mergeCell ref="H2:I2"/>
    <mergeCell ref="X2:Z2"/>
    <mergeCell ref="AA2:AA3"/>
  </mergeCells>
  <dataValidations count="117">
    <dataValidation type="list" allowBlank="1" showInputMessage="1" showErrorMessage="1" sqref="B204:B214 B626:B687 B552">
      <formula1>$AA$2:$AA$1572</formula1>
    </dataValidation>
    <dataValidation type="list" allowBlank="1" showInputMessage="1" showErrorMessage="1" sqref="C204:C214">
      <formula1>$Z$2:$Z$913</formula1>
    </dataValidation>
    <dataValidation type="list" allowBlank="1" showInputMessage="1" showErrorMessage="1" sqref="C197:C200">
      <formula1>$Z$2:$Z$394</formula1>
    </dataValidation>
    <dataValidation type="list" allowBlank="1" showInputMessage="1" showErrorMessage="1" sqref="B181:B183 B440:B458 B193:B194">
      <formula1>$AA$2:$AA$1566</formula1>
    </dataValidation>
    <dataValidation type="list" allowBlank="1" showInputMessage="1" showErrorMessage="1" sqref="B180 B553:B583 B184:B192 B215:B253 B498:B551 B736">
      <formula1>$AA$2:$AA$1569</formula1>
    </dataValidation>
    <dataValidation type="list" allowBlank="1" showInputMessage="1" showErrorMessage="1" sqref="E169:E179 E736:E747 E750:E754">
      <formula1>$AB$2:$AB$326</formula1>
    </dataValidation>
    <dataValidation type="list" allowBlank="1" showInputMessage="1" showErrorMessage="1" sqref="C169:C179">
      <formula1>$Z$2:$Z$395</formula1>
    </dataValidation>
    <dataValidation type="list" allowBlank="1" showInputMessage="1" showErrorMessage="1" sqref="B169:B179 B688:B711 B299:B412 B271:B296 B195:B196 B201:B203 B459:B497">
      <formula1>$AA$2:$AA$1567</formula1>
    </dataValidation>
    <dataValidation type="list" allowBlank="1" showInputMessage="1" showErrorMessage="1" sqref="C167:C168 C201:C203 C180:C196">
      <formula1>$Z$2:$Z$396</formula1>
    </dataValidation>
    <dataValidation type="list" allowBlank="1" showInputMessage="1" showErrorMessage="1" sqref="C166">
      <formula1>$Z$2:$Z$509</formula1>
    </dataValidation>
    <dataValidation type="list" allowBlank="1" showInputMessage="1" showErrorMessage="1" sqref="E165:E168 E201:E214 E180:E196 E713:E735 E748:E749">
      <formula1>$AB$2:$AB$327</formula1>
    </dataValidation>
    <dataValidation type="list" allowBlank="1" showInputMessage="1" showErrorMessage="1" sqref="E158:E164 E197:E200 E498:E712">
      <formula1>$AB$2:$AB$325</formula1>
    </dataValidation>
    <dataValidation type="list" allowBlank="1" showInputMessage="1" showErrorMessage="1" sqref="B158:B168 B712 B254:B270 B297:B298">
      <formula1>$AA$2:$AA$1568</formula1>
    </dataValidation>
    <dataValidation type="list" allowBlank="1" showInputMessage="1" showErrorMessage="1" sqref="C158:C165">
      <formula1>$Z$2:$Z$912</formula1>
    </dataValidation>
    <dataValidation type="list" allowBlank="1" showInputMessage="1" showErrorMessage="1" sqref="E150:E155 E351:E399 E297:E298 E254:E270 E440:E458">
      <formula1>$AB$2:$AB$323</formula1>
    </dataValidation>
    <dataValidation type="list" allowBlank="1" showInputMessage="1" showErrorMessage="1" sqref="B150:B155 B197:B200">
      <formula1>$AA$2:$AA$1565</formula1>
    </dataValidation>
    <dataValidation type="list" allowBlank="1" showInputMessage="1" showErrorMessage="1" sqref="C150:C155 C215:C253">
      <formula1>$Z$2:$Z$910</formula1>
    </dataValidation>
    <dataValidation type="list" allowBlank="1" showInputMessage="1" showErrorMessage="1" sqref="E140:E149 E156:E157 E271:E296 E299:E350">
      <formula1>$AB$2:$AB$322</formula1>
    </dataValidation>
    <dataValidation type="list" allowBlank="1" showInputMessage="1" showErrorMessage="1" sqref="C140:C149 C333:C334 C156:C157 C254:C270 C297:C298">
      <formula1>$Z$2:$Z$909</formula1>
    </dataValidation>
    <dataValidation type="list" allowBlank="1" showInputMessage="1" showErrorMessage="1" sqref="B140:B149 B156:B157 B413:B439">
      <formula1>$AA$2:$AA$1564</formula1>
    </dataValidation>
    <dataValidation type="list" allowBlank="1" showInputMessage="1" showErrorMessage="1" sqref="E134:E139 E413:E439">
      <formula1>$AB$2:$AB$321</formula1>
    </dataValidation>
    <dataValidation type="list" allowBlank="1" showInputMessage="1" showErrorMessage="1" sqref="B134:B139">
      <formula1>$AA$2:$AA$1563</formula1>
    </dataValidation>
    <dataValidation type="list" allowBlank="1" showInputMessage="1" showErrorMessage="1" sqref="C134:C139 C540:C657 C498:C532 C363:C412 C335:C348 C322:C332 C299:C303 C271:C278 C280:C296 C42">
      <formula1>$Z$2:$Z$908</formula1>
    </dataValidation>
    <dataValidation type="list" allowBlank="1" showInputMessage="1" showErrorMessage="1" sqref="E130:E133 E42">
      <formula1>$AB$2:$AB$319</formula1>
    </dataValidation>
    <dataValidation type="list" allowBlank="1" showInputMessage="1" showErrorMessage="1" sqref="B122:B133">
      <formula1>$AA$2:$AA$1561</formula1>
    </dataValidation>
    <dataValidation type="list" allowBlank="1" showInputMessage="1" showErrorMessage="1" sqref="B120:B121">
      <formula1>$AA$2:$AA$1560</formula1>
    </dataValidation>
    <dataValidation type="list" allowBlank="1" showInputMessage="1" showErrorMessage="1" sqref="E119:E129">
      <formula1>$AB$2:$AB$320</formula1>
    </dataValidation>
    <dataValidation type="list" allowBlank="1" showInputMessage="1" showErrorMessage="1" sqref="C119:C133">
      <formula1>$Z$2:$Z$906</formula1>
    </dataValidation>
    <dataValidation type="list" allowBlank="1" showInputMessage="1" showErrorMessage="1" sqref="B119">
      <formula1>$AA$2:$AA$1558</formula1>
    </dataValidation>
    <dataValidation type="list" allowBlank="1" showInputMessage="1" showErrorMessage="1" sqref="C109:C118">
      <formula1>$Z$2:$Z$904</formula1>
    </dataValidation>
    <dataValidation type="list" allowBlank="1" showInputMessage="1" showErrorMessage="1" sqref="B107">
      <formula1>$AA$2:$AA$1552</formula1>
    </dataValidation>
    <dataValidation type="list" allowBlank="1" showInputMessage="1" showErrorMessage="1" sqref="B103:B106 B46">
      <formula1>$AA$2:$AA$1553</formula1>
    </dataValidation>
    <dataValidation type="list" allowBlank="1" showInputMessage="1" showErrorMessage="1" sqref="B116:B118 B95:B96">
      <formula1>$AA$2:$AA$1556</formula1>
    </dataValidation>
    <dataValidation type="list" allowBlank="1" showInputMessage="1" showErrorMessage="1" sqref="B109:B115 B92 B82:B88">
      <formula1>$AA$2:$AA$1555</formula1>
    </dataValidation>
    <dataValidation type="list" allowBlank="1" showInputMessage="1" showErrorMessage="1" sqref="B108 B73">
      <formula1>$AA$2:$AA$1549</formula1>
    </dataValidation>
    <dataValidation allowBlank="1" showInputMessage="1" sqref="B1 B5:B10 F2 D5:F10 C1:E2 C4:C25"/>
    <dataValidation type="list" allowBlank="1" showInputMessage="1" showErrorMessage="1" sqref="D4 D11:D17">
      <formula1>$AC$2:$AC$5</formula1>
    </dataValidation>
    <dataValidation type="list" allowBlank="1" showInputMessage="1" showErrorMessage="1" sqref="E215:E253 E459:E497 E400:E412">
      <formula1>$AB$2:$AB$324</formula1>
    </dataValidation>
    <dataValidation type="list" allowBlank="1" showInputMessage="1" showErrorMessage="1" sqref="C304:C321 C349:C362">
      <formula1>$Z$2:$Z$911</formula1>
    </dataValidation>
    <dataValidation type="list" allowBlank="1" showInputMessage="1" showErrorMessage="1" sqref="C413:C439 C77:C84">
      <formula1>$Z$2:$Z$905</formula1>
    </dataValidation>
    <dataValidation type="list" allowBlank="1" showInputMessage="1" showErrorMessage="1" sqref="C440:C497 C46">
      <formula1>$Z$2:$Z$907</formula1>
    </dataValidation>
    <dataValidation type="list" allowBlank="1" showInputMessage="1" showErrorMessage="1" sqref="C533:C539 C60:C67 C74">
      <formula1>$Z$2:$Z$899</formula1>
    </dataValidation>
    <dataValidation type="list" allowBlank="1" showInputMessage="1" showErrorMessage="1" sqref="B584:B625 B713:B735 B737:B754">
      <formula1>$AA$2:$AA$1570</formula1>
    </dataValidation>
    <dataValidation type="list" allowBlank="1" showInputMessage="1" showErrorMessage="1" sqref="C678">
      <formula1>$Z$2:$Z$427</formula1>
    </dataValidation>
    <dataValidation type="list" allowBlank="1" showInputMessage="1" showErrorMessage="1" sqref="C676:C677">
      <formula1>$Z$2:$Z$476</formula1>
    </dataValidation>
    <dataValidation type="list" allowBlank="1" showInputMessage="1" showErrorMessage="1" sqref="C658:C675">
      <formula1>$Z$2:$Z$503</formula1>
    </dataValidation>
    <dataValidation type="list" allowBlank="1" showInputMessage="1" showErrorMessage="1" sqref="C679:C712">
      <formula1>$Z$2:$Z$390</formula1>
    </dataValidation>
    <dataValidation type="list" allowBlank="1" showInputMessage="1" showErrorMessage="1" sqref="E20">
      <formula1>$AB$2:$AB$91</formula1>
    </dataValidation>
    <dataValidation type="list" allowBlank="1" showInputMessage="1" showErrorMessage="1" sqref="E18:E19">
      <formula1>$AB$2:$AB$90</formula1>
    </dataValidation>
    <dataValidation type="list" allowBlank="1" showInputMessage="1" showErrorMessage="1" sqref="D18:D55">
      <formula1>$AC$2:$AC$7</formula1>
    </dataValidation>
    <dataValidation type="list" allowBlank="1" showInputMessage="1" showErrorMessage="1" sqref="E16:E17">
      <formula1>$AB$2:$AB$85</formula1>
    </dataValidation>
    <dataValidation type="list" allowBlank="1" showInputMessage="1" showErrorMessage="1" sqref="E11:E15 E4">
      <formula1>$AB$2:$AB$77</formula1>
    </dataValidation>
    <dataValidation type="list" allowBlank="1" showInputMessage="1" showErrorMessage="1" sqref="C713:C735 C748:C749">
      <formula1>$Z$2:$Z$392</formula1>
    </dataValidation>
    <dataValidation type="list" allowBlank="1" showInputMessage="1" showErrorMessage="1" sqref="C736:C747 C750:C754">
      <formula1>$Z$2:$Z$391</formula1>
    </dataValidation>
    <dataValidation type="list" allowBlank="1" showInputMessage="1" showErrorMessage="1" sqref="C27">
      <formula1>$Z$2:$Z$901</formula1>
    </dataValidation>
    <dataValidation type="list" allowBlank="1" showInputMessage="1" sqref="B97:B102">
      <formula1>$AA$2:$AA$1555</formula1>
    </dataValidation>
    <dataValidation type="list" allowBlank="1" showInputMessage="1" showErrorMessage="1" sqref="C88:C108">
      <formula1>$Z$2:$Z$388</formula1>
    </dataValidation>
    <dataValidation type="list" allowBlank="1" showInputMessage="1" showErrorMessage="1" sqref="C85:C87">
      <formula1>$Z$2:$Z$501</formula1>
    </dataValidation>
    <dataValidation type="list" allowBlank="1" showInputMessage="1" showErrorMessage="1" sqref="E46 E77:E118">
      <formula1>$AB$2:$AB$318</formula1>
    </dataValidation>
    <dataValidation type="list" allowBlank="1" showInputMessage="1" showErrorMessage="1" sqref="B77:B81">
      <formula1>$AA$2:$AA$1554</formula1>
    </dataValidation>
    <dataValidation type="list" allowBlank="1" showInputMessage="1" showErrorMessage="1" sqref="B75:B76 B42">
      <formula1>$AA$2:$AA$1551</formula1>
    </dataValidation>
    <dataValidation type="list" allowBlank="1" showInputMessage="1" showErrorMessage="1" sqref="E75:E76">
      <formula1>$AB$2:$AB$316</formula1>
    </dataValidation>
    <dataValidation type="list" allowBlank="1" showInputMessage="1" showErrorMessage="1" sqref="C75:C76">
      <formula1>$Z$2:$Z$902</formula1>
    </dataValidation>
    <dataValidation type="list" allowBlank="1" showInputMessage="1" showErrorMessage="1" sqref="E73">
      <formula1>$AB$2:$AB$314</formula1>
    </dataValidation>
    <dataValidation type="list" allowBlank="1" showInputMessage="1" showErrorMessage="1" sqref="E68:E72 E74">
      <formula1>$AB$2:$AB$313</formula1>
    </dataValidation>
    <dataValidation type="list" allowBlank="1" showInputMessage="1" showErrorMessage="1" sqref="C68:C73">
      <formula1>$Z$2:$Z$900</formula1>
    </dataValidation>
    <dataValidation type="list" allowBlank="1" showInputMessage="1" showErrorMessage="1" sqref="B68:B72 B74">
      <formula1>$AA$2:$AA$1548</formula1>
    </dataValidation>
    <dataValidation type="list" allowBlank="1" showInputMessage="1" showErrorMessage="1" sqref="E60:E67">
      <formula1>$AB$2:$AB$312</formula1>
    </dataValidation>
    <dataValidation type="list" allowBlank="1" showInputMessage="1" showErrorMessage="1" sqref="B60:B67">
      <formula1>$AA$2:$AA$1547</formula1>
    </dataValidation>
    <dataValidation type="list" allowBlank="1" showInputMessage="1" showErrorMessage="1" sqref="E56:E59">
      <formula1>$AB$2:$AB$311</formula1>
    </dataValidation>
    <dataValidation type="list" allowBlank="1" showInputMessage="1" showErrorMessage="1" sqref="C56:C59">
      <formula1>$Z$2:$Z$383</formula1>
    </dataValidation>
    <dataValidation type="list" allowBlank="1" showInputMessage="1" showErrorMessage="1" sqref="D56:D754">
      <formula1>$AC$2:$AC$8</formula1>
    </dataValidation>
    <dataValidation type="list" allowBlank="1" showInputMessage="1" showErrorMessage="1" sqref="B56:B59">
      <formula1>$AA$2:$AA$1539</formula1>
    </dataValidation>
    <dataValidation type="list" allowBlank="1" showInputMessage="1" showErrorMessage="1" sqref="C53:C55">
      <formula1>$Z$2:$Z$381</formula1>
    </dataValidation>
    <dataValidation type="list" allowBlank="1" showInputMessage="1" showErrorMessage="1" sqref="C49:C52">
      <formula1>$Z$2:$Z$493</formula1>
    </dataValidation>
    <dataValidation type="list" allowBlank="1" showInputMessage="1" showErrorMessage="1" sqref="B47:B55">
      <formula1>$AA$2:$AA$1542</formula1>
    </dataValidation>
    <dataValidation type="list" allowBlank="1" showInputMessage="1" showErrorMessage="1" sqref="C44:C45 C47:C48">
      <formula1>$Z$2:$Z$895</formula1>
    </dataValidation>
    <dataValidation type="list" allowBlank="1" showInputMessage="1" showErrorMessage="1" sqref="B44:B45">
      <formula1>$AA$2:$AA$1540</formula1>
    </dataValidation>
    <dataValidation type="list" allowBlank="1" showInputMessage="1" showErrorMessage="1" sqref="E43">
      <formula1>$AB$2:$AB$308</formula1>
    </dataValidation>
    <dataValidation type="list" allowBlank="1" showInputMessage="1" showErrorMessage="1" sqref="B43">
      <formula1>$AA$2:$AA$1537</formula1>
    </dataValidation>
    <dataValidation type="list" allowBlank="1" showInputMessage="1" showErrorMessage="1" sqref="C43">
      <formula1>$Z$2:$Z$894</formula1>
    </dataValidation>
    <dataValidation type="list" allowBlank="1" showInputMessage="1" showErrorMessage="1" sqref="B41">
      <formula1>$AA$2:$AA$1526</formula1>
    </dataValidation>
    <dataValidation type="list" allowBlank="1" showInputMessage="1" showErrorMessage="1" sqref="B39 B27">
      <formula1>$AA$2:$AA$1532</formula1>
    </dataValidation>
    <dataValidation type="list" allowBlank="1" showInputMessage="1" showErrorMessage="1" sqref="E33:E41">
      <formula1>$AB$2:$AB$307</formula1>
    </dataValidation>
    <dataValidation type="list" allowBlank="1" showInputMessage="1" showErrorMessage="1" sqref="C34:C36">
      <formula1>$Z$2:$Z$491</formula1>
    </dataValidation>
    <dataValidation type="list" allowBlank="1" showInputMessage="1" showErrorMessage="1" sqref="C37:C41">
      <formula1>$Z$2:$Z$379</formula1>
    </dataValidation>
    <dataValidation type="list" allowBlank="1" showInputMessage="1" showErrorMessage="1" sqref="C33">
      <formula1>$Z$2:$Z$892</formula1>
    </dataValidation>
    <dataValidation type="list" allowBlank="1" showInputMessage="1" showErrorMessage="1" sqref="B33 B40">
      <formula1>$AA$2:$AA$1529</formula1>
    </dataValidation>
    <dataValidation type="list" allowBlank="1" showInputMessage="1" showErrorMessage="1" sqref="B34:B38 B93:B94 B89:B91">
      <formula1>$AA$2:$AA$1531</formula1>
    </dataValidation>
    <dataValidation type="list" allowBlank="1" showInputMessage="1" showErrorMessage="1" sqref="E29:E32">
      <formula1>$AB$2:$AB$305</formula1>
    </dataValidation>
    <dataValidation type="list" allowBlank="1" showInputMessage="1" showErrorMessage="1" sqref="C29 C32">
      <formula1>$Z$2:$Z$888</formula1>
    </dataValidation>
    <dataValidation type="list" allowBlank="1" showInputMessage="1" showErrorMessage="1" sqref="B29:B32">
      <formula1>$AA$2:$AA$1524</formula1>
    </dataValidation>
    <dataValidation type="list" allowBlank="1" showInputMessage="1" showErrorMessage="1" sqref="C31">
      <formula1>$Z$2:$Z$891</formula1>
    </dataValidation>
    <dataValidation type="list" allowBlank="1" showInputMessage="1" showErrorMessage="1" sqref="E22">
      <formula1>$AB$2:$AB$119</formula1>
    </dataValidation>
    <dataValidation type="list" allowBlank="1" showInputMessage="1" showErrorMessage="1" sqref="E24">
      <formula1>$AB$2:$AB$210</formula1>
    </dataValidation>
    <dataValidation type="list" allowBlank="1" showInputMessage="1" showErrorMessage="1" sqref="E23">
      <formula1>$AB$2:$AB$208</formula1>
    </dataValidation>
    <dataValidation type="list" allowBlank="1" showInputMessage="1" showErrorMessage="1" sqref="E26">
      <formula1>$AB$2:$AB$293</formula1>
    </dataValidation>
    <dataValidation type="list" allowBlank="1" showInputMessage="1" showErrorMessage="1" sqref="E28">
      <formula1>$AB$2:$AB$302</formula1>
    </dataValidation>
    <dataValidation type="list" allowBlank="1" showInputMessage="1" showErrorMessage="1" sqref="C26">
      <formula1>$Z$2:$Z$373</formula1>
    </dataValidation>
    <dataValidation type="list" allowBlank="1" showInputMessage="1" showErrorMessage="1" sqref="B26">
      <formula1>$AA$2:$AA$1513</formula1>
    </dataValidation>
    <dataValidation type="list" allowBlank="1" showInputMessage="1" showErrorMessage="1" sqref="B25">
      <formula1>$AA$2:$AA$1420</formula1>
    </dataValidation>
    <dataValidation type="list" allowBlank="1" showInputMessage="1" showErrorMessage="1" sqref="B24">
      <formula1>$AA$2:$AA$1406</formula1>
    </dataValidation>
    <dataValidation type="list" allowBlank="1" showInputMessage="1" showErrorMessage="1" sqref="B23">
      <formula1>$AA$2:$AA$1405</formula1>
    </dataValidation>
    <dataValidation type="list" allowBlank="1" showInputMessage="1" showErrorMessage="1" sqref="C28">
      <formula1>$Z$2:$Z$887</formula1>
    </dataValidation>
    <dataValidation type="list" allowBlank="1" showInputMessage="1" showErrorMessage="1" sqref="B28">
      <formula1>$AA$2:$AA$1521</formula1>
    </dataValidation>
    <dataValidation type="list" allowBlank="1" showInputMessage="1" showErrorMessage="1" sqref="B22">
      <formula1>$AA$2:$AA$1194</formula1>
    </dataValidation>
    <dataValidation type="list" allowBlank="1" showInputMessage="1" showErrorMessage="1" sqref="B21">
      <formula1>$AA$2:$AA$1107</formula1>
    </dataValidation>
    <dataValidation type="list" allowBlank="1" showInputMessage="1" showErrorMessage="1" sqref="E27 E44:E45 E47:E55">
      <formula1>$AB$2:$AB$309</formula1>
    </dataValidation>
    <dataValidation type="list" allowBlank="1" showInputMessage="1" showErrorMessage="1" sqref="E25">
      <formula1>$AB$2:$AB$215</formula1>
    </dataValidation>
    <dataValidation type="list" allowBlank="1" showInputMessage="1" showErrorMessage="1" sqref="E21">
      <formula1>$AB$2:$AB$103</formula1>
    </dataValidation>
    <dataValidation type="list" allowBlank="1" showInputMessage="1" sqref="B18:B19">
      <formula1>$AA$2:$AA$941</formula1>
    </dataValidation>
    <dataValidation type="list" allowBlank="1" showInputMessage="1" showErrorMessage="1" sqref="B20">
      <formula1>$AA$2:$AA$975</formula1>
    </dataValidation>
    <dataValidation type="list" allowBlank="1" showInputMessage="1" sqref="B15">
      <formula1>$AA$2:$AA$614</formula1>
    </dataValidation>
    <dataValidation type="list" allowBlank="1" showInputMessage="1" showErrorMessage="1" sqref="B11:B14">
      <formula1>$AA$2:$AA$597</formula1>
    </dataValidation>
    <dataValidation type="list" allowBlank="1" showInputMessage="1" showErrorMessage="1" sqref="B4">
      <formula1>$AA$2:$AA$596</formula1>
    </dataValidation>
    <dataValidation type="list" allowBlank="1" showInputMessage="1" showErrorMessage="1" sqref="B16">
      <formula1>$AA$2:$AA$827</formula1>
    </dataValidation>
    <dataValidation type="list" allowBlank="1" showInputMessage="1" showErrorMessage="1" sqref="B17">
      <formula1>$AA$2:$AA$829</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dimension ref="A1:AB713"/>
  <sheetViews>
    <sheetView zoomScale="145" zoomScaleNormal="145" workbookViewId="0">
      <pane xSplit="10" ySplit="3" topLeftCell="L429" activePane="bottomRight" state="frozen"/>
      <selection pane="topRight" activeCell="K1" sqref="K1"/>
      <selection pane="bottomLeft" activeCell="A4" sqref="A4"/>
      <selection pane="bottomRight" activeCell="V579" sqref="V579:V580"/>
    </sheetView>
  </sheetViews>
  <sheetFormatPr defaultRowHeight="15" x14ac:dyDescent="0.25"/>
  <cols>
    <col min="1" max="1" width="11.28515625" bestFit="1" customWidth="1"/>
    <col min="2" max="2" width="26.28515625" bestFit="1" customWidth="1"/>
    <col min="3" max="3" width="11.42578125" bestFit="1" customWidth="1"/>
    <col min="4" max="4" width="10.140625" bestFit="1" customWidth="1"/>
    <col min="5" max="5" width="23.42578125" bestFit="1" customWidth="1"/>
    <col min="6" max="6" width="7" bestFit="1" customWidth="1"/>
    <col min="7" max="7" width="7.5703125" bestFit="1" customWidth="1"/>
    <col min="8" max="8" width="9" bestFit="1" customWidth="1"/>
    <col min="9" max="9" width="10.140625" bestFit="1" customWidth="1"/>
    <col min="10" max="10" width="4.7109375" bestFit="1" customWidth="1"/>
    <col min="11" max="11" width="11" customWidth="1"/>
    <col min="12" max="12" width="13.42578125" bestFit="1" customWidth="1"/>
    <col min="13" max="13" width="13.28515625" bestFit="1" customWidth="1"/>
    <col min="14" max="14" width="10.85546875" bestFit="1" customWidth="1"/>
    <col min="15" max="15" width="13.42578125" bestFit="1" customWidth="1"/>
    <col min="16" max="16" width="13.28515625" bestFit="1" customWidth="1"/>
    <col min="17" max="17" width="10.85546875" bestFit="1" customWidth="1"/>
    <col min="18" max="18" width="13.42578125" customWidth="1"/>
    <col min="19" max="19" width="13.28515625" bestFit="1" customWidth="1"/>
    <col min="20" max="20" width="10.85546875" bestFit="1" customWidth="1"/>
    <col min="21" max="21" width="13.42578125" bestFit="1" customWidth="1"/>
    <col min="22" max="23" width="10.85546875" bestFit="1" customWidth="1"/>
    <col min="24" max="24" width="10.140625" customWidth="1"/>
    <col min="27" max="27" width="11.42578125" bestFit="1" customWidth="1"/>
    <col min="28" max="28" width="11.28515625" bestFit="1" customWidth="1"/>
  </cols>
  <sheetData>
    <row r="1" spans="1:28" ht="43.15" customHeight="1" x14ac:dyDescent="0.25">
      <c r="A1" s="137" t="s">
        <v>0</v>
      </c>
      <c r="B1" s="139" t="s">
        <v>1</v>
      </c>
      <c r="C1" s="1" t="s">
        <v>444</v>
      </c>
      <c r="D1" s="1"/>
      <c r="E1" s="141" t="s">
        <v>2</v>
      </c>
      <c r="F1" s="141"/>
      <c r="G1" s="141"/>
      <c r="H1" s="141"/>
      <c r="I1" s="141"/>
      <c r="J1" s="2" t="s">
        <v>3</v>
      </c>
      <c r="K1" s="1" t="s">
        <v>453</v>
      </c>
      <c r="L1" s="142" t="s">
        <v>5</v>
      </c>
      <c r="M1" s="142"/>
      <c r="N1" s="142"/>
      <c r="O1" s="142"/>
      <c r="P1" s="142"/>
      <c r="Q1" s="142"/>
      <c r="R1" s="142"/>
      <c r="S1" s="142"/>
      <c r="T1" s="142"/>
      <c r="U1" s="142"/>
      <c r="V1" s="142"/>
      <c r="W1" s="142"/>
      <c r="X1" s="142"/>
      <c r="Y1" s="142"/>
      <c r="Z1" s="142"/>
      <c r="AA1" s="1" t="s">
        <v>445</v>
      </c>
      <c r="AB1" s="134" t="s">
        <v>6</v>
      </c>
    </row>
    <row r="2" spans="1:28" ht="14.45" customHeight="1" x14ac:dyDescent="0.25">
      <c r="A2" s="143"/>
      <c r="B2" s="144"/>
      <c r="C2" s="137" t="s">
        <v>7</v>
      </c>
      <c r="D2" s="137"/>
      <c r="E2" s="139" t="s">
        <v>8</v>
      </c>
      <c r="F2" s="139" t="s">
        <v>9</v>
      </c>
      <c r="G2" s="137" t="s">
        <v>10</v>
      </c>
      <c r="H2" s="141" t="s">
        <v>11</v>
      </c>
      <c r="I2" s="141"/>
      <c r="J2" s="2"/>
      <c r="K2" s="3"/>
      <c r="L2" s="145" t="s">
        <v>12</v>
      </c>
      <c r="M2" s="145"/>
      <c r="N2" s="145"/>
      <c r="O2" s="145" t="s">
        <v>13</v>
      </c>
      <c r="P2" s="145"/>
      <c r="Q2" s="145"/>
      <c r="R2" s="145" t="s">
        <v>14</v>
      </c>
      <c r="S2" s="145"/>
      <c r="T2" s="145"/>
      <c r="U2" s="142" t="s">
        <v>15</v>
      </c>
      <c r="V2" s="142"/>
      <c r="W2" s="142"/>
      <c r="X2" s="142" t="s">
        <v>16</v>
      </c>
      <c r="Y2" s="142"/>
      <c r="Z2" s="142"/>
      <c r="AA2" s="107" t="s">
        <v>7</v>
      </c>
      <c r="AB2" s="135"/>
    </row>
    <row r="3" spans="1:28" ht="14.45" customHeight="1" x14ac:dyDescent="0.25">
      <c r="A3" s="138"/>
      <c r="B3" s="140"/>
      <c r="C3" s="138"/>
      <c r="D3" s="138"/>
      <c r="E3" s="140"/>
      <c r="F3" s="140"/>
      <c r="G3" s="138"/>
      <c r="H3" s="5" t="s">
        <v>17</v>
      </c>
      <c r="I3" s="1" t="s">
        <v>18</v>
      </c>
      <c r="J3" s="2"/>
      <c r="K3" s="3"/>
      <c r="L3" s="4" t="s">
        <v>19</v>
      </c>
      <c r="M3" s="4" t="s">
        <v>662</v>
      </c>
      <c r="N3" s="4"/>
      <c r="O3" s="4" t="s">
        <v>19</v>
      </c>
      <c r="P3" s="4" t="s">
        <v>662</v>
      </c>
      <c r="Q3" s="4"/>
      <c r="R3" s="4" t="s">
        <v>19</v>
      </c>
      <c r="S3" s="4" t="s">
        <v>662</v>
      </c>
      <c r="T3" s="4"/>
      <c r="U3" s="4" t="s">
        <v>19</v>
      </c>
      <c r="V3" s="4" t="s">
        <v>662</v>
      </c>
      <c r="W3" s="4"/>
      <c r="X3" s="4" t="s">
        <v>19</v>
      </c>
      <c r="Y3" s="4" t="s">
        <v>662</v>
      </c>
      <c r="Z3" s="4"/>
      <c r="AA3" s="108"/>
      <c r="AB3" s="136"/>
    </row>
    <row r="4" spans="1:28" ht="15.75" hidden="1" x14ac:dyDescent="0.25">
      <c r="A4" s="6">
        <v>43670</v>
      </c>
      <c r="B4" s="7" t="s">
        <v>20</v>
      </c>
      <c r="C4" s="8">
        <v>450000</v>
      </c>
      <c r="D4" s="9"/>
      <c r="E4" s="7" t="s">
        <v>21</v>
      </c>
      <c r="F4" s="7">
        <v>1</v>
      </c>
      <c r="G4" s="7" t="s">
        <v>22</v>
      </c>
      <c r="H4" s="7"/>
      <c r="I4" s="10">
        <f t="shared" ref="I4:I67" si="0">F4*H4</f>
        <v>0</v>
      </c>
      <c r="J4" s="11" t="s">
        <v>23</v>
      </c>
      <c r="K4" s="7"/>
      <c r="L4" s="12">
        <f t="shared" ref="L4:L66" si="1">M4+N4</f>
        <v>0</v>
      </c>
      <c r="M4" s="12"/>
      <c r="N4" s="12"/>
      <c r="O4" s="12">
        <f t="shared" ref="O4:O66" si="2">P4+Q4</f>
        <v>0</v>
      </c>
      <c r="P4" s="12"/>
      <c r="Q4" s="12"/>
      <c r="R4" s="12">
        <f t="shared" ref="R4:R66" si="3">S4+T4</f>
        <v>0</v>
      </c>
      <c r="S4" s="12"/>
      <c r="T4" s="12"/>
      <c r="U4" s="12">
        <f t="shared" ref="U4:U66" si="4">V4+W4</f>
        <v>0</v>
      </c>
      <c r="V4" s="12"/>
      <c r="W4" s="12"/>
      <c r="X4" s="12">
        <f t="shared" ref="X4:X66" si="5">Y4+Z4</f>
        <v>0</v>
      </c>
      <c r="Y4" s="12"/>
      <c r="Z4" s="12"/>
      <c r="AA4" s="13">
        <f t="shared" ref="AA4:AA67" si="6">C4+I4-L4-O4-U4-X4-R4</f>
        <v>450000</v>
      </c>
      <c r="AB4" s="14"/>
    </row>
    <row r="5" spans="1:28" ht="15.75" hidden="1" x14ac:dyDescent="0.25">
      <c r="A5" s="15">
        <v>44525</v>
      </c>
      <c r="B5" s="7" t="s">
        <v>24</v>
      </c>
      <c r="C5" s="16">
        <v>4600000</v>
      </c>
      <c r="D5" s="7"/>
      <c r="E5" s="7" t="s">
        <v>25</v>
      </c>
      <c r="F5" s="7">
        <v>2000</v>
      </c>
      <c r="G5" s="7" t="s">
        <v>26</v>
      </c>
      <c r="H5" s="7"/>
      <c r="I5" s="10">
        <f t="shared" si="0"/>
        <v>0</v>
      </c>
      <c r="J5" s="11" t="s">
        <v>23</v>
      </c>
      <c r="K5" s="7"/>
      <c r="L5" s="12">
        <f t="shared" si="1"/>
        <v>0</v>
      </c>
      <c r="M5" s="12"/>
      <c r="N5" s="12"/>
      <c r="O5" s="12">
        <f t="shared" si="2"/>
        <v>0</v>
      </c>
      <c r="P5" s="12"/>
      <c r="Q5" s="12"/>
      <c r="R5" s="12">
        <f t="shared" si="3"/>
        <v>0</v>
      </c>
      <c r="S5" s="12"/>
      <c r="T5" s="12"/>
      <c r="U5" s="12">
        <f t="shared" si="4"/>
        <v>0</v>
      </c>
      <c r="V5" s="12"/>
      <c r="W5" s="12"/>
      <c r="X5" s="12">
        <f t="shared" si="5"/>
        <v>0</v>
      </c>
      <c r="Y5" s="12"/>
      <c r="Z5" s="12"/>
      <c r="AA5" s="13">
        <f t="shared" si="6"/>
        <v>4600000</v>
      </c>
      <c r="AB5" s="14"/>
    </row>
    <row r="6" spans="1:28" ht="15.75" hidden="1" x14ac:dyDescent="0.25">
      <c r="A6" s="15">
        <v>45059</v>
      </c>
      <c r="B6" s="7" t="s">
        <v>27</v>
      </c>
      <c r="C6" s="16">
        <v>2640500</v>
      </c>
      <c r="D6" s="7" t="s">
        <v>28</v>
      </c>
      <c r="E6" s="7" t="s">
        <v>29</v>
      </c>
      <c r="F6" s="7">
        <v>1750</v>
      </c>
      <c r="G6" s="7" t="s">
        <v>26</v>
      </c>
      <c r="H6" s="7"/>
      <c r="I6" s="10">
        <f t="shared" si="0"/>
        <v>0</v>
      </c>
      <c r="J6" s="17" t="s">
        <v>30</v>
      </c>
      <c r="K6" s="7"/>
      <c r="L6" s="12">
        <f t="shared" si="1"/>
        <v>0</v>
      </c>
      <c r="M6" s="12"/>
      <c r="N6" s="12"/>
      <c r="O6" s="12">
        <f t="shared" si="2"/>
        <v>0</v>
      </c>
      <c r="P6" s="12"/>
      <c r="Q6" s="12"/>
      <c r="R6" s="12">
        <f t="shared" si="3"/>
        <v>0</v>
      </c>
      <c r="S6" s="12"/>
      <c r="T6" s="12"/>
      <c r="U6" s="12">
        <f t="shared" si="4"/>
        <v>0</v>
      </c>
      <c r="V6" s="12"/>
      <c r="W6" s="12"/>
      <c r="X6" s="12">
        <f t="shared" si="5"/>
        <v>0</v>
      </c>
      <c r="Y6" s="12"/>
      <c r="Z6" s="12"/>
      <c r="AA6" s="13">
        <f t="shared" si="6"/>
        <v>2640500</v>
      </c>
      <c r="AB6" s="14"/>
    </row>
    <row r="7" spans="1:28" ht="15.75" hidden="1" x14ac:dyDescent="0.25">
      <c r="A7" s="15">
        <v>45254</v>
      </c>
      <c r="B7" s="7" t="s">
        <v>31</v>
      </c>
      <c r="C7" s="16">
        <v>166250</v>
      </c>
      <c r="D7" s="7" t="s">
        <v>32</v>
      </c>
      <c r="E7" s="7" t="s">
        <v>33</v>
      </c>
      <c r="F7" s="7">
        <v>18250</v>
      </c>
      <c r="G7" s="7" t="s">
        <v>26</v>
      </c>
      <c r="H7" s="7"/>
      <c r="I7" s="10">
        <f t="shared" si="0"/>
        <v>0</v>
      </c>
      <c r="J7" s="17" t="s">
        <v>30</v>
      </c>
      <c r="K7" s="7"/>
      <c r="L7" s="12">
        <f t="shared" si="1"/>
        <v>0</v>
      </c>
      <c r="M7" s="12"/>
      <c r="N7" s="12"/>
      <c r="O7" s="12">
        <f t="shared" si="2"/>
        <v>0</v>
      </c>
      <c r="P7" s="12"/>
      <c r="Q7" s="12"/>
      <c r="R7" s="12">
        <f t="shared" si="3"/>
        <v>0</v>
      </c>
      <c r="S7" s="12"/>
      <c r="T7" s="12"/>
      <c r="U7" s="12">
        <f t="shared" si="4"/>
        <v>0</v>
      </c>
      <c r="V7" s="12"/>
      <c r="W7" s="12"/>
      <c r="X7" s="12">
        <f t="shared" si="5"/>
        <v>0</v>
      </c>
      <c r="Y7" s="12"/>
      <c r="Z7" s="12"/>
      <c r="AA7" s="13">
        <f t="shared" si="6"/>
        <v>166250</v>
      </c>
      <c r="AB7" s="14"/>
    </row>
    <row r="8" spans="1:28" ht="15.75" hidden="1" x14ac:dyDescent="0.25">
      <c r="A8" s="18">
        <v>45405</v>
      </c>
      <c r="B8" s="19" t="s">
        <v>34</v>
      </c>
      <c r="C8" s="20">
        <v>139800</v>
      </c>
      <c r="D8" s="19" t="s">
        <v>28</v>
      </c>
      <c r="E8" s="19" t="s">
        <v>35</v>
      </c>
      <c r="F8" s="19">
        <v>574</v>
      </c>
      <c r="G8" s="19" t="s">
        <v>36</v>
      </c>
      <c r="H8" s="19"/>
      <c r="I8" s="10">
        <f t="shared" si="0"/>
        <v>0</v>
      </c>
      <c r="J8" s="17" t="s">
        <v>30</v>
      </c>
      <c r="K8" s="7"/>
      <c r="L8" s="12">
        <f t="shared" si="1"/>
        <v>0</v>
      </c>
      <c r="M8" s="12"/>
      <c r="N8" s="12"/>
      <c r="O8" s="12">
        <f t="shared" si="2"/>
        <v>0</v>
      </c>
      <c r="P8" s="12"/>
      <c r="Q8" s="12"/>
      <c r="R8" s="12">
        <f t="shared" si="3"/>
        <v>0</v>
      </c>
      <c r="S8" s="12"/>
      <c r="T8" s="12"/>
      <c r="U8" s="12">
        <f t="shared" si="4"/>
        <v>0</v>
      </c>
      <c r="V8" s="12"/>
      <c r="W8" s="12"/>
      <c r="X8" s="12">
        <f t="shared" si="5"/>
        <v>0</v>
      </c>
      <c r="Y8" s="12"/>
      <c r="Z8" s="12"/>
      <c r="AA8" s="13">
        <f t="shared" si="6"/>
        <v>139800</v>
      </c>
      <c r="AB8" s="14"/>
    </row>
    <row r="9" spans="1:28" ht="15.75" hidden="1" x14ac:dyDescent="0.25">
      <c r="A9" s="18">
        <v>45462</v>
      </c>
      <c r="B9" s="21" t="s">
        <v>37</v>
      </c>
      <c r="C9" s="19">
        <v>-40000</v>
      </c>
      <c r="D9" s="19" t="s">
        <v>28</v>
      </c>
      <c r="E9" s="19" t="s">
        <v>38</v>
      </c>
      <c r="F9" s="19">
        <v>4</v>
      </c>
      <c r="G9" s="19" t="s">
        <v>39</v>
      </c>
      <c r="H9" s="19"/>
      <c r="I9" s="10">
        <f t="shared" si="0"/>
        <v>0</v>
      </c>
      <c r="J9" s="22" t="s">
        <v>40</v>
      </c>
      <c r="K9" s="7"/>
      <c r="L9" s="12">
        <f t="shared" si="1"/>
        <v>0</v>
      </c>
      <c r="M9" s="12"/>
      <c r="N9" s="12"/>
      <c r="O9" s="12">
        <f t="shared" si="2"/>
        <v>0</v>
      </c>
      <c r="P9" s="12"/>
      <c r="Q9" s="12"/>
      <c r="R9" s="12">
        <f t="shared" si="3"/>
        <v>0</v>
      </c>
      <c r="S9" s="12"/>
      <c r="T9" s="12"/>
      <c r="U9" s="12">
        <f t="shared" si="4"/>
        <v>0</v>
      </c>
      <c r="V9" s="12"/>
      <c r="W9" s="12"/>
      <c r="X9" s="12">
        <f t="shared" si="5"/>
        <v>0</v>
      </c>
      <c r="Y9" s="12"/>
      <c r="Z9" s="12"/>
      <c r="AA9" s="13">
        <f t="shared" si="6"/>
        <v>-40000</v>
      </c>
      <c r="AB9" s="14">
        <v>45462</v>
      </c>
    </row>
    <row r="10" spans="1:28" ht="15.75" hidden="1" x14ac:dyDescent="0.25">
      <c r="A10" s="18">
        <v>45485</v>
      </c>
      <c r="B10" s="21" t="s">
        <v>41</v>
      </c>
      <c r="C10" s="20">
        <v>-100000</v>
      </c>
      <c r="D10" s="19" t="s">
        <v>28</v>
      </c>
      <c r="E10" s="19" t="s">
        <v>42</v>
      </c>
      <c r="F10" s="19">
        <v>298</v>
      </c>
      <c r="G10" s="19" t="s">
        <v>26</v>
      </c>
      <c r="H10" s="19"/>
      <c r="I10" s="10">
        <f t="shared" si="0"/>
        <v>0</v>
      </c>
      <c r="J10" s="22" t="s">
        <v>40</v>
      </c>
      <c r="K10" s="7"/>
      <c r="L10" s="12">
        <f t="shared" si="1"/>
        <v>0</v>
      </c>
      <c r="M10" s="12"/>
      <c r="N10" s="12"/>
      <c r="O10" s="12">
        <f t="shared" si="2"/>
        <v>0</v>
      </c>
      <c r="P10" s="12"/>
      <c r="Q10" s="12"/>
      <c r="R10" s="12">
        <f t="shared" si="3"/>
        <v>0</v>
      </c>
      <c r="S10" s="12"/>
      <c r="T10" s="12"/>
      <c r="U10" s="12">
        <f t="shared" si="4"/>
        <v>0</v>
      </c>
      <c r="V10" s="12"/>
      <c r="W10" s="12"/>
      <c r="X10" s="12">
        <f t="shared" si="5"/>
        <v>0</v>
      </c>
      <c r="Y10" s="12"/>
      <c r="Z10" s="12"/>
      <c r="AA10" s="13">
        <f t="shared" si="6"/>
        <v>-100000</v>
      </c>
      <c r="AB10" s="14">
        <v>45637</v>
      </c>
    </row>
    <row r="11" spans="1:28" ht="15.75" hidden="1" x14ac:dyDescent="0.25">
      <c r="A11" s="18"/>
      <c r="B11" s="19" t="s">
        <v>43</v>
      </c>
      <c r="C11" s="19">
        <v>784000</v>
      </c>
      <c r="D11" s="19" t="s">
        <v>28</v>
      </c>
      <c r="E11" s="19"/>
      <c r="F11" s="19"/>
      <c r="G11" s="19" t="s">
        <v>36</v>
      </c>
      <c r="H11" s="19"/>
      <c r="I11" s="10">
        <f t="shared" si="0"/>
        <v>0</v>
      </c>
      <c r="J11" s="22" t="s">
        <v>40</v>
      </c>
      <c r="K11" s="7"/>
      <c r="L11" s="12">
        <f t="shared" si="1"/>
        <v>0</v>
      </c>
      <c r="M11" s="12"/>
      <c r="N11" s="12"/>
      <c r="O11" s="12">
        <f t="shared" si="2"/>
        <v>0</v>
      </c>
      <c r="P11" s="12"/>
      <c r="Q11" s="12"/>
      <c r="R11" s="12">
        <f t="shared" si="3"/>
        <v>0</v>
      </c>
      <c r="S11" s="12"/>
      <c r="T11" s="12"/>
      <c r="U11" s="12">
        <f t="shared" si="4"/>
        <v>0</v>
      </c>
      <c r="V11" s="12"/>
      <c r="W11" s="12"/>
      <c r="X11" s="12">
        <f t="shared" si="5"/>
        <v>0</v>
      </c>
      <c r="Y11" s="12"/>
      <c r="Z11" s="12"/>
      <c r="AA11" s="13">
        <f t="shared" si="6"/>
        <v>784000</v>
      </c>
      <c r="AB11" s="14"/>
    </row>
    <row r="12" spans="1:28" ht="15.75" hidden="1" x14ac:dyDescent="0.25">
      <c r="A12" s="15"/>
      <c r="B12" s="7" t="s">
        <v>44</v>
      </c>
      <c r="C12" s="8">
        <v>4940000</v>
      </c>
      <c r="D12" s="9"/>
      <c r="E12" s="7"/>
      <c r="F12" s="7"/>
      <c r="G12" s="7"/>
      <c r="H12" s="7"/>
      <c r="I12" s="10">
        <f t="shared" si="0"/>
        <v>0</v>
      </c>
      <c r="J12" s="11" t="s">
        <v>23</v>
      </c>
      <c r="K12" s="7"/>
      <c r="L12" s="12">
        <f t="shared" si="1"/>
        <v>0</v>
      </c>
      <c r="M12" s="12"/>
      <c r="N12" s="12"/>
      <c r="O12" s="12">
        <f t="shared" si="2"/>
        <v>0</v>
      </c>
      <c r="P12" s="12"/>
      <c r="Q12" s="12"/>
      <c r="R12" s="12">
        <f t="shared" si="3"/>
        <v>0</v>
      </c>
      <c r="S12" s="12"/>
      <c r="T12" s="12"/>
      <c r="U12" s="12">
        <f t="shared" si="4"/>
        <v>0</v>
      </c>
      <c r="V12" s="12"/>
      <c r="W12" s="12"/>
      <c r="X12" s="12">
        <f t="shared" si="5"/>
        <v>0</v>
      </c>
      <c r="Y12" s="12"/>
      <c r="Z12" s="12"/>
      <c r="AA12" s="13">
        <f t="shared" si="6"/>
        <v>4940000</v>
      </c>
      <c r="AB12" s="14">
        <v>45590</v>
      </c>
    </row>
    <row r="13" spans="1:28" ht="15.75" hidden="1" x14ac:dyDescent="0.25">
      <c r="A13" s="15"/>
      <c r="B13" s="23" t="s">
        <v>45</v>
      </c>
      <c r="C13" s="7">
        <v>-240000</v>
      </c>
      <c r="D13" s="7" t="s">
        <v>32</v>
      </c>
      <c r="E13" s="7" t="s">
        <v>46</v>
      </c>
      <c r="F13" s="7">
        <v>307.39999999999998</v>
      </c>
      <c r="G13" s="7" t="s">
        <v>36</v>
      </c>
      <c r="H13" s="7"/>
      <c r="I13" s="10">
        <f t="shared" si="0"/>
        <v>0</v>
      </c>
      <c r="J13" s="22" t="s">
        <v>40</v>
      </c>
      <c r="K13" s="7"/>
      <c r="L13" s="12">
        <f t="shared" si="1"/>
        <v>0</v>
      </c>
      <c r="M13" s="12"/>
      <c r="N13" s="12"/>
      <c r="O13" s="12">
        <f t="shared" si="2"/>
        <v>0</v>
      </c>
      <c r="P13" s="12"/>
      <c r="Q13" s="12"/>
      <c r="R13" s="12">
        <f t="shared" si="3"/>
        <v>0</v>
      </c>
      <c r="S13" s="12"/>
      <c r="T13" s="12"/>
      <c r="U13" s="12">
        <f t="shared" si="4"/>
        <v>0</v>
      </c>
      <c r="V13" s="12"/>
      <c r="W13" s="12"/>
      <c r="X13" s="12">
        <f t="shared" si="5"/>
        <v>0</v>
      </c>
      <c r="Y13" s="12"/>
      <c r="Z13" s="12"/>
      <c r="AA13" s="13">
        <f t="shared" si="6"/>
        <v>-240000</v>
      </c>
      <c r="AB13" s="14"/>
    </row>
    <row r="14" spans="1:28" ht="15.75" hidden="1" x14ac:dyDescent="0.25">
      <c r="A14" s="15"/>
      <c r="B14" s="7" t="s">
        <v>47</v>
      </c>
      <c r="C14" s="8">
        <v>3628</v>
      </c>
      <c r="D14" s="9"/>
      <c r="E14" s="7"/>
      <c r="F14" s="7"/>
      <c r="G14" s="7"/>
      <c r="H14" s="7"/>
      <c r="I14" s="10">
        <f t="shared" si="0"/>
        <v>0</v>
      </c>
      <c r="J14" s="11" t="s">
        <v>23</v>
      </c>
      <c r="K14" s="7"/>
      <c r="L14" s="12">
        <f t="shared" si="1"/>
        <v>0</v>
      </c>
      <c r="M14" s="12"/>
      <c r="N14" s="12"/>
      <c r="O14" s="12">
        <f t="shared" si="2"/>
        <v>0</v>
      </c>
      <c r="P14" s="12"/>
      <c r="Q14" s="12"/>
      <c r="R14" s="12">
        <f t="shared" si="3"/>
        <v>0</v>
      </c>
      <c r="S14" s="12"/>
      <c r="T14" s="12"/>
      <c r="U14" s="12">
        <f t="shared" si="4"/>
        <v>0</v>
      </c>
      <c r="V14" s="12"/>
      <c r="W14" s="12"/>
      <c r="X14" s="12">
        <f t="shared" si="5"/>
        <v>0</v>
      </c>
      <c r="Y14" s="12"/>
      <c r="Z14" s="12"/>
      <c r="AA14" s="13">
        <f t="shared" si="6"/>
        <v>3628</v>
      </c>
      <c r="AB14" s="14"/>
    </row>
    <row r="15" spans="1:28" ht="15.75" hidden="1" x14ac:dyDescent="0.25">
      <c r="A15" s="18"/>
      <c r="B15" s="21" t="s">
        <v>48</v>
      </c>
      <c r="C15" s="19">
        <v>-300000</v>
      </c>
      <c r="D15" s="19"/>
      <c r="E15" s="19"/>
      <c r="F15" s="19"/>
      <c r="G15" s="19"/>
      <c r="H15" s="19"/>
      <c r="I15" s="10">
        <f t="shared" si="0"/>
        <v>0</v>
      </c>
      <c r="J15" s="22" t="s">
        <v>40</v>
      </c>
      <c r="K15" s="19"/>
      <c r="L15" s="12">
        <f t="shared" si="1"/>
        <v>0</v>
      </c>
      <c r="M15" s="12"/>
      <c r="N15" s="12"/>
      <c r="O15" s="12">
        <f t="shared" si="2"/>
        <v>0</v>
      </c>
      <c r="P15" s="12"/>
      <c r="Q15" s="12"/>
      <c r="R15" s="12">
        <f t="shared" si="3"/>
        <v>0</v>
      </c>
      <c r="S15" s="12"/>
      <c r="T15" s="12"/>
      <c r="U15" s="12">
        <f t="shared" si="4"/>
        <v>0</v>
      </c>
      <c r="V15" s="12"/>
      <c r="W15" s="12"/>
      <c r="X15" s="12">
        <f t="shared" si="5"/>
        <v>0</v>
      </c>
      <c r="Y15" s="12"/>
      <c r="Z15" s="12"/>
      <c r="AA15" s="13">
        <f t="shared" si="6"/>
        <v>-300000</v>
      </c>
      <c r="AB15" s="14">
        <v>45589</v>
      </c>
    </row>
    <row r="16" spans="1:28" ht="15.75" hidden="1" x14ac:dyDescent="0.25">
      <c r="A16" s="24">
        <v>45644</v>
      </c>
      <c r="B16" s="25" t="s">
        <v>50</v>
      </c>
      <c r="C16" s="19">
        <v>-1020000</v>
      </c>
      <c r="D16" s="26" t="s">
        <v>32</v>
      </c>
      <c r="E16" s="19" t="s">
        <v>51</v>
      </c>
      <c r="F16" s="19">
        <v>2</v>
      </c>
      <c r="G16" s="19" t="s">
        <v>22</v>
      </c>
      <c r="H16" s="19"/>
      <c r="I16" s="10">
        <f t="shared" si="0"/>
        <v>0</v>
      </c>
      <c r="J16" s="27" t="s">
        <v>40</v>
      </c>
      <c r="K16" s="19"/>
      <c r="L16" s="12">
        <f t="shared" si="1"/>
        <v>0</v>
      </c>
      <c r="M16" s="12"/>
      <c r="N16" s="12"/>
      <c r="O16" s="12">
        <f t="shared" si="2"/>
        <v>0</v>
      </c>
      <c r="P16" s="12"/>
      <c r="Q16" s="12"/>
      <c r="R16" s="12">
        <f t="shared" si="3"/>
        <v>0</v>
      </c>
      <c r="S16" s="12"/>
      <c r="T16" s="12"/>
      <c r="U16" s="12">
        <f t="shared" si="4"/>
        <v>0</v>
      </c>
      <c r="V16" s="12"/>
      <c r="W16" s="12"/>
      <c r="X16" s="12">
        <f t="shared" si="5"/>
        <v>0</v>
      </c>
      <c r="Y16" s="12"/>
      <c r="Z16" s="12"/>
      <c r="AA16" s="13">
        <f t="shared" si="6"/>
        <v>-1020000</v>
      </c>
      <c r="AB16" s="14">
        <v>45685</v>
      </c>
    </row>
    <row r="17" spans="1:28" ht="15.75" hidden="1" x14ac:dyDescent="0.25">
      <c r="A17" s="24">
        <v>45646</v>
      </c>
      <c r="B17" s="21" t="s">
        <v>53</v>
      </c>
      <c r="C17" s="19">
        <v>-1354000</v>
      </c>
      <c r="D17" s="26" t="s">
        <v>32</v>
      </c>
      <c r="E17" s="19" t="s">
        <v>54</v>
      </c>
      <c r="F17" s="19">
        <v>49.1</v>
      </c>
      <c r="G17" s="19" t="s">
        <v>36</v>
      </c>
      <c r="H17" s="26"/>
      <c r="I17" s="10">
        <f t="shared" si="0"/>
        <v>0</v>
      </c>
      <c r="J17" s="22" t="s">
        <v>40</v>
      </c>
      <c r="K17" s="19"/>
      <c r="L17" s="12">
        <f t="shared" si="1"/>
        <v>0</v>
      </c>
      <c r="M17" s="12"/>
      <c r="N17" s="12"/>
      <c r="O17" s="12">
        <f t="shared" si="2"/>
        <v>0</v>
      </c>
      <c r="P17" s="12"/>
      <c r="Q17" s="12"/>
      <c r="R17" s="12">
        <f t="shared" si="3"/>
        <v>0</v>
      </c>
      <c r="S17" s="12"/>
      <c r="T17" s="12"/>
      <c r="U17" s="12">
        <f t="shared" si="4"/>
        <v>0</v>
      </c>
      <c r="V17" s="12"/>
      <c r="W17" s="12"/>
      <c r="X17" s="12">
        <f t="shared" si="5"/>
        <v>0</v>
      </c>
      <c r="Y17" s="12"/>
      <c r="Z17" s="12"/>
      <c r="AA17" s="13">
        <f t="shared" si="6"/>
        <v>-1354000</v>
      </c>
      <c r="AB17" s="14">
        <v>45653</v>
      </c>
    </row>
    <row r="18" spans="1:28" ht="15.75" hidden="1" x14ac:dyDescent="0.25">
      <c r="A18" s="28"/>
      <c r="B18" s="10" t="s">
        <v>56</v>
      </c>
      <c r="C18" s="10">
        <v>-39100</v>
      </c>
      <c r="D18" s="10"/>
      <c r="E18" s="10"/>
      <c r="F18" s="10"/>
      <c r="G18" s="10"/>
      <c r="H18" s="10"/>
      <c r="I18" s="10">
        <f t="shared" si="0"/>
        <v>0</v>
      </c>
      <c r="J18" s="29" t="s">
        <v>40</v>
      </c>
      <c r="K18" s="19"/>
      <c r="L18" s="12">
        <f t="shared" si="1"/>
        <v>0</v>
      </c>
      <c r="M18" s="12"/>
      <c r="N18" s="12"/>
      <c r="O18" s="12">
        <f t="shared" si="2"/>
        <v>0</v>
      </c>
      <c r="P18" s="12"/>
      <c r="Q18" s="12"/>
      <c r="R18" s="12">
        <f t="shared" si="3"/>
        <v>0</v>
      </c>
      <c r="S18" s="12"/>
      <c r="T18" s="12"/>
      <c r="U18" s="12">
        <f t="shared" si="4"/>
        <v>0</v>
      </c>
      <c r="V18" s="12"/>
      <c r="W18" s="12"/>
      <c r="X18" s="12">
        <f t="shared" si="5"/>
        <v>0</v>
      </c>
      <c r="Y18" s="12"/>
      <c r="Z18" s="12"/>
      <c r="AA18" s="13">
        <f t="shared" si="6"/>
        <v>-39100</v>
      </c>
      <c r="AB18" s="14">
        <v>45468</v>
      </c>
    </row>
    <row r="19" spans="1:28" ht="15.75" hidden="1" x14ac:dyDescent="0.25">
      <c r="A19" s="28"/>
      <c r="B19" s="10" t="s">
        <v>56</v>
      </c>
      <c r="C19" s="10">
        <v>-818000</v>
      </c>
      <c r="D19" s="10"/>
      <c r="E19" s="10"/>
      <c r="F19" s="10"/>
      <c r="G19" s="10"/>
      <c r="H19" s="10"/>
      <c r="I19" s="10">
        <f t="shared" si="0"/>
        <v>0</v>
      </c>
      <c r="J19" s="29" t="s">
        <v>40</v>
      </c>
      <c r="K19" s="19"/>
      <c r="L19" s="12">
        <f t="shared" si="1"/>
        <v>0</v>
      </c>
      <c r="M19" s="12"/>
      <c r="N19" s="12"/>
      <c r="O19" s="12">
        <f t="shared" si="2"/>
        <v>0</v>
      </c>
      <c r="P19" s="12"/>
      <c r="Q19" s="12"/>
      <c r="R19" s="12">
        <f t="shared" si="3"/>
        <v>0</v>
      </c>
      <c r="S19" s="12"/>
      <c r="T19" s="12"/>
      <c r="U19" s="12">
        <f t="shared" si="4"/>
        <v>0</v>
      </c>
      <c r="V19" s="12"/>
      <c r="W19" s="12"/>
      <c r="X19" s="12">
        <f t="shared" si="5"/>
        <v>0</v>
      </c>
      <c r="Y19" s="12"/>
      <c r="Z19" s="12"/>
      <c r="AA19" s="13">
        <f t="shared" si="6"/>
        <v>-818000</v>
      </c>
      <c r="AB19" s="14">
        <v>45684</v>
      </c>
    </row>
    <row r="20" spans="1:28" ht="15.75" hidden="1" x14ac:dyDescent="0.25">
      <c r="A20" s="28">
        <v>45706</v>
      </c>
      <c r="B20" s="10" t="s">
        <v>58</v>
      </c>
      <c r="C20" s="10">
        <v>-50000</v>
      </c>
      <c r="D20" s="10" t="s">
        <v>59</v>
      </c>
      <c r="E20" s="10" t="s">
        <v>60</v>
      </c>
      <c r="F20" s="10">
        <v>4</v>
      </c>
      <c r="G20" s="10" t="s">
        <v>61</v>
      </c>
      <c r="H20" s="10"/>
      <c r="I20" s="10">
        <f t="shared" si="0"/>
        <v>0</v>
      </c>
      <c r="J20" s="29" t="s">
        <v>40</v>
      </c>
      <c r="K20" s="19"/>
      <c r="L20" s="12">
        <f t="shared" si="1"/>
        <v>0</v>
      </c>
      <c r="M20" s="12"/>
      <c r="N20" s="12"/>
      <c r="O20" s="12">
        <f t="shared" si="2"/>
        <v>0</v>
      </c>
      <c r="P20" s="12"/>
      <c r="Q20" s="12"/>
      <c r="R20" s="12">
        <f t="shared" si="3"/>
        <v>0</v>
      </c>
      <c r="S20" s="12"/>
      <c r="T20" s="12"/>
      <c r="U20" s="12">
        <f t="shared" si="4"/>
        <v>0</v>
      </c>
      <c r="V20" s="12"/>
      <c r="W20" s="12"/>
      <c r="X20" s="12">
        <f t="shared" si="5"/>
        <v>0</v>
      </c>
      <c r="Y20" s="12"/>
      <c r="Z20" s="12"/>
      <c r="AA20" s="13">
        <f t="shared" si="6"/>
        <v>-50000</v>
      </c>
      <c r="AB20" s="14">
        <v>45706</v>
      </c>
    </row>
    <row r="21" spans="1:28" ht="15.75" hidden="1" x14ac:dyDescent="0.25">
      <c r="A21" s="28">
        <v>45727</v>
      </c>
      <c r="B21" s="10" t="s">
        <v>62</v>
      </c>
      <c r="C21" s="10">
        <v>-4400000</v>
      </c>
      <c r="D21" s="10" t="s">
        <v>28</v>
      </c>
      <c r="E21" s="10" t="s">
        <v>63</v>
      </c>
      <c r="F21" s="10">
        <v>4</v>
      </c>
      <c r="G21" s="10" t="s">
        <v>39</v>
      </c>
      <c r="H21" s="10"/>
      <c r="I21" s="10">
        <f t="shared" si="0"/>
        <v>0</v>
      </c>
      <c r="J21" s="22" t="s">
        <v>40</v>
      </c>
      <c r="K21" s="19"/>
      <c r="L21" s="12">
        <f t="shared" si="1"/>
        <v>0</v>
      </c>
      <c r="M21" s="12"/>
      <c r="N21" s="12"/>
      <c r="O21" s="12">
        <f t="shared" si="2"/>
        <v>0</v>
      </c>
      <c r="P21" s="12"/>
      <c r="Q21" s="12"/>
      <c r="R21" s="12">
        <f t="shared" si="3"/>
        <v>0</v>
      </c>
      <c r="S21" s="12"/>
      <c r="T21" s="12"/>
      <c r="U21" s="12">
        <f t="shared" si="4"/>
        <v>0</v>
      </c>
      <c r="V21" s="12"/>
      <c r="W21" s="12"/>
      <c r="X21" s="12">
        <f t="shared" si="5"/>
        <v>0</v>
      </c>
      <c r="Y21" s="12"/>
      <c r="Z21" s="12"/>
      <c r="AA21" s="13">
        <f t="shared" si="6"/>
        <v>-4400000</v>
      </c>
      <c r="AB21" s="14">
        <v>45693</v>
      </c>
    </row>
    <row r="22" spans="1:28" ht="15.75" hidden="1" x14ac:dyDescent="0.25">
      <c r="A22" s="28">
        <v>45765</v>
      </c>
      <c r="B22" s="10" t="s">
        <v>64</v>
      </c>
      <c r="C22" s="10">
        <v>-520000</v>
      </c>
      <c r="D22" s="10" t="s">
        <v>32</v>
      </c>
      <c r="E22" s="10" t="s">
        <v>65</v>
      </c>
      <c r="F22" s="10">
        <v>5200</v>
      </c>
      <c r="G22" s="10" t="s">
        <v>26</v>
      </c>
      <c r="H22" s="10"/>
      <c r="I22" s="10">
        <f t="shared" si="0"/>
        <v>0</v>
      </c>
      <c r="J22" s="29" t="s">
        <v>40</v>
      </c>
      <c r="K22" s="19"/>
      <c r="L22" s="12">
        <f t="shared" si="1"/>
        <v>0</v>
      </c>
      <c r="M22" s="12"/>
      <c r="N22" s="12"/>
      <c r="O22" s="12">
        <f t="shared" si="2"/>
        <v>0</v>
      </c>
      <c r="P22" s="12"/>
      <c r="Q22" s="12"/>
      <c r="R22" s="12">
        <f t="shared" si="3"/>
        <v>0</v>
      </c>
      <c r="S22" s="12"/>
      <c r="T22" s="12"/>
      <c r="U22" s="12">
        <f t="shared" si="4"/>
        <v>0</v>
      </c>
      <c r="V22" s="12"/>
      <c r="W22" s="12"/>
      <c r="X22" s="12">
        <f t="shared" si="5"/>
        <v>0</v>
      </c>
      <c r="Y22" s="12"/>
      <c r="Z22" s="12"/>
      <c r="AA22" s="13">
        <f t="shared" si="6"/>
        <v>-520000</v>
      </c>
      <c r="AB22" s="14">
        <v>45821</v>
      </c>
    </row>
    <row r="23" spans="1:28" ht="15.75" hidden="1" x14ac:dyDescent="0.25">
      <c r="A23" s="28">
        <v>45813</v>
      </c>
      <c r="B23" s="10" t="s">
        <v>62</v>
      </c>
      <c r="C23" s="10">
        <v>-2700000</v>
      </c>
      <c r="D23" s="10" t="s">
        <v>28</v>
      </c>
      <c r="E23" s="10" t="s">
        <v>66</v>
      </c>
      <c r="F23" s="10">
        <v>200</v>
      </c>
      <c r="G23" s="10" t="s">
        <v>67</v>
      </c>
      <c r="H23" s="10"/>
      <c r="I23" s="10">
        <f t="shared" si="0"/>
        <v>0</v>
      </c>
      <c r="J23" s="22" t="s">
        <v>40</v>
      </c>
      <c r="K23" s="19"/>
      <c r="L23" s="12">
        <f t="shared" si="1"/>
        <v>0</v>
      </c>
      <c r="M23" s="12"/>
      <c r="N23" s="12"/>
      <c r="O23" s="12">
        <f t="shared" si="2"/>
        <v>0</v>
      </c>
      <c r="P23" s="12"/>
      <c r="Q23" s="12"/>
      <c r="R23" s="12">
        <f t="shared" si="3"/>
        <v>0</v>
      </c>
      <c r="S23" s="12"/>
      <c r="T23" s="12"/>
      <c r="U23" s="12">
        <f t="shared" si="4"/>
        <v>0</v>
      </c>
      <c r="V23" s="12"/>
      <c r="W23" s="12"/>
      <c r="X23" s="12">
        <f t="shared" si="5"/>
        <v>0</v>
      </c>
      <c r="Y23" s="12"/>
      <c r="Z23" s="12"/>
      <c r="AA23" s="13">
        <f t="shared" si="6"/>
        <v>-2700000</v>
      </c>
      <c r="AB23" s="14">
        <v>45847</v>
      </c>
    </row>
    <row r="24" spans="1:28" ht="15.75" hidden="1" x14ac:dyDescent="0.25">
      <c r="A24" s="28">
        <v>45817</v>
      </c>
      <c r="B24" s="10" t="s">
        <v>62</v>
      </c>
      <c r="C24" s="10">
        <v>40000000</v>
      </c>
      <c r="D24" s="10" t="s">
        <v>28</v>
      </c>
      <c r="E24" s="10" t="s">
        <v>68</v>
      </c>
      <c r="F24" s="10">
        <v>1000</v>
      </c>
      <c r="G24" s="10" t="s">
        <v>39</v>
      </c>
      <c r="H24" s="10"/>
      <c r="I24" s="10">
        <f t="shared" si="0"/>
        <v>0</v>
      </c>
      <c r="J24" s="29" t="s">
        <v>40</v>
      </c>
      <c r="K24" s="19"/>
      <c r="L24" s="12">
        <f t="shared" si="1"/>
        <v>0</v>
      </c>
      <c r="M24" s="12"/>
      <c r="N24" s="12"/>
      <c r="O24" s="12">
        <f t="shared" si="2"/>
        <v>49000000</v>
      </c>
      <c r="P24" s="12">
        <v>49000000</v>
      </c>
      <c r="Q24" s="12"/>
      <c r="R24" s="12">
        <f t="shared" si="3"/>
        <v>0</v>
      </c>
      <c r="S24" s="12"/>
      <c r="T24" s="12"/>
      <c r="U24" s="12">
        <f t="shared" si="4"/>
        <v>0</v>
      </c>
      <c r="V24" s="12"/>
      <c r="W24" s="12"/>
      <c r="X24" s="12">
        <f t="shared" si="5"/>
        <v>0</v>
      </c>
      <c r="Y24" s="12"/>
      <c r="Z24" s="12"/>
      <c r="AA24" s="13">
        <f t="shared" si="6"/>
        <v>-9000000</v>
      </c>
      <c r="AB24" s="14">
        <v>45866</v>
      </c>
    </row>
    <row r="25" spans="1:28" ht="16.5" hidden="1" thickBot="1" x14ac:dyDescent="0.3">
      <c r="A25" s="30">
        <v>45834</v>
      </c>
      <c r="B25" s="31" t="s">
        <v>69</v>
      </c>
      <c r="C25" s="31">
        <v>3000000</v>
      </c>
      <c r="D25" s="31" t="s">
        <v>28</v>
      </c>
      <c r="E25" s="31" t="s">
        <v>70</v>
      </c>
      <c r="F25" s="31">
        <v>60</v>
      </c>
      <c r="G25" s="31" t="s">
        <v>36</v>
      </c>
      <c r="H25" s="31"/>
      <c r="I25" s="31">
        <f t="shared" si="0"/>
        <v>0</v>
      </c>
      <c r="J25" s="51" t="s">
        <v>40</v>
      </c>
      <c r="K25" s="31"/>
      <c r="L25" s="34">
        <f t="shared" si="1"/>
        <v>0</v>
      </c>
      <c r="M25" s="34"/>
      <c r="N25" s="34"/>
      <c r="O25" s="34">
        <f t="shared" si="2"/>
        <v>3129000</v>
      </c>
      <c r="P25" s="34">
        <v>3000000</v>
      </c>
      <c r="Q25" s="34">
        <v>129000</v>
      </c>
      <c r="R25" s="34">
        <f t="shared" si="3"/>
        <v>0</v>
      </c>
      <c r="S25" s="34"/>
      <c r="T25" s="34"/>
      <c r="U25" s="34">
        <f t="shared" si="4"/>
        <v>0</v>
      </c>
      <c r="V25" s="34"/>
      <c r="W25" s="34"/>
      <c r="X25" s="34">
        <f t="shared" si="5"/>
        <v>0</v>
      </c>
      <c r="Y25" s="34"/>
      <c r="Z25" s="34"/>
      <c r="AA25" s="35">
        <f t="shared" si="6"/>
        <v>-129000</v>
      </c>
      <c r="AB25" s="36">
        <v>45841</v>
      </c>
    </row>
    <row r="26" spans="1:28" ht="16.5" hidden="1" thickBot="1" x14ac:dyDescent="0.3">
      <c r="A26" s="53">
        <v>45866</v>
      </c>
      <c r="B26" s="54" t="s">
        <v>72</v>
      </c>
      <c r="C26" s="54"/>
      <c r="D26" s="54" t="s">
        <v>32</v>
      </c>
      <c r="E26" s="54" t="s">
        <v>73</v>
      </c>
      <c r="F26" s="54">
        <v>125</v>
      </c>
      <c r="G26" s="54" t="s">
        <v>26</v>
      </c>
      <c r="H26" s="54">
        <v>2460</v>
      </c>
      <c r="I26" s="54">
        <f t="shared" si="0"/>
        <v>307500</v>
      </c>
      <c r="J26" s="55" t="s">
        <v>40</v>
      </c>
      <c r="K26" s="54"/>
      <c r="L26" s="56">
        <f t="shared" si="1"/>
        <v>0</v>
      </c>
      <c r="M26" s="56"/>
      <c r="N26" s="56"/>
      <c r="O26" s="56">
        <f t="shared" si="2"/>
        <v>0</v>
      </c>
      <c r="P26" s="56"/>
      <c r="Q26" s="56"/>
      <c r="R26" s="56">
        <f t="shared" si="3"/>
        <v>0</v>
      </c>
      <c r="S26" s="56"/>
      <c r="T26" s="56"/>
      <c r="U26" s="56">
        <f t="shared" si="4"/>
        <v>370000</v>
      </c>
      <c r="V26" s="56">
        <v>370000</v>
      </c>
      <c r="W26" s="56"/>
      <c r="X26" s="56">
        <f t="shared" si="5"/>
        <v>0</v>
      </c>
      <c r="Y26" s="56"/>
      <c r="Z26" s="56"/>
      <c r="AA26" s="57">
        <f t="shared" si="6"/>
        <v>-62500</v>
      </c>
      <c r="AB26" s="58">
        <v>45866</v>
      </c>
    </row>
    <row r="27" spans="1:28" ht="16.5" hidden="1" thickBot="1" x14ac:dyDescent="0.3">
      <c r="A27" s="37">
        <v>45874</v>
      </c>
      <c r="B27" s="38" t="s">
        <v>459</v>
      </c>
      <c r="C27" s="38"/>
      <c r="D27" s="38" t="s">
        <v>28</v>
      </c>
      <c r="E27" s="38" t="s">
        <v>75</v>
      </c>
      <c r="F27" s="38">
        <v>20</v>
      </c>
      <c r="G27" s="38" t="s">
        <v>36</v>
      </c>
      <c r="H27" s="38">
        <v>60000</v>
      </c>
      <c r="I27" s="38">
        <f t="shared" si="0"/>
        <v>1200000</v>
      </c>
      <c r="J27" s="39" t="s">
        <v>113</v>
      </c>
      <c r="K27" s="38"/>
      <c r="L27" s="41">
        <f t="shared" si="1"/>
        <v>1200000</v>
      </c>
      <c r="M27" s="41">
        <v>1200000</v>
      </c>
      <c r="N27" s="41"/>
      <c r="O27" s="41">
        <f t="shared" si="2"/>
        <v>0</v>
      </c>
      <c r="P27" s="41"/>
      <c r="Q27" s="41"/>
      <c r="R27" s="41">
        <f t="shared" si="3"/>
        <v>0</v>
      </c>
      <c r="S27" s="41"/>
      <c r="T27" s="41"/>
      <c r="U27" s="41">
        <f t="shared" si="4"/>
        <v>0</v>
      </c>
      <c r="V27" s="41"/>
      <c r="W27" s="41"/>
      <c r="X27" s="41">
        <f t="shared" si="5"/>
        <v>0</v>
      </c>
      <c r="Y27" s="41"/>
      <c r="Z27" s="41"/>
      <c r="AA27" s="42">
        <f t="shared" si="6"/>
        <v>0</v>
      </c>
      <c r="AB27" s="43">
        <v>45874</v>
      </c>
    </row>
    <row r="28" spans="1:28" ht="15.75" hidden="1" x14ac:dyDescent="0.25">
      <c r="A28" s="44">
        <v>45902</v>
      </c>
      <c r="B28" s="45" t="s">
        <v>79</v>
      </c>
      <c r="C28" s="45"/>
      <c r="D28" s="45" t="s">
        <v>28</v>
      </c>
      <c r="E28" s="45" t="s">
        <v>80</v>
      </c>
      <c r="F28" s="45">
        <v>23</v>
      </c>
      <c r="G28" s="45" t="s">
        <v>36</v>
      </c>
      <c r="H28" s="45">
        <v>43000</v>
      </c>
      <c r="I28" s="45">
        <f t="shared" si="0"/>
        <v>989000</v>
      </c>
      <c r="J28" s="59" t="s">
        <v>40</v>
      </c>
      <c r="K28" s="45"/>
      <c r="L28" s="48">
        <f t="shared" si="1"/>
        <v>0</v>
      </c>
      <c r="M28" s="48"/>
      <c r="N28" s="48"/>
      <c r="O28" s="48">
        <f t="shared" si="2"/>
        <v>0</v>
      </c>
      <c r="P28" s="48"/>
      <c r="Q28" s="48"/>
      <c r="R28" s="48">
        <f t="shared" si="3"/>
        <v>0</v>
      </c>
      <c r="S28" s="48"/>
      <c r="T28" s="48"/>
      <c r="U28" s="48">
        <f t="shared" si="4"/>
        <v>1053000</v>
      </c>
      <c r="V28" s="48">
        <v>1053000</v>
      </c>
      <c r="W28" s="48"/>
      <c r="X28" s="48">
        <f t="shared" si="5"/>
        <v>0</v>
      </c>
      <c r="Y28" s="48"/>
      <c r="Z28" s="48"/>
      <c r="AA28" s="49">
        <f t="shared" si="6"/>
        <v>-64000</v>
      </c>
      <c r="AB28" s="50">
        <v>45902</v>
      </c>
    </row>
    <row r="29" spans="1:28" ht="15.75" hidden="1" x14ac:dyDescent="0.25">
      <c r="A29" s="28">
        <v>45904</v>
      </c>
      <c r="B29" s="10" t="s">
        <v>81</v>
      </c>
      <c r="C29" s="10"/>
      <c r="D29" s="10" t="s">
        <v>32</v>
      </c>
      <c r="E29" s="10" t="s">
        <v>80</v>
      </c>
      <c r="F29" s="60">
        <v>45.2</v>
      </c>
      <c r="G29" s="10" t="s">
        <v>36</v>
      </c>
      <c r="H29" s="60">
        <v>43000</v>
      </c>
      <c r="I29" s="10">
        <f t="shared" si="0"/>
        <v>1943600.0000000002</v>
      </c>
      <c r="J29" s="29" t="s">
        <v>113</v>
      </c>
      <c r="K29" s="61"/>
      <c r="L29" s="12">
        <f t="shared" si="1"/>
        <v>1874600</v>
      </c>
      <c r="M29" s="12">
        <v>1874600</v>
      </c>
      <c r="N29" s="12"/>
      <c r="O29" s="12">
        <f t="shared" si="2"/>
        <v>0</v>
      </c>
      <c r="P29" s="12"/>
      <c r="Q29" s="12"/>
      <c r="R29" s="12">
        <f t="shared" si="3"/>
        <v>0</v>
      </c>
      <c r="S29" s="12"/>
      <c r="T29" s="12"/>
      <c r="U29" s="12">
        <f t="shared" si="4"/>
        <v>69000</v>
      </c>
      <c r="V29" s="12">
        <v>69000</v>
      </c>
      <c r="W29" s="12"/>
      <c r="X29" s="12">
        <f t="shared" si="5"/>
        <v>0</v>
      </c>
      <c r="Y29" s="12"/>
      <c r="Z29" s="12"/>
      <c r="AA29" s="13">
        <f t="shared" si="6"/>
        <v>2.3283064365386963E-10</v>
      </c>
      <c r="AB29" s="14">
        <v>45939</v>
      </c>
    </row>
    <row r="30" spans="1:28" ht="15.75" hidden="1" x14ac:dyDescent="0.25">
      <c r="A30" s="28">
        <v>45905</v>
      </c>
      <c r="B30" s="10" t="s">
        <v>83</v>
      </c>
      <c r="C30" s="10"/>
      <c r="D30" s="10" t="s">
        <v>32</v>
      </c>
      <c r="E30" s="10" t="s">
        <v>84</v>
      </c>
      <c r="F30" s="10">
        <v>50.2</v>
      </c>
      <c r="G30" s="10" t="s">
        <v>36</v>
      </c>
      <c r="H30" s="10">
        <v>42000</v>
      </c>
      <c r="I30" s="10">
        <f t="shared" si="0"/>
        <v>2108400</v>
      </c>
      <c r="J30" s="29" t="s">
        <v>40</v>
      </c>
      <c r="K30" s="10"/>
      <c r="L30" s="12">
        <f t="shared" si="1"/>
        <v>0</v>
      </c>
      <c r="M30" s="12"/>
      <c r="N30" s="12"/>
      <c r="O30" s="12">
        <f t="shared" si="2"/>
        <v>0</v>
      </c>
      <c r="P30" s="12"/>
      <c r="Q30" s="12"/>
      <c r="R30" s="12">
        <f t="shared" si="3"/>
        <v>0</v>
      </c>
      <c r="S30" s="12"/>
      <c r="T30" s="12"/>
      <c r="U30" s="12">
        <f t="shared" si="4"/>
        <v>2142000</v>
      </c>
      <c r="V30" s="12">
        <v>2142000</v>
      </c>
      <c r="W30" s="12"/>
      <c r="X30" s="12">
        <f t="shared" si="5"/>
        <v>0</v>
      </c>
      <c r="Y30" s="12"/>
      <c r="Z30" s="12"/>
      <c r="AA30" s="13">
        <f t="shared" si="6"/>
        <v>-33600</v>
      </c>
      <c r="AB30" s="14">
        <v>45905</v>
      </c>
    </row>
    <row r="31" spans="1:28" ht="15.75" hidden="1" x14ac:dyDescent="0.25">
      <c r="A31" s="28">
        <v>45908</v>
      </c>
      <c r="B31" s="10" t="s">
        <v>85</v>
      </c>
      <c r="C31" s="10"/>
      <c r="D31" s="10" t="s">
        <v>32</v>
      </c>
      <c r="E31" s="10" t="s">
        <v>86</v>
      </c>
      <c r="F31" s="10">
        <v>28.5</v>
      </c>
      <c r="G31" s="10" t="s">
        <v>36</v>
      </c>
      <c r="H31" s="10">
        <v>43000</v>
      </c>
      <c r="I31" s="10">
        <f t="shared" si="0"/>
        <v>1225500</v>
      </c>
      <c r="J31" s="29" t="s">
        <v>40</v>
      </c>
      <c r="K31" s="10"/>
      <c r="L31" s="12">
        <f t="shared" si="1"/>
        <v>0</v>
      </c>
      <c r="M31" s="12"/>
      <c r="N31" s="12"/>
      <c r="O31" s="12">
        <f t="shared" si="2"/>
        <v>1257500</v>
      </c>
      <c r="P31" s="12">
        <v>1257500</v>
      </c>
      <c r="Q31" s="12"/>
      <c r="R31" s="12">
        <f t="shared" si="3"/>
        <v>0</v>
      </c>
      <c r="S31" s="12"/>
      <c r="T31" s="12"/>
      <c r="U31" s="12">
        <f t="shared" si="4"/>
        <v>0</v>
      </c>
      <c r="V31" s="12"/>
      <c r="W31" s="12"/>
      <c r="X31" s="12">
        <f t="shared" si="5"/>
        <v>0</v>
      </c>
      <c r="Y31" s="12"/>
      <c r="Z31" s="12"/>
      <c r="AA31" s="13">
        <f t="shared" si="6"/>
        <v>-32000</v>
      </c>
      <c r="AB31" s="14">
        <v>45908</v>
      </c>
    </row>
    <row r="32" spans="1:28" ht="15.75" hidden="1" x14ac:dyDescent="0.25">
      <c r="A32" s="28">
        <v>45915</v>
      </c>
      <c r="B32" s="10" t="s">
        <v>87</v>
      </c>
      <c r="C32" s="10"/>
      <c r="D32" s="10" t="s">
        <v>28</v>
      </c>
      <c r="E32" s="10" t="s">
        <v>88</v>
      </c>
      <c r="F32" s="10">
        <v>25</v>
      </c>
      <c r="G32" s="10" t="s">
        <v>36</v>
      </c>
      <c r="H32" s="10">
        <v>120000</v>
      </c>
      <c r="I32" s="10">
        <f t="shared" si="0"/>
        <v>3000000</v>
      </c>
      <c r="J32" s="52" t="s">
        <v>30</v>
      </c>
      <c r="K32" s="10"/>
      <c r="L32" s="12">
        <f t="shared" si="1"/>
        <v>2990000</v>
      </c>
      <c r="M32" s="12">
        <v>2990000</v>
      </c>
      <c r="N32" s="12"/>
      <c r="O32" s="12">
        <f t="shared" si="2"/>
        <v>0</v>
      </c>
      <c r="P32" s="12"/>
      <c r="Q32" s="12"/>
      <c r="R32" s="12">
        <f t="shared" si="3"/>
        <v>0</v>
      </c>
      <c r="S32" s="12"/>
      <c r="T32" s="12"/>
      <c r="U32" s="12">
        <f t="shared" si="4"/>
        <v>0</v>
      </c>
      <c r="V32" s="12"/>
      <c r="W32" s="12"/>
      <c r="X32" s="12">
        <f t="shared" si="5"/>
        <v>0</v>
      </c>
      <c r="Y32" s="12"/>
      <c r="Z32" s="12"/>
      <c r="AA32" s="13">
        <f t="shared" si="6"/>
        <v>10000</v>
      </c>
      <c r="AB32" s="14">
        <v>45915</v>
      </c>
    </row>
    <row r="33" spans="1:28" ht="15.75" hidden="1" x14ac:dyDescent="0.25">
      <c r="A33" s="28">
        <v>45923</v>
      </c>
      <c r="B33" s="10" t="s">
        <v>94</v>
      </c>
      <c r="C33" s="10"/>
      <c r="D33" s="10" t="s">
        <v>493</v>
      </c>
      <c r="E33" s="10" t="s">
        <v>95</v>
      </c>
      <c r="F33" s="10">
        <v>632</v>
      </c>
      <c r="G33" s="10" t="s">
        <v>36</v>
      </c>
      <c r="H33" s="10">
        <v>14300</v>
      </c>
      <c r="I33" s="10">
        <f t="shared" si="0"/>
        <v>9037600</v>
      </c>
      <c r="J33" s="52" t="s">
        <v>90</v>
      </c>
      <c r="K33" s="63"/>
      <c r="L33" s="12">
        <f t="shared" si="1"/>
        <v>5185000</v>
      </c>
      <c r="M33" s="12">
        <v>5185000</v>
      </c>
      <c r="N33" s="12"/>
      <c r="O33" s="12">
        <f t="shared" si="2"/>
        <v>0</v>
      </c>
      <c r="P33" s="12"/>
      <c r="Q33" s="12"/>
      <c r="R33" s="12">
        <f t="shared" si="3"/>
        <v>0</v>
      </c>
      <c r="S33" s="12"/>
      <c r="T33" s="12"/>
      <c r="U33" s="12">
        <f t="shared" si="4"/>
        <v>0</v>
      </c>
      <c r="V33" s="12"/>
      <c r="W33" s="12"/>
      <c r="X33" s="12">
        <f t="shared" si="5"/>
        <v>0</v>
      </c>
      <c r="Y33" s="12"/>
      <c r="Z33" s="12"/>
      <c r="AA33" s="13">
        <f t="shared" si="6"/>
        <v>3852600</v>
      </c>
      <c r="AB33" s="14">
        <v>45929</v>
      </c>
    </row>
    <row r="34" spans="1:28" ht="15.75" hidden="1" x14ac:dyDescent="0.25">
      <c r="A34" s="28">
        <v>45923</v>
      </c>
      <c r="B34" s="10" t="s">
        <v>97</v>
      </c>
      <c r="C34" s="10"/>
      <c r="D34" s="10" t="s">
        <v>32</v>
      </c>
      <c r="E34" s="10" t="s">
        <v>98</v>
      </c>
      <c r="F34" s="10">
        <v>8000</v>
      </c>
      <c r="G34" s="10" t="s">
        <v>26</v>
      </c>
      <c r="H34" s="10">
        <v>1900</v>
      </c>
      <c r="I34" s="10">
        <f t="shared" si="0"/>
        <v>15200000</v>
      </c>
      <c r="J34" s="29" t="s">
        <v>110</v>
      </c>
      <c r="K34" s="71"/>
      <c r="L34" s="12">
        <f t="shared" si="1"/>
        <v>0</v>
      </c>
      <c r="M34" s="12"/>
      <c r="N34" s="12"/>
      <c r="O34" s="12">
        <f t="shared" si="2"/>
        <v>15200000</v>
      </c>
      <c r="P34" s="12">
        <v>15200000</v>
      </c>
      <c r="Q34" s="12"/>
      <c r="R34" s="12">
        <f t="shared" si="3"/>
        <v>0</v>
      </c>
      <c r="S34" s="12"/>
      <c r="T34" s="12"/>
      <c r="U34" s="12">
        <f t="shared" si="4"/>
        <v>0</v>
      </c>
      <c r="V34" s="12"/>
      <c r="W34" s="12"/>
      <c r="X34" s="12">
        <f t="shared" si="5"/>
        <v>0</v>
      </c>
      <c r="Y34" s="12"/>
      <c r="Z34" s="12"/>
      <c r="AA34" s="13">
        <f t="shared" si="6"/>
        <v>0</v>
      </c>
      <c r="AB34" s="14">
        <v>46055</v>
      </c>
    </row>
    <row r="35" spans="1:28" ht="16.5" hidden="1" thickBot="1" x14ac:dyDescent="0.3">
      <c r="A35" s="30">
        <v>45930</v>
      </c>
      <c r="B35" s="31" t="s">
        <v>94</v>
      </c>
      <c r="C35" s="31"/>
      <c r="D35" s="31" t="s">
        <v>493</v>
      </c>
      <c r="E35" s="31" t="s">
        <v>100</v>
      </c>
      <c r="F35" s="31">
        <v>644</v>
      </c>
      <c r="G35" s="31" t="s">
        <v>36</v>
      </c>
      <c r="H35" s="31">
        <v>14300</v>
      </c>
      <c r="I35" s="31">
        <f t="shared" si="0"/>
        <v>9209200</v>
      </c>
      <c r="J35" s="64" t="s">
        <v>30</v>
      </c>
      <c r="K35" s="72"/>
      <c r="L35" s="34">
        <f t="shared" si="1"/>
        <v>0</v>
      </c>
      <c r="M35" s="34"/>
      <c r="N35" s="34"/>
      <c r="O35" s="34">
        <f t="shared" si="2"/>
        <v>0</v>
      </c>
      <c r="P35" s="34"/>
      <c r="Q35" s="34"/>
      <c r="R35" s="34">
        <f t="shared" si="3"/>
        <v>0</v>
      </c>
      <c r="S35" s="34"/>
      <c r="T35" s="34"/>
      <c r="U35" s="34">
        <f t="shared" si="4"/>
        <v>0</v>
      </c>
      <c r="V35" s="34"/>
      <c r="W35" s="34"/>
      <c r="X35" s="34">
        <f t="shared" si="5"/>
        <v>0</v>
      </c>
      <c r="Y35" s="34"/>
      <c r="Z35" s="34"/>
      <c r="AA35" s="35">
        <f t="shared" si="6"/>
        <v>9209200</v>
      </c>
      <c r="AB35" s="36"/>
    </row>
    <row r="36" spans="1:28" ht="15.75" hidden="1" x14ac:dyDescent="0.25">
      <c r="A36" s="44">
        <v>45933</v>
      </c>
      <c r="B36" s="45" t="s">
        <v>459</v>
      </c>
      <c r="C36" s="45"/>
      <c r="D36" s="45" t="s">
        <v>28</v>
      </c>
      <c r="E36" s="45" t="s">
        <v>75</v>
      </c>
      <c r="F36" s="110">
        <v>20</v>
      </c>
      <c r="G36" s="45" t="s">
        <v>36</v>
      </c>
      <c r="H36" s="110">
        <v>60000</v>
      </c>
      <c r="I36" s="45">
        <f t="shared" si="0"/>
        <v>1200000</v>
      </c>
      <c r="J36" s="59" t="s">
        <v>113</v>
      </c>
      <c r="K36" s="110"/>
      <c r="L36" s="48">
        <f t="shared" si="1"/>
        <v>1100000</v>
      </c>
      <c r="M36" s="48">
        <v>1100000</v>
      </c>
      <c r="N36" s="48"/>
      <c r="O36" s="48">
        <f t="shared" si="2"/>
        <v>0</v>
      </c>
      <c r="P36" s="48"/>
      <c r="Q36" s="48"/>
      <c r="R36" s="48">
        <f t="shared" si="3"/>
        <v>0</v>
      </c>
      <c r="S36" s="48"/>
      <c r="T36" s="48"/>
      <c r="U36" s="48">
        <f t="shared" si="4"/>
        <v>0</v>
      </c>
      <c r="V36" s="48"/>
      <c r="W36" s="48"/>
      <c r="X36" s="48">
        <f t="shared" si="5"/>
        <v>0</v>
      </c>
      <c r="Y36" s="48"/>
      <c r="Z36" s="48"/>
      <c r="AA36" s="49">
        <f t="shared" si="6"/>
        <v>100000</v>
      </c>
      <c r="AB36" s="50">
        <v>45933</v>
      </c>
    </row>
    <row r="37" spans="1:28" ht="15.75" hidden="1" x14ac:dyDescent="0.25">
      <c r="A37" s="28">
        <v>45934</v>
      </c>
      <c r="B37" s="10" t="s">
        <v>89</v>
      </c>
      <c r="C37" s="10"/>
      <c r="D37" s="10" t="s">
        <v>32</v>
      </c>
      <c r="E37" s="10" t="s">
        <v>104</v>
      </c>
      <c r="F37" s="10">
        <v>5000</v>
      </c>
      <c r="G37" s="10" t="s">
        <v>26</v>
      </c>
      <c r="H37" s="10">
        <v>1900</v>
      </c>
      <c r="I37" s="10">
        <f t="shared" si="0"/>
        <v>9500000</v>
      </c>
      <c r="J37" s="29" t="s">
        <v>110</v>
      </c>
      <c r="K37" s="60"/>
      <c r="L37" s="12">
        <f t="shared" si="1"/>
        <v>0</v>
      </c>
      <c r="M37" s="12"/>
      <c r="N37" s="12"/>
      <c r="O37" s="12">
        <f t="shared" si="2"/>
        <v>9500000</v>
      </c>
      <c r="P37" s="12">
        <v>9500000</v>
      </c>
      <c r="Q37" s="12"/>
      <c r="R37" s="12">
        <f t="shared" si="3"/>
        <v>0</v>
      </c>
      <c r="S37" s="12"/>
      <c r="T37" s="12"/>
      <c r="U37" s="12">
        <f t="shared" si="4"/>
        <v>0</v>
      </c>
      <c r="V37" s="12"/>
      <c r="W37" s="12"/>
      <c r="X37" s="12">
        <f t="shared" si="5"/>
        <v>0</v>
      </c>
      <c r="Y37" s="12"/>
      <c r="Z37" s="12"/>
      <c r="AA37" s="13">
        <f t="shared" si="6"/>
        <v>0</v>
      </c>
      <c r="AB37" s="14">
        <v>46035</v>
      </c>
    </row>
    <row r="38" spans="1:28" ht="15.75" hidden="1" x14ac:dyDescent="0.25">
      <c r="A38" s="28">
        <v>45945</v>
      </c>
      <c r="B38" s="10" t="s">
        <v>106</v>
      </c>
      <c r="C38" s="10"/>
      <c r="D38" s="10" t="s">
        <v>32</v>
      </c>
      <c r="E38" s="10" t="s">
        <v>107</v>
      </c>
      <c r="F38" s="10">
        <v>100</v>
      </c>
      <c r="G38" s="10" t="s">
        <v>36</v>
      </c>
      <c r="H38" s="10">
        <v>60000</v>
      </c>
      <c r="I38" s="10">
        <f t="shared" si="0"/>
        <v>6000000</v>
      </c>
      <c r="J38" s="29" t="s">
        <v>40</v>
      </c>
      <c r="K38" s="10"/>
      <c r="L38" s="12">
        <f t="shared" si="1"/>
        <v>0</v>
      </c>
      <c r="M38" s="12"/>
      <c r="N38" s="12"/>
      <c r="O38" s="12">
        <f t="shared" si="2"/>
        <v>7120000</v>
      </c>
      <c r="P38" s="12">
        <v>7120000</v>
      </c>
      <c r="Q38" s="12"/>
      <c r="R38" s="12">
        <f t="shared" si="3"/>
        <v>0</v>
      </c>
      <c r="S38" s="12"/>
      <c r="T38" s="12"/>
      <c r="U38" s="12">
        <f t="shared" si="4"/>
        <v>0</v>
      </c>
      <c r="V38" s="12"/>
      <c r="W38" s="12"/>
      <c r="X38" s="12">
        <f t="shared" si="5"/>
        <v>0</v>
      </c>
      <c r="Y38" s="12"/>
      <c r="Z38" s="12"/>
      <c r="AA38" s="13">
        <f t="shared" si="6"/>
        <v>-1120000</v>
      </c>
      <c r="AB38" s="14">
        <v>45952</v>
      </c>
    </row>
    <row r="39" spans="1:28" ht="15.75" hidden="1" x14ac:dyDescent="0.25">
      <c r="A39" s="28">
        <v>45945</v>
      </c>
      <c r="B39" s="10" t="s">
        <v>109</v>
      </c>
      <c r="C39" s="10"/>
      <c r="D39" s="10" t="s">
        <v>28</v>
      </c>
      <c r="E39" s="10" t="s">
        <v>107</v>
      </c>
      <c r="F39" s="10">
        <v>20</v>
      </c>
      <c r="G39" s="10" t="s">
        <v>36</v>
      </c>
      <c r="H39" s="10">
        <v>55000</v>
      </c>
      <c r="I39" s="10">
        <f t="shared" si="0"/>
        <v>1100000</v>
      </c>
      <c r="J39" s="70" t="s">
        <v>90</v>
      </c>
      <c r="K39" s="63"/>
      <c r="L39" s="12">
        <f t="shared" si="1"/>
        <v>0</v>
      </c>
      <c r="M39" s="12"/>
      <c r="N39" s="12"/>
      <c r="O39" s="12">
        <f t="shared" si="2"/>
        <v>625100</v>
      </c>
      <c r="P39" s="12">
        <v>625100</v>
      </c>
      <c r="Q39" s="12"/>
      <c r="R39" s="12">
        <f t="shared" si="3"/>
        <v>0</v>
      </c>
      <c r="S39" s="12"/>
      <c r="T39" s="12"/>
      <c r="U39" s="12">
        <f t="shared" si="4"/>
        <v>0</v>
      </c>
      <c r="V39" s="12"/>
      <c r="W39" s="12"/>
      <c r="X39" s="12">
        <f t="shared" si="5"/>
        <v>0</v>
      </c>
      <c r="Y39" s="12"/>
      <c r="Z39" s="12"/>
      <c r="AA39" s="13">
        <f t="shared" si="6"/>
        <v>474900</v>
      </c>
      <c r="AB39" s="14">
        <v>45979</v>
      </c>
    </row>
    <row r="40" spans="1:28" ht="15.75" hidden="1" x14ac:dyDescent="0.25">
      <c r="A40" s="28">
        <v>45948</v>
      </c>
      <c r="B40" s="10" t="s">
        <v>459</v>
      </c>
      <c r="C40" s="10"/>
      <c r="D40" s="10" t="s">
        <v>32</v>
      </c>
      <c r="E40" s="10" t="s">
        <v>75</v>
      </c>
      <c r="F40" s="10">
        <v>20</v>
      </c>
      <c r="G40" s="10" t="s">
        <v>36</v>
      </c>
      <c r="H40" s="10">
        <v>60000</v>
      </c>
      <c r="I40" s="10">
        <f t="shared" si="0"/>
        <v>1200000</v>
      </c>
      <c r="J40" s="52" t="s">
        <v>76</v>
      </c>
      <c r="K40" s="10"/>
      <c r="L40" s="12">
        <f t="shared" si="1"/>
        <v>0</v>
      </c>
      <c r="M40" s="12"/>
      <c r="N40" s="12"/>
      <c r="O40" s="12">
        <f t="shared" si="2"/>
        <v>0</v>
      </c>
      <c r="P40" s="12"/>
      <c r="Q40" s="12"/>
      <c r="R40" s="12">
        <f t="shared" si="3"/>
        <v>0</v>
      </c>
      <c r="S40" s="12"/>
      <c r="T40" s="12"/>
      <c r="U40" s="12">
        <f t="shared" si="4"/>
        <v>0</v>
      </c>
      <c r="V40" s="12"/>
      <c r="W40" s="12"/>
      <c r="X40" s="12">
        <f t="shared" si="5"/>
        <v>0</v>
      </c>
      <c r="Y40" s="12"/>
      <c r="Z40" s="12"/>
      <c r="AA40" s="13">
        <f t="shared" si="6"/>
        <v>1200000</v>
      </c>
      <c r="AB40" s="14"/>
    </row>
    <row r="41" spans="1:28" ht="15.75" hidden="1" x14ac:dyDescent="0.25">
      <c r="A41" s="28">
        <v>45955</v>
      </c>
      <c r="B41" s="10" t="s">
        <v>81</v>
      </c>
      <c r="C41" s="10"/>
      <c r="D41" s="10" t="s">
        <v>32</v>
      </c>
      <c r="E41" s="10" t="s">
        <v>119</v>
      </c>
      <c r="F41" s="10">
        <v>25</v>
      </c>
      <c r="G41" s="10" t="s">
        <v>36</v>
      </c>
      <c r="H41" s="10">
        <v>155000</v>
      </c>
      <c r="I41" s="10">
        <f t="shared" si="0"/>
        <v>3875000</v>
      </c>
      <c r="J41" s="52" t="s">
        <v>30</v>
      </c>
      <c r="K41" s="63"/>
      <c r="L41" s="12">
        <f t="shared" si="1"/>
        <v>0</v>
      </c>
      <c r="M41" s="12"/>
      <c r="N41" s="12"/>
      <c r="O41" s="12">
        <f t="shared" si="2"/>
        <v>0</v>
      </c>
      <c r="P41" s="12"/>
      <c r="Q41" s="12"/>
      <c r="R41" s="12">
        <f t="shared" si="3"/>
        <v>0</v>
      </c>
      <c r="S41" s="12"/>
      <c r="T41" s="12"/>
      <c r="U41" s="12">
        <f t="shared" si="4"/>
        <v>2931000</v>
      </c>
      <c r="V41" s="12">
        <v>2931000</v>
      </c>
      <c r="W41" s="12"/>
      <c r="X41" s="12">
        <f t="shared" si="5"/>
        <v>0</v>
      </c>
      <c r="Y41" s="12"/>
      <c r="Z41" s="12"/>
      <c r="AA41" s="13">
        <f t="shared" si="6"/>
        <v>944000</v>
      </c>
      <c r="AB41" s="14">
        <v>46071</v>
      </c>
    </row>
    <row r="42" spans="1:28" ht="15.75" hidden="1" x14ac:dyDescent="0.25">
      <c r="A42" s="28">
        <v>45955</v>
      </c>
      <c r="B42" s="10" t="s">
        <v>94</v>
      </c>
      <c r="C42" s="10"/>
      <c r="D42" s="10" t="s">
        <v>32</v>
      </c>
      <c r="E42" s="10" t="s">
        <v>88</v>
      </c>
      <c r="F42" s="10">
        <v>25</v>
      </c>
      <c r="G42" s="10" t="s">
        <v>36</v>
      </c>
      <c r="H42" s="10">
        <v>125000</v>
      </c>
      <c r="I42" s="10">
        <f t="shared" si="0"/>
        <v>3125000</v>
      </c>
      <c r="J42" s="52" t="s">
        <v>30</v>
      </c>
      <c r="K42" s="63"/>
      <c r="L42" s="12">
        <f t="shared" si="1"/>
        <v>0</v>
      </c>
      <c r="M42" s="12"/>
      <c r="N42" s="12"/>
      <c r="O42" s="12">
        <f t="shared" si="2"/>
        <v>0</v>
      </c>
      <c r="P42" s="12"/>
      <c r="Q42" s="12"/>
      <c r="R42" s="12">
        <f t="shared" si="3"/>
        <v>0</v>
      </c>
      <c r="S42" s="12"/>
      <c r="T42" s="12"/>
      <c r="U42" s="12">
        <f t="shared" si="4"/>
        <v>0</v>
      </c>
      <c r="V42" s="12"/>
      <c r="W42" s="12"/>
      <c r="X42" s="12">
        <f t="shared" si="5"/>
        <v>0</v>
      </c>
      <c r="Y42" s="12"/>
      <c r="Z42" s="12"/>
      <c r="AA42" s="13">
        <f t="shared" si="6"/>
        <v>3125000</v>
      </c>
      <c r="AB42" s="14"/>
    </row>
    <row r="43" spans="1:28" ht="16.5" hidden="1" thickBot="1" x14ac:dyDescent="0.3">
      <c r="A43" s="30">
        <v>45961</v>
      </c>
      <c r="B43" s="31" t="s">
        <v>124</v>
      </c>
      <c r="C43" s="31"/>
      <c r="D43" s="31" t="s">
        <v>32</v>
      </c>
      <c r="E43" s="31" t="s">
        <v>125</v>
      </c>
      <c r="F43" s="31">
        <v>12.3</v>
      </c>
      <c r="G43" s="31" t="s">
        <v>36</v>
      </c>
      <c r="H43" s="31">
        <v>200000</v>
      </c>
      <c r="I43" s="31">
        <f t="shared" si="0"/>
        <v>2460000</v>
      </c>
      <c r="J43" s="64" t="s">
        <v>90</v>
      </c>
      <c r="K43" s="72"/>
      <c r="L43" s="34">
        <f t="shared" si="1"/>
        <v>0</v>
      </c>
      <c r="M43" s="34"/>
      <c r="N43" s="34"/>
      <c r="O43" s="34">
        <f t="shared" si="2"/>
        <v>2080000</v>
      </c>
      <c r="P43" s="34">
        <v>2080000</v>
      </c>
      <c r="Q43" s="34"/>
      <c r="R43" s="34">
        <f t="shared" si="3"/>
        <v>0</v>
      </c>
      <c r="S43" s="34"/>
      <c r="T43" s="34"/>
      <c r="U43" s="34">
        <f t="shared" si="4"/>
        <v>0</v>
      </c>
      <c r="V43" s="34"/>
      <c r="W43" s="34"/>
      <c r="X43" s="34">
        <f t="shared" si="5"/>
        <v>0</v>
      </c>
      <c r="Y43" s="34"/>
      <c r="Z43" s="34"/>
      <c r="AA43" s="35">
        <f t="shared" si="6"/>
        <v>380000</v>
      </c>
      <c r="AB43" s="36">
        <v>45972</v>
      </c>
    </row>
    <row r="44" spans="1:28" ht="15.75" hidden="1" x14ac:dyDescent="0.25">
      <c r="A44" s="44">
        <v>45964</v>
      </c>
      <c r="B44" s="45" t="s">
        <v>127</v>
      </c>
      <c r="C44" s="45"/>
      <c r="D44" s="45" t="s">
        <v>32</v>
      </c>
      <c r="E44" s="45" t="s">
        <v>131</v>
      </c>
      <c r="F44" s="45">
        <v>25</v>
      </c>
      <c r="G44" s="45" t="s">
        <v>36</v>
      </c>
      <c r="H44" s="45">
        <v>125000</v>
      </c>
      <c r="I44" s="45">
        <f t="shared" si="0"/>
        <v>3125000</v>
      </c>
      <c r="J44" s="111" t="s">
        <v>30</v>
      </c>
      <c r="K44" s="112"/>
      <c r="L44" s="48">
        <f t="shared" si="1"/>
        <v>0</v>
      </c>
      <c r="M44" s="48"/>
      <c r="N44" s="48"/>
      <c r="O44" s="48">
        <f t="shared" si="2"/>
        <v>0</v>
      </c>
      <c r="P44" s="48"/>
      <c r="Q44" s="48"/>
      <c r="R44" s="48">
        <f t="shared" si="3"/>
        <v>731555</v>
      </c>
      <c r="S44" s="48">
        <v>731555</v>
      </c>
      <c r="T44" s="48"/>
      <c r="U44" s="48">
        <f t="shared" si="4"/>
        <v>0</v>
      </c>
      <c r="V44" s="48"/>
      <c r="W44" s="48"/>
      <c r="X44" s="48">
        <f t="shared" si="5"/>
        <v>0</v>
      </c>
      <c r="Y44" s="48"/>
      <c r="Z44" s="48"/>
      <c r="AA44" s="49">
        <f t="shared" si="6"/>
        <v>2393445</v>
      </c>
      <c r="AB44" s="50">
        <v>46042</v>
      </c>
    </row>
    <row r="45" spans="1:28" ht="15.75" hidden="1" x14ac:dyDescent="0.25">
      <c r="A45" s="28">
        <v>45964</v>
      </c>
      <c r="B45" s="10" t="s">
        <v>127</v>
      </c>
      <c r="C45" s="10"/>
      <c r="D45" s="10" t="s">
        <v>32</v>
      </c>
      <c r="E45" s="10" t="s">
        <v>132</v>
      </c>
      <c r="F45" s="10">
        <v>1.06</v>
      </c>
      <c r="G45" s="10" t="s">
        <v>133</v>
      </c>
      <c r="H45" s="10">
        <v>1150000</v>
      </c>
      <c r="I45" s="10">
        <f t="shared" si="0"/>
        <v>1219000</v>
      </c>
      <c r="J45" s="52" t="s">
        <v>30</v>
      </c>
      <c r="K45" s="62"/>
      <c r="L45" s="12">
        <f t="shared" si="1"/>
        <v>0</v>
      </c>
      <c r="M45" s="12"/>
      <c r="N45" s="12"/>
      <c r="O45" s="12">
        <f t="shared" si="2"/>
        <v>0</v>
      </c>
      <c r="P45" s="12"/>
      <c r="Q45" s="12"/>
      <c r="R45" s="12">
        <f t="shared" si="3"/>
        <v>0</v>
      </c>
      <c r="S45" s="12"/>
      <c r="T45" s="12"/>
      <c r="U45" s="12">
        <f t="shared" si="4"/>
        <v>0</v>
      </c>
      <c r="V45" s="12"/>
      <c r="W45" s="12"/>
      <c r="X45" s="12">
        <f t="shared" si="5"/>
        <v>0</v>
      </c>
      <c r="Y45" s="12"/>
      <c r="Z45" s="12"/>
      <c r="AA45" s="13">
        <f t="shared" si="6"/>
        <v>1219000</v>
      </c>
      <c r="AB45" s="14"/>
    </row>
    <row r="46" spans="1:28" ht="15.75" hidden="1" x14ac:dyDescent="0.25">
      <c r="A46" s="28">
        <v>45964</v>
      </c>
      <c r="B46" s="10" t="s">
        <v>127</v>
      </c>
      <c r="C46" s="10"/>
      <c r="D46" s="10" t="s">
        <v>32</v>
      </c>
      <c r="E46" s="10" t="s">
        <v>134</v>
      </c>
      <c r="F46" s="10">
        <v>1</v>
      </c>
      <c r="G46" s="10" t="s">
        <v>39</v>
      </c>
      <c r="H46" s="10">
        <v>75000</v>
      </c>
      <c r="I46" s="10">
        <f t="shared" si="0"/>
        <v>75000</v>
      </c>
      <c r="J46" s="52" t="s">
        <v>30</v>
      </c>
      <c r="K46" s="62"/>
      <c r="L46" s="12">
        <f t="shared" si="1"/>
        <v>0</v>
      </c>
      <c r="M46" s="12"/>
      <c r="N46" s="12"/>
      <c r="O46" s="12">
        <f t="shared" si="2"/>
        <v>0</v>
      </c>
      <c r="P46" s="12"/>
      <c r="Q46" s="12"/>
      <c r="R46" s="12">
        <f t="shared" si="3"/>
        <v>0</v>
      </c>
      <c r="S46" s="12"/>
      <c r="T46" s="12"/>
      <c r="U46" s="12">
        <f t="shared" si="4"/>
        <v>0</v>
      </c>
      <c r="V46" s="12"/>
      <c r="W46" s="12"/>
      <c r="X46" s="12">
        <f t="shared" si="5"/>
        <v>0</v>
      </c>
      <c r="Y46" s="12"/>
      <c r="Z46" s="12"/>
      <c r="AA46" s="13">
        <f t="shared" si="6"/>
        <v>75000</v>
      </c>
      <c r="AB46" s="14"/>
    </row>
    <row r="47" spans="1:28" ht="15.75" hidden="1" x14ac:dyDescent="0.25">
      <c r="A47" s="28">
        <v>45964</v>
      </c>
      <c r="B47" s="10" t="s">
        <v>127</v>
      </c>
      <c r="C47" s="10"/>
      <c r="D47" s="10" t="s">
        <v>32</v>
      </c>
      <c r="E47" s="10" t="s">
        <v>112</v>
      </c>
      <c r="F47" s="10">
        <v>1</v>
      </c>
      <c r="G47" s="10" t="s">
        <v>39</v>
      </c>
      <c r="H47" s="10">
        <v>95000</v>
      </c>
      <c r="I47" s="10">
        <f t="shared" si="0"/>
        <v>95000</v>
      </c>
      <c r="J47" s="52" t="s">
        <v>30</v>
      </c>
      <c r="K47" s="62"/>
      <c r="L47" s="12">
        <f t="shared" si="1"/>
        <v>0</v>
      </c>
      <c r="M47" s="12"/>
      <c r="N47" s="12"/>
      <c r="O47" s="12">
        <f t="shared" si="2"/>
        <v>0</v>
      </c>
      <c r="P47" s="12"/>
      <c r="Q47" s="12"/>
      <c r="R47" s="12">
        <f t="shared" si="3"/>
        <v>0</v>
      </c>
      <c r="S47" s="12"/>
      <c r="T47" s="12"/>
      <c r="U47" s="12">
        <f t="shared" si="4"/>
        <v>0</v>
      </c>
      <c r="V47" s="12"/>
      <c r="W47" s="12"/>
      <c r="X47" s="12">
        <f t="shared" si="5"/>
        <v>0</v>
      </c>
      <c r="Y47" s="12"/>
      <c r="Z47" s="12"/>
      <c r="AA47" s="13">
        <f t="shared" si="6"/>
        <v>95000</v>
      </c>
      <c r="AB47" s="14"/>
    </row>
    <row r="48" spans="1:28" ht="15.75" hidden="1" x14ac:dyDescent="0.25">
      <c r="A48" s="28">
        <v>45967</v>
      </c>
      <c r="B48" s="10" t="s">
        <v>81</v>
      </c>
      <c r="C48" s="10"/>
      <c r="D48" s="10" t="s">
        <v>493</v>
      </c>
      <c r="E48" s="10" t="s">
        <v>139</v>
      </c>
      <c r="F48" s="10">
        <v>19.5</v>
      </c>
      <c r="G48" s="10" t="s">
        <v>36</v>
      </c>
      <c r="H48" s="10">
        <v>43000</v>
      </c>
      <c r="I48" s="10">
        <f t="shared" si="0"/>
        <v>838500</v>
      </c>
      <c r="J48" s="52" t="s">
        <v>30</v>
      </c>
      <c r="K48" s="10"/>
      <c r="L48" s="12">
        <f t="shared" si="1"/>
        <v>459300</v>
      </c>
      <c r="M48" s="12">
        <v>459300</v>
      </c>
      <c r="N48" s="12"/>
      <c r="O48" s="12">
        <f t="shared" si="2"/>
        <v>0</v>
      </c>
      <c r="P48" s="12"/>
      <c r="Q48" s="12"/>
      <c r="R48" s="12">
        <f t="shared" si="3"/>
        <v>0</v>
      </c>
      <c r="S48" s="12"/>
      <c r="T48" s="12"/>
      <c r="U48" s="12">
        <f t="shared" si="4"/>
        <v>0</v>
      </c>
      <c r="V48" s="12"/>
      <c r="W48" s="12"/>
      <c r="X48" s="12">
        <f t="shared" si="5"/>
        <v>0</v>
      </c>
      <c r="Y48" s="12"/>
      <c r="Z48" s="12"/>
      <c r="AA48" s="13">
        <f t="shared" si="6"/>
        <v>379200</v>
      </c>
      <c r="AB48" s="14">
        <v>45967</v>
      </c>
    </row>
    <row r="49" spans="1:28" ht="15.75" hidden="1" x14ac:dyDescent="0.25">
      <c r="A49" s="28">
        <v>45969</v>
      </c>
      <c r="B49" s="10" t="s">
        <v>459</v>
      </c>
      <c r="C49" s="10"/>
      <c r="D49" s="10" t="s">
        <v>28</v>
      </c>
      <c r="E49" s="10" t="s">
        <v>75</v>
      </c>
      <c r="F49" s="10">
        <v>20</v>
      </c>
      <c r="G49" s="10" t="s">
        <v>36</v>
      </c>
      <c r="H49" s="10">
        <v>60000</v>
      </c>
      <c r="I49" s="10">
        <f t="shared" si="0"/>
        <v>1200000</v>
      </c>
      <c r="J49" s="52" t="s">
        <v>76</v>
      </c>
      <c r="K49" s="10"/>
      <c r="L49" s="12">
        <f t="shared" si="1"/>
        <v>0</v>
      </c>
      <c r="M49" s="12"/>
      <c r="N49" s="12"/>
      <c r="O49" s="12">
        <f t="shared" si="2"/>
        <v>0</v>
      </c>
      <c r="P49" s="12"/>
      <c r="Q49" s="12"/>
      <c r="R49" s="12">
        <f t="shared" si="3"/>
        <v>0</v>
      </c>
      <c r="S49" s="12"/>
      <c r="T49" s="12"/>
      <c r="U49" s="12">
        <f t="shared" si="4"/>
        <v>0</v>
      </c>
      <c r="V49" s="12"/>
      <c r="W49" s="12"/>
      <c r="X49" s="12">
        <f t="shared" si="5"/>
        <v>0</v>
      </c>
      <c r="Y49" s="12"/>
      <c r="Z49" s="12"/>
      <c r="AA49" s="13">
        <f t="shared" si="6"/>
        <v>1200000</v>
      </c>
      <c r="AB49" s="14"/>
    </row>
    <row r="50" spans="1:28" ht="15.75" hidden="1" x14ac:dyDescent="0.25">
      <c r="A50" s="28">
        <v>45975</v>
      </c>
      <c r="B50" s="10" t="s">
        <v>109</v>
      </c>
      <c r="C50" s="10"/>
      <c r="D50" s="10" t="s">
        <v>28</v>
      </c>
      <c r="E50" s="10" t="s">
        <v>141</v>
      </c>
      <c r="F50" s="10">
        <v>1000</v>
      </c>
      <c r="G50" s="10" t="s">
        <v>26</v>
      </c>
      <c r="H50" s="10">
        <v>2000</v>
      </c>
      <c r="I50" s="10">
        <f t="shared" si="0"/>
        <v>2000000</v>
      </c>
      <c r="J50" s="70" t="s">
        <v>90</v>
      </c>
      <c r="K50" s="62"/>
      <c r="L50" s="12">
        <f t="shared" si="1"/>
        <v>0</v>
      </c>
      <c r="M50" s="12"/>
      <c r="N50" s="12"/>
      <c r="O50" s="12">
        <f t="shared" si="2"/>
        <v>0</v>
      </c>
      <c r="P50" s="12"/>
      <c r="Q50" s="12"/>
      <c r="R50" s="12">
        <f t="shared" si="3"/>
        <v>0</v>
      </c>
      <c r="S50" s="12"/>
      <c r="T50" s="12"/>
      <c r="U50" s="12">
        <f t="shared" si="4"/>
        <v>0</v>
      </c>
      <c r="V50" s="12"/>
      <c r="W50" s="12"/>
      <c r="X50" s="12">
        <f t="shared" si="5"/>
        <v>0</v>
      </c>
      <c r="Y50" s="12"/>
      <c r="Z50" s="12"/>
      <c r="AA50" s="13">
        <f t="shared" si="6"/>
        <v>2000000</v>
      </c>
      <c r="AB50" s="14"/>
    </row>
    <row r="51" spans="1:28" ht="15.75" hidden="1" x14ac:dyDescent="0.25">
      <c r="A51" s="28">
        <v>45975</v>
      </c>
      <c r="B51" s="10" t="s">
        <v>109</v>
      </c>
      <c r="C51" s="10"/>
      <c r="D51" s="10" t="s">
        <v>28</v>
      </c>
      <c r="E51" s="10" t="s">
        <v>104</v>
      </c>
      <c r="F51" s="10">
        <v>2600</v>
      </c>
      <c r="G51" s="10" t="s">
        <v>26</v>
      </c>
      <c r="H51" s="10">
        <v>2000</v>
      </c>
      <c r="I51" s="10">
        <f t="shared" si="0"/>
        <v>5200000</v>
      </c>
      <c r="J51" s="70" t="s">
        <v>90</v>
      </c>
      <c r="K51" s="62"/>
      <c r="L51" s="12">
        <f t="shared" si="1"/>
        <v>0</v>
      </c>
      <c r="M51" s="12"/>
      <c r="N51" s="12"/>
      <c r="O51" s="12">
        <f t="shared" si="2"/>
        <v>0</v>
      </c>
      <c r="P51" s="12"/>
      <c r="Q51" s="12"/>
      <c r="R51" s="12">
        <f t="shared" si="3"/>
        <v>0</v>
      </c>
      <c r="S51" s="12"/>
      <c r="T51" s="12"/>
      <c r="U51" s="12">
        <f t="shared" si="4"/>
        <v>0</v>
      </c>
      <c r="V51" s="12"/>
      <c r="W51" s="12"/>
      <c r="X51" s="12">
        <f t="shared" si="5"/>
        <v>0</v>
      </c>
      <c r="Y51" s="12"/>
      <c r="Z51" s="12"/>
      <c r="AA51" s="13">
        <f t="shared" si="6"/>
        <v>5200000</v>
      </c>
      <c r="AB51" s="14"/>
    </row>
    <row r="52" spans="1:28" ht="15.75" hidden="1" x14ac:dyDescent="0.25">
      <c r="A52" s="28">
        <v>45979</v>
      </c>
      <c r="B52" s="10" t="s">
        <v>109</v>
      </c>
      <c r="C52" s="10"/>
      <c r="D52" s="10" t="s">
        <v>28</v>
      </c>
      <c r="E52" s="10" t="s">
        <v>141</v>
      </c>
      <c r="F52" s="10">
        <v>10400</v>
      </c>
      <c r="G52" s="10" t="s">
        <v>26</v>
      </c>
      <c r="H52" s="10">
        <v>2000</v>
      </c>
      <c r="I52" s="10">
        <f t="shared" si="0"/>
        <v>20800000</v>
      </c>
      <c r="J52" s="52" t="s">
        <v>90</v>
      </c>
      <c r="K52" s="62"/>
      <c r="L52" s="12">
        <f t="shared" si="1"/>
        <v>0</v>
      </c>
      <c r="M52" s="75"/>
      <c r="N52" s="75"/>
      <c r="O52" s="12">
        <f t="shared" si="2"/>
        <v>0</v>
      </c>
      <c r="P52" s="75"/>
      <c r="Q52" s="75"/>
      <c r="R52" s="12">
        <f t="shared" si="3"/>
        <v>0</v>
      </c>
      <c r="S52" s="75"/>
      <c r="T52" s="75"/>
      <c r="U52" s="12">
        <f t="shared" si="4"/>
        <v>0</v>
      </c>
      <c r="V52" s="75"/>
      <c r="W52" s="75"/>
      <c r="X52" s="12">
        <f t="shared" si="5"/>
        <v>0</v>
      </c>
      <c r="Y52" s="75"/>
      <c r="Z52" s="75"/>
      <c r="AA52" s="13">
        <f t="shared" si="6"/>
        <v>20800000</v>
      </c>
      <c r="AB52" s="76"/>
    </row>
    <row r="53" spans="1:28" ht="15.75" hidden="1" x14ac:dyDescent="0.25">
      <c r="A53" s="28">
        <v>45983</v>
      </c>
      <c r="B53" s="10" t="s">
        <v>127</v>
      </c>
      <c r="C53" s="10"/>
      <c r="D53" s="10" t="s">
        <v>28</v>
      </c>
      <c r="E53" s="10" t="s">
        <v>51</v>
      </c>
      <c r="F53" s="10">
        <v>1</v>
      </c>
      <c r="G53" s="10" t="s">
        <v>22</v>
      </c>
      <c r="H53" s="10">
        <v>400000</v>
      </c>
      <c r="I53" s="10">
        <f t="shared" si="0"/>
        <v>400000</v>
      </c>
      <c r="J53" s="52" t="s">
        <v>30</v>
      </c>
      <c r="K53" s="62"/>
      <c r="L53" s="12">
        <f t="shared" si="1"/>
        <v>0</v>
      </c>
      <c r="M53" s="75"/>
      <c r="N53" s="75"/>
      <c r="O53" s="12">
        <f t="shared" si="2"/>
        <v>0</v>
      </c>
      <c r="P53" s="75"/>
      <c r="Q53" s="75"/>
      <c r="R53" s="12">
        <f t="shared" si="3"/>
        <v>0</v>
      </c>
      <c r="S53" s="75"/>
      <c r="T53" s="75"/>
      <c r="U53" s="12">
        <f t="shared" si="4"/>
        <v>0</v>
      </c>
      <c r="V53" s="75"/>
      <c r="W53" s="75"/>
      <c r="X53" s="12">
        <f t="shared" si="5"/>
        <v>0</v>
      </c>
      <c r="Y53" s="75"/>
      <c r="Z53" s="75"/>
      <c r="AA53" s="13">
        <f t="shared" si="6"/>
        <v>400000</v>
      </c>
      <c r="AB53" s="76"/>
    </row>
    <row r="54" spans="1:28" ht="15.75" hidden="1" x14ac:dyDescent="0.25">
      <c r="A54" s="28">
        <v>45983</v>
      </c>
      <c r="B54" s="10" t="s">
        <v>97</v>
      </c>
      <c r="C54" s="10"/>
      <c r="D54" s="10" t="s">
        <v>493</v>
      </c>
      <c r="E54" s="10" t="s">
        <v>80</v>
      </c>
      <c r="F54" s="10">
        <v>133.80000000000001</v>
      </c>
      <c r="G54" s="10" t="s">
        <v>36</v>
      </c>
      <c r="H54" s="10">
        <v>43000</v>
      </c>
      <c r="I54" s="10">
        <f t="shared" si="0"/>
        <v>5753400.0000000009</v>
      </c>
      <c r="J54" s="52" t="s">
        <v>90</v>
      </c>
      <c r="K54" s="62"/>
      <c r="L54" s="12">
        <f t="shared" si="1"/>
        <v>0</v>
      </c>
      <c r="M54" s="75"/>
      <c r="N54" s="75"/>
      <c r="O54" s="12">
        <f t="shared" si="2"/>
        <v>1600000</v>
      </c>
      <c r="P54" s="75">
        <v>1600000</v>
      </c>
      <c r="Q54" s="75"/>
      <c r="R54" s="12">
        <f t="shared" si="3"/>
        <v>0</v>
      </c>
      <c r="S54" s="75"/>
      <c r="T54" s="75"/>
      <c r="U54" s="12">
        <f t="shared" si="4"/>
        <v>0</v>
      </c>
      <c r="V54" s="75"/>
      <c r="W54" s="75"/>
      <c r="X54" s="12">
        <f t="shared" si="5"/>
        <v>0</v>
      </c>
      <c r="Y54" s="75"/>
      <c r="Z54" s="75"/>
      <c r="AA54" s="13">
        <f t="shared" si="6"/>
        <v>4153400.0000000009</v>
      </c>
      <c r="AB54" s="76">
        <v>46055</v>
      </c>
    </row>
    <row r="55" spans="1:28" ht="15.75" hidden="1" x14ac:dyDescent="0.25">
      <c r="A55" s="28">
        <v>45983</v>
      </c>
      <c r="B55" s="10" t="s">
        <v>97</v>
      </c>
      <c r="C55" s="10"/>
      <c r="D55" s="10" t="s">
        <v>493</v>
      </c>
      <c r="E55" s="10" t="s">
        <v>137</v>
      </c>
      <c r="F55" s="10">
        <v>10</v>
      </c>
      <c r="G55" s="10" t="s">
        <v>36</v>
      </c>
      <c r="H55" s="10">
        <v>200000</v>
      </c>
      <c r="I55" s="10">
        <f t="shared" si="0"/>
        <v>2000000</v>
      </c>
      <c r="J55" s="52" t="s">
        <v>90</v>
      </c>
      <c r="K55" s="62"/>
      <c r="L55" s="12">
        <f t="shared" si="1"/>
        <v>0</v>
      </c>
      <c r="M55" s="75"/>
      <c r="N55" s="75"/>
      <c r="O55" s="12">
        <f t="shared" si="2"/>
        <v>0</v>
      </c>
      <c r="P55" s="75"/>
      <c r="Q55" s="75"/>
      <c r="R55" s="12">
        <f t="shared" si="3"/>
        <v>0</v>
      </c>
      <c r="S55" s="75"/>
      <c r="T55" s="75"/>
      <c r="U55" s="12">
        <f t="shared" si="4"/>
        <v>0</v>
      </c>
      <c r="V55" s="75"/>
      <c r="W55" s="75"/>
      <c r="X55" s="12">
        <f t="shared" si="5"/>
        <v>0</v>
      </c>
      <c r="Y55" s="75"/>
      <c r="Z55" s="75"/>
      <c r="AA55" s="13">
        <f t="shared" si="6"/>
        <v>2000000</v>
      </c>
      <c r="AB55" s="76"/>
    </row>
    <row r="56" spans="1:28" ht="15.75" hidden="1" x14ac:dyDescent="0.25">
      <c r="A56" s="28">
        <v>45983</v>
      </c>
      <c r="B56" s="10" t="s">
        <v>97</v>
      </c>
      <c r="C56" s="10"/>
      <c r="D56" s="10" t="s">
        <v>493</v>
      </c>
      <c r="E56" s="10" t="s">
        <v>38</v>
      </c>
      <c r="F56" s="10">
        <v>4</v>
      </c>
      <c r="G56" s="10" t="s">
        <v>39</v>
      </c>
      <c r="H56" s="10">
        <v>45000</v>
      </c>
      <c r="I56" s="10">
        <f t="shared" si="0"/>
        <v>180000</v>
      </c>
      <c r="J56" s="52" t="s">
        <v>90</v>
      </c>
      <c r="K56" s="62"/>
      <c r="L56" s="12">
        <f t="shared" si="1"/>
        <v>0</v>
      </c>
      <c r="M56" s="75"/>
      <c r="N56" s="75"/>
      <c r="O56" s="12">
        <f t="shared" si="2"/>
        <v>0</v>
      </c>
      <c r="P56" s="75"/>
      <c r="Q56" s="75"/>
      <c r="R56" s="12">
        <f t="shared" si="3"/>
        <v>0</v>
      </c>
      <c r="S56" s="75"/>
      <c r="T56" s="75"/>
      <c r="U56" s="12">
        <f t="shared" si="4"/>
        <v>0</v>
      </c>
      <c r="V56" s="75"/>
      <c r="W56" s="75"/>
      <c r="X56" s="12">
        <f t="shared" si="5"/>
        <v>0</v>
      </c>
      <c r="Y56" s="75"/>
      <c r="Z56" s="75"/>
      <c r="AA56" s="13">
        <f t="shared" si="6"/>
        <v>180000</v>
      </c>
      <c r="AB56" s="76"/>
    </row>
    <row r="57" spans="1:28" ht="15.75" hidden="1" x14ac:dyDescent="0.25">
      <c r="A57" s="28">
        <v>45985</v>
      </c>
      <c r="B57" s="10" t="s">
        <v>146</v>
      </c>
      <c r="C57" s="10"/>
      <c r="D57" s="10" t="s">
        <v>28</v>
      </c>
      <c r="E57" s="10" t="s">
        <v>147</v>
      </c>
      <c r="F57" s="10">
        <v>6.5</v>
      </c>
      <c r="G57" s="10" t="s">
        <v>133</v>
      </c>
      <c r="H57" s="10">
        <v>1200000</v>
      </c>
      <c r="I57" s="10">
        <f t="shared" si="0"/>
        <v>7800000</v>
      </c>
      <c r="J57" s="29" t="s">
        <v>113</v>
      </c>
      <c r="K57" s="10"/>
      <c r="L57" s="12">
        <f t="shared" si="1"/>
        <v>7800000</v>
      </c>
      <c r="M57" s="75">
        <v>7800000</v>
      </c>
      <c r="N57" s="75"/>
      <c r="O57" s="12">
        <f t="shared" si="2"/>
        <v>0</v>
      </c>
      <c r="P57" s="75"/>
      <c r="Q57" s="75"/>
      <c r="R57" s="12">
        <f t="shared" si="3"/>
        <v>0</v>
      </c>
      <c r="S57" s="75"/>
      <c r="T57" s="75"/>
      <c r="U57" s="12">
        <f t="shared" si="4"/>
        <v>0</v>
      </c>
      <c r="V57" s="75"/>
      <c r="W57" s="75"/>
      <c r="X57" s="12">
        <f t="shared" si="5"/>
        <v>0</v>
      </c>
      <c r="Y57" s="75"/>
      <c r="Z57" s="75"/>
      <c r="AA57" s="13">
        <f t="shared" si="6"/>
        <v>0</v>
      </c>
      <c r="AB57" s="76">
        <v>46058</v>
      </c>
    </row>
    <row r="58" spans="1:28" ht="15.75" hidden="1" x14ac:dyDescent="0.25">
      <c r="A58" s="28">
        <v>45986</v>
      </c>
      <c r="B58" s="10" t="s">
        <v>97</v>
      </c>
      <c r="C58" s="10"/>
      <c r="D58" s="10" t="s">
        <v>493</v>
      </c>
      <c r="E58" s="10" t="s">
        <v>92</v>
      </c>
      <c r="F58" s="10">
        <v>34.200000000000003</v>
      </c>
      <c r="G58" s="10" t="s">
        <v>36</v>
      </c>
      <c r="H58" s="10">
        <v>43000</v>
      </c>
      <c r="I58" s="10">
        <f t="shared" si="0"/>
        <v>1470600.0000000002</v>
      </c>
      <c r="J58" s="52" t="s">
        <v>90</v>
      </c>
      <c r="K58" s="63"/>
      <c r="L58" s="12">
        <f t="shared" si="1"/>
        <v>0</v>
      </c>
      <c r="M58" s="75"/>
      <c r="N58" s="75"/>
      <c r="O58" s="12">
        <f t="shared" si="2"/>
        <v>0</v>
      </c>
      <c r="P58" s="75"/>
      <c r="Q58" s="75"/>
      <c r="R58" s="12">
        <f t="shared" si="3"/>
        <v>0</v>
      </c>
      <c r="S58" s="75"/>
      <c r="T58" s="75"/>
      <c r="U58" s="12">
        <f t="shared" si="4"/>
        <v>0</v>
      </c>
      <c r="V58" s="75"/>
      <c r="W58" s="75"/>
      <c r="X58" s="12">
        <f t="shared" si="5"/>
        <v>0</v>
      </c>
      <c r="Y58" s="75"/>
      <c r="Z58" s="75"/>
      <c r="AA58" s="13">
        <f t="shared" si="6"/>
        <v>1470600.0000000002</v>
      </c>
      <c r="AB58" s="76"/>
    </row>
    <row r="59" spans="1:28" ht="15.75" hidden="1" x14ac:dyDescent="0.25">
      <c r="A59" s="28">
        <v>45986</v>
      </c>
      <c r="B59" s="10" t="s">
        <v>97</v>
      </c>
      <c r="C59" s="10"/>
      <c r="D59" s="10" t="s">
        <v>493</v>
      </c>
      <c r="E59" s="10" t="s">
        <v>86</v>
      </c>
      <c r="F59" s="10">
        <v>28.4</v>
      </c>
      <c r="G59" s="10" t="s">
        <v>36</v>
      </c>
      <c r="H59" s="10">
        <v>43000</v>
      </c>
      <c r="I59" s="10">
        <f t="shared" si="0"/>
        <v>1221200</v>
      </c>
      <c r="J59" s="52" t="s">
        <v>90</v>
      </c>
      <c r="K59" s="63"/>
      <c r="L59" s="12">
        <f t="shared" si="1"/>
        <v>0</v>
      </c>
      <c r="M59" s="75"/>
      <c r="N59" s="75"/>
      <c r="O59" s="12">
        <f t="shared" si="2"/>
        <v>0</v>
      </c>
      <c r="P59" s="75"/>
      <c r="Q59" s="75"/>
      <c r="R59" s="12">
        <f t="shared" si="3"/>
        <v>0</v>
      </c>
      <c r="S59" s="75"/>
      <c r="T59" s="75"/>
      <c r="U59" s="12">
        <f t="shared" si="4"/>
        <v>0</v>
      </c>
      <c r="V59" s="75"/>
      <c r="W59" s="75"/>
      <c r="X59" s="12">
        <f t="shared" si="5"/>
        <v>0</v>
      </c>
      <c r="Y59" s="75"/>
      <c r="Z59" s="75"/>
      <c r="AA59" s="13">
        <f t="shared" si="6"/>
        <v>1221200</v>
      </c>
      <c r="AB59" s="76"/>
    </row>
    <row r="60" spans="1:28" ht="15.75" hidden="1" x14ac:dyDescent="0.25">
      <c r="A60" s="28"/>
      <c r="B60" s="77" t="s">
        <v>151</v>
      </c>
      <c r="C60" s="77"/>
      <c r="D60" s="77"/>
      <c r="E60" s="77"/>
      <c r="F60" s="77"/>
      <c r="G60" s="77"/>
      <c r="H60" s="77"/>
      <c r="I60" s="10">
        <f t="shared" si="0"/>
        <v>0</v>
      </c>
      <c r="J60" s="29" t="s">
        <v>40</v>
      </c>
      <c r="K60" s="10"/>
      <c r="L60" s="12">
        <f t="shared" si="1"/>
        <v>0</v>
      </c>
      <c r="M60" s="75"/>
      <c r="N60" s="75"/>
      <c r="O60" s="12">
        <f t="shared" si="2"/>
        <v>19780000</v>
      </c>
      <c r="P60" s="75">
        <v>19780000</v>
      </c>
      <c r="Q60" s="75"/>
      <c r="R60" s="12">
        <f t="shared" si="3"/>
        <v>0</v>
      </c>
      <c r="S60" s="75"/>
      <c r="T60" s="75"/>
      <c r="U60" s="12">
        <f t="shared" si="4"/>
        <v>0</v>
      </c>
      <c r="V60" s="75"/>
      <c r="W60" s="75"/>
      <c r="X60" s="12">
        <f t="shared" si="5"/>
        <v>0</v>
      </c>
      <c r="Y60" s="75"/>
      <c r="Z60" s="75"/>
      <c r="AA60" s="13">
        <f t="shared" si="6"/>
        <v>-19780000</v>
      </c>
      <c r="AB60" s="76">
        <v>46021</v>
      </c>
    </row>
    <row r="61" spans="1:28" ht="15.75" hidden="1" x14ac:dyDescent="0.25">
      <c r="A61" s="28"/>
      <c r="B61" s="77" t="s">
        <v>151</v>
      </c>
      <c r="C61" s="77"/>
      <c r="D61" s="77"/>
      <c r="E61" s="77"/>
      <c r="F61" s="77"/>
      <c r="G61" s="77"/>
      <c r="H61" s="77"/>
      <c r="I61" s="10">
        <f t="shared" si="0"/>
        <v>0</v>
      </c>
      <c r="J61" s="29" t="s">
        <v>40</v>
      </c>
      <c r="K61" s="10"/>
      <c r="L61" s="12">
        <f t="shared" si="1"/>
        <v>0</v>
      </c>
      <c r="M61" s="75"/>
      <c r="N61" s="75"/>
      <c r="O61" s="12">
        <f t="shared" si="2"/>
        <v>26350000</v>
      </c>
      <c r="P61" s="75">
        <v>26350000</v>
      </c>
      <c r="Q61" s="75"/>
      <c r="R61" s="12">
        <f t="shared" si="3"/>
        <v>0</v>
      </c>
      <c r="S61" s="75"/>
      <c r="T61" s="75"/>
      <c r="U61" s="12">
        <f t="shared" si="4"/>
        <v>0</v>
      </c>
      <c r="V61" s="75"/>
      <c r="W61" s="75"/>
      <c r="X61" s="12">
        <f t="shared" si="5"/>
        <v>0</v>
      </c>
      <c r="Y61" s="75"/>
      <c r="Z61" s="75"/>
      <c r="AA61" s="13">
        <f t="shared" si="6"/>
        <v>-26350000</v>
      </c>
      <c r="AB61" s="76">
        <v>46021</v>
      </c>
    </row>
    <row r="62" spans="1:28" ht="15.75" hidden="1" x14ac:dyDescent="0.25">
      <c r="A62" s="28"/>
      <c r="B62" s="77" t="s">
        <v>151</v>
      </c>
      <c r="C62" s="77"/>
      <c r="D62" s="77"/>
      <c r="E62" s="77"/>
      <c r="F62" s="77"/>
      <c r="G62" s="77"/>
      <c r="H62" s="77"/>
      <c r="I62" s="10">
        <f t="shared" si="0"/>
        <v>0</v>
      </c>
      <c r="J62" s="29" t="s">
        <v>40</v>
      </c>
      <c r="K62" s="10"/>
      <c r="L62" s="12">
        <f t="shared" si="1"/>
        <v>0</v>
      </c>
      <c r="M62" s="75"/>
      <c r="N62" s="75"/>
      <c r="O62" s="12">
        <f t="shared" si="2"/>
        <v>38806000</v>
      </c>
      <c r="P62" s="75">
        <v>38806000</v>
      </c>
      <c r="Q62" s="75"/>
      <c r="R62" s="12">
        <f t="shared" si="3"/>
        <v>0</v>
      </c>
      <c r="S62" s="75"/>
      <c r="T62" s="75"/>
      <c r="U62" s="12">
        <f t="shared" si="4"/>
        <v>0</v>
      </c>
      <c r="V62" s="75"/>
      <c r="W62" s="75"/>
      <c r="X62" s="12">
        <f t="shared" si="5"/>
        <v>0</v>
      </c>
      <c r="Y62" s="75"/>
      <c r="Z62" s="75"/>
      <c r="AA62" s="13">
        <f t="shared" si="6"/>
        <v>-38806000</v>
      </c>
      <c r="AB62" s="76">
        <v>46021</v>
      </c>
    </row>
    <row r="63" spans="1:28" ht="15.75" hidden="1" x14ac:dyDescent="0.25">
      <c r="A63" s="28"/>
      <c r="B63" s="77" t="s">
        <v>151</v>
      </c>
      <c r="C63" s="77"/>
      <c r="D63" s="77"/>
      <c r="E63" s="77"/>
      <c r="F63" s="77"/>
      <c r="G63" s="77"/>
      <c r="H63" s="77"/>
      <c r="I63" s="10">
        <f t="shared" si="0"/>
        <v>0</v>
      </c>
      <c r="J63" s="29" t="s">
        <v>40</v>
      </c>
      <c r="K63" s="10"/>
      <c r="L63" s="12">
        <f t="shared" si="1"/>
        <v>0</v>
      </c>
      <c r="M63" s="75"/>
      <c r="N63" s="75"/>
      <c r="O63" s="12">
        <f t="shared" si="2"/>
        <v>25000000</v>
      </c>
      <c r="P63" s="75">
        <v>25000000</v>
      </c>
      <c r="Q63" s="75"/>
      <c r="R63" s="12">
        <f t="shared" si="3"/>
        <v>0</v>
      </c>
      <c r="S63" s="75"/>
      <c r="T63" s="75"/>
      <c r="U63" s="12">
        <f t="shared" si="4"/>
        <v>0</v>
      </c>
      <c r="V63" s="75"/>
      <c r="W63" s="75"/>
      <c r="X63" s="12">
        <f t="shared" si="5"/>
        <v>0</v>
      </c>
      <c r="Y63" s="75"/>
      <c r="Z63" s="75"/>
      <c r="AA63" s="13">
        <f t="shared" si="6"/>
        <v>-25000000</v>
      </c>
      <c r="AB63" s="76">
        <v>46029</v>
      </c>
    </row>
    <row r="64" spans="1:28" ht="15.75" hidden="1" x14ac:dyDescent="0.25">
      <c r="A64" s="28"/>
      <c r="B64" s="77" t="s">
        <v>151</v>
      </c>
      <c r="C64" s="77"/>
      <c r="D64" s="77"/>
      <c r="E64" s="77"/>
      <c r="F64" s="77"/>
      <c r="G64" s="77"/>
      <c r="H64" s="77"/>
      <c r="I64" s="10">
        <f t="shared" si="0"/>
        <v>0</v>
      </c>
      <c r="J64" s="29" t="s">
        <v>40</v>
      </c>
      <c r="K64" s="10"/>
      <c r="L64" s="12">
        <f t="shared" si="1"/>
        <v>0</v>
      </c>
      <c r="M64" s="75"/>
      <c r="N64" s="75"/>
      <c r="O64" s="12">
        <f t="shared" si="2"/>
        <v>20200000</v>
      </c>
      <c r="P64" s="75">
        <v>20200000</v>
      </c>
      <c r="Q64" s="75"/>
      <c r="R64" s="12">
        <f t="shared" si="3"/>
        <v>0</v>
      </c>
      <c r="S64" s="75"/>
      <c r="T64" s="75"/>
      <c r="U64" s="12">
        <f t="shared" si="4"/>
        <v>0</v>
      </c>
      <c r="V64" s="75"/>
      <c r="W64" s="75"/>
      <c r="X64" s="12">
        <f t="shared" si="5"/>
        <v>0</v>
      </c>
      <c r="Y64" s="75"/>
      <c r="Z64" s="75"/>
      <c r="AA64" s="13">
        <f t="shared" si="6"/>
        <v>-20200000</v>
      </c>
      <c r="AB64" s="76">
        <v>46031</v>
      </c>
    </row>
    <row r="65" spans="1:28" ht="15.75" hidden="1" x14ac:dyDescent="0.25">
      <c r="A65" s="28"/>
      <c r="B65" s="77" t="s">
        <v>155</v>
      </c>
      <c r="C65" s="77"/>
      <c r="D65" s="77"/>
      <c r="E65" s="77"/>
      <c r="F65" s="77"/>
      <c r="G65" s="77"/>
      <c r="H65" s="77"/>
      <c r="I65" s="10">
        <f t="shared" si="0"/>
        <v>0</v>
      </c>
      <c r="J65" s="29" t="s">
        <v>40</v>
      </c>
      <c r="K65" s="10"/>
      <c r="L65" s="12">
        <f t="shared" si="1"/>
        <v>0</v>
      </c>
      <c r="M65" s="75"/>
      <c r="N65" s="75"/>
      <c r="O65" s="12">
        <f t="shared" si="2"/>
        <v>800000</v>
      </c>
      <c r="P65" s="75">
        <v>800000</v>
      </c>
      <c r="Q65" s="75"/>
      <c r="R65" s="12">
        <f t="shared" si="3"/>
        <v>0</v>
      </c>
      <c r="S65" s="75"/>
      <c r="T65" s="75"/>
      <c r="U65" s="12">
        <f t="shared" si="4"/>
        <v>0</v>
      </c>
      <c r="V65" s="75"/>
      <c r="W65" s="75"/>
      <c r="X65" s="12">
        <f t="shared" si="5"/>
        <v>0</v>
      </c>
      <c r="Y65" s="75"/>
      <c r="Z65" s="75"/>
      <c r="AA65" s="13">
        <f t="shared" si="6"/>
        <v>-800000</v>
      </c>
      <c r="AB65" s="76">
        <v>45994</v>
      </c>
    </row>
    <row r="66" spans="1:28" ht="15.75" hidden="1" x14ac:dyDescent="0.25">
      <c r="A66" s="28">
        <v>45988</v>
      </c>
      <c r="B66" s="10" t="s">
        <v>69</v>
      </c>
      <c r="C66" s="10"/>
      <c r="D66" s="10" t="s">
        <v>28</v>
      </c>
      <c r="E66" s="10" t="s">
        <v>156</v>
      </c>
      <c r="F66" s="10">
        <v>50</v>
      </c>
      <c r="G66" s="10" t="s">
        <v>39</v>
      </c>
      <c r="H66" s="10">
        <v>28000</v>
      </c>
      <c r="I66" s="10">
        <f t="shared" si="0"/>
        <v>1400000</v>
      </c>
      <c r="J66" s="52" t="s">
        <v>90</v>
      </c>
      <c r="K66" s="10"/>
      <c r="L66" s="12">
        <f t="shared" si="1"/>
        <v>0</v>
      </c>
      <c r="M66" s="75"/>
      <c r="N66" s="75"/>
      <c r="O66" s="12">
        <f t="shared" si="2"/>
        <v>0</v>
      </c>
      <c r="P66" s="75"/>
      <c r="Q66" s="75"/>
      <c r="R66" s="12">
        <f t="shared" si="3"/>
        <v>0</v>
      </c>
      <c r="S66" s="75"/>
      <c r="T66" s="75"/>
      <c r="U66" s="12">
        <f t="shared" si="4"/>
        <v>0</v>
      </c>
      <c r="V66" s="75"/>
      <c r="W66" s="75"/>
      <c r="X66" s="12">
        <f t="shared" si="5"/>
        <v>0</v>
      </c>
      <c r="Y66" s="75"/>
      <c r="Z66" s="75"/>
      <c r="AA66" s="13">
        <f t="shared" si="6"/>
        <v>1400000</v>
      </c>
      <c r="AB66" s="76"/>
    </row>
    <row r="67" spans="1:28" ht="15.75" hidden="1" x14ac:dyDescent="0.25">
      <c r="A67" s="28">
        <v>45988</v>
      </c>
      <c r="B67" s="10" t="s">
        <v>41</v>
      </c>
      <c r="C67" s="10"/>
      <c r="D67" s="10" t="s">
        <v>28</v>
      </c>
      <c r="E67" s="10" t="s">
        <v>42</v>
      </c>
      <c r="F67" s="10">
        <v>100</v>
      </c>
      <c r="G67" s="10" t="s">
        <v>39</v>
      </c>
      <c r="H67" s="78"/>
      <c r="I67" s="10">
        <f t="shared" si="0"/>
        <v>0</v>
      </c>
      <c r="J67" s="52" t="s">
        <v>90</v>
      </c>
      <c r="K67" s="10"/>
      <c r="L67" s="12">
        <f t="shared" ref="L67:L130" si="7">M67+N67</f>
        <v>0</v>
      </c>
      <c r="M67" s="75"/>
      <c r="N67" s="75"/>
      <c r="O67" s="12">
        <f t="shared" ref="O67:O130" si="8">P67+Q67</f>
        <v>0</v>
      </c>
      <c r="P67" s="75"/>
      <c r="Q67" s="75"/>
      <c r="R67" s="12">
        <f t="shared" ref="R67:R130" si="9">S67+T67</f>
        <v>0</v>
      </c>
      <c r="S67" s="75"/>
      <c r="T67" s="75"/>
      <c r="U67" s="12">
        <f t="shared" ref="U67:U130" si="10">V67+W67</f>
        <v>0</v>
      </c>
      <c r="V67" s="75"/>
      <c r="W67" s="75"/>
      <c r="X67" s="12">
        <f t="shared" ref="X67:X130" si="11">Y67+Z67</f>
        <v>0</v>
      </c>
      <c r="Y67" s="75"/>
      <c r="Z67" s="75"/>
      <c r="AA67" s="13">
        <f t="shared" si="6"/>
        <v>0</v>
      </c>
      <c r="AB67" s="76"/>
    </row>
    <row r="68" spans="1:28" ht="16.5" hidden="1" thickBot="1" x14ac:dyDescent="0.3">
      <c r="A68" s="30">
        <v>45988</v>
      </c>
      <c r="B68" s="31" t="s">
        <v>41</v>
      </c>
      <c r="C68" s="31"/>
      <c r="D68" s="31" t="s">
        <v>28</v>
      </c>
      <c r="E68" s="31" t="s">
        <v>66</v>
      </c>
      <c r="F68" s="31">
        <v>200</v>
      </c>
      <c r="G68" s="31" t="s">
        <v>67</v>
      </c>
      <c r="H68" s="31">
        <v>65000</v>
      </c>
      <c r="I68" s="31">
        <f t="shared" ref="I68:I131" si="12">F68*H68</f>
        <v>13000000</v>
      </c>
      <c r="J68" s="64" t="s">
        <v>90</v>
      </c>
      <c r="K68" s="113"/>
      <c r="L68" s="34">
        <f t="shared" si="7"/>
        <v>0</v>
      </c>
      <c r="M68" s="79"/>
      <c r="N68" s="79"/>
      <c r="O68" s="34">
        <f t="shared" si="8"/>
        <v>0</v>
      </c>
      <c r="P68" s="79"/>
      <c r="Q68" s="79"/>
      <c r="R68" s="34">
        <f t="shared" si="9"/>
        <v>0</v>
      </c>
      <c r="S68" s="79"/>
      <c r="T68" s="79"/>
      <c r="U68" s="34">
        <f t="shared" si="10"/>
        <v>0</v>
      </c>
      <c r="V68" s="79"/>
      <c r="W68" s="79"/>
      <c r="X68" s="34">
        <f t="shared" si="11"/>
        <v>0</v>
      </c>
      <c r="Y68" s="79"/>
      <c r="Z68" s="79"/>
      <c r="AA68" s="35">
        <f t="shared" ref="AA68:AA131" si="13">C68+I68-L68-O68-U68-X68-R68</f>
        <v>13000000</v>
      </c>
      <c r="AB68" s="80"/>
    </row>
    <row r="69" spans="1:28" ht="15.75" hidden="1" x14ac:dyDescent="0.25">
      <c r="A69" s="44">
        <v>45992</v>
      </c>
      <c r="B69" s="45" t="s">
        <v>124</v>
      </c>
      <c r="C69" s="45"/>
      <c r="D69" s="45" t="s">
        <v>28</v>
      </c>
      <c r="E69" s="45" t="s">
        <v>160</v>
      </c>
      <c r="F69" s="45">
        <v>2</v>
      </c>
      <c r="G69" s="45" t="s">
        <v>22</v>
      </c>
      <c r="H69" s="45">
        <v>400000</v>
      </c>
      <c r="I69" s="45">
        <f t="shared" si="12"/>
        <v>800000</v>
      </c>
      <c r="J69" s="59" t="s">
        <v>110</v>
      </c>
      <c r="K69" s="112"/>
      <c r="L69" s="48">
        <f t="shared" si="7"/>
        <v>0</v>
      </c>
      <c r="M69" s="48"/>
      <c r="N69" s="48"/>
      <c r="O69" s="48">
        <f t="shared" si="8"/>
        <v>800000</v>
      </c>
      <c r="P69" s="48">
        <v>800000</v>
      </c>
      <c r="Q69" s="48"/>
      <c r="R69" s="48">
        <f t="shared" si="9"/>
        <v>0</v>
      </c>
      <c r="S69" s="48"/>
      <c r="T69" s="48"/>
      <c r="U69" s="48">
        <f t="shared" si="10"/>
        <v>0</v>
      </c>
      <c r="V69" s="48"/>
      <c r="W69" s="48"/>
      <c r="X69" s="48">
        <f t="shared" si="11"/>
        <v>0</v>
      </c>
      <c r="Y69" s="48"/>
      <c r="Z69" s="48"/>
      <c r="AA69" s="49">
        <f t="shared" si="13"/>
        <v>0</v>
      </c>
      <c r="AB69" s="50">
        <v>46062</v>
      </c>
    </row>
    <row r="70" spans="1:28" ht="15.75" hidden="1" x14ac:dyDescent="0.25">
      <c r="A70" s="28">
        <v>45992</v>
      </c>
      <c r="B70" s="10" t="s">
        <v>101</v>
      </c>
      <c r="C70" s="10"/>
      <c r="D70" s="10" t="s">
        <v>32</v>
      </c>
      <c r="E70" s="10" t="s">
        <v>116</v>
      </c>
      <c r="F70" s="10">
        <v>32</v>
      </c>
      <c r="G70" s="10" t="s">
        <v>67</v>
      </c>
      <c r="H70" s="10">
        <v>65000</v>
      </c>
      <c r="I70" s="10">
        <f t="shared" si="12"/>
        <v>2080000</v>
      </c>
      <c r="J70" s="29" t="s">
        <v>110</v>
      </c>
      <c r="K70" s="63"/>
      <c r="L70" s="12">
        <f t="shared" si="7"/>
        <v>0</v>
      </c>
      <c r="M70" s="12"/>
      <c r="N70" s="12"/>
      <c r="O70" s="12">
        <f t="shared" si="8"/>
        <v>2080000</v>
      </c>
      <c r="P70" s="12">
        <v>2000000</v>
      </c>
      <c r="Q70" s="12">
        <v>80000</v>
      </c>
      <c r="R70" s="12">
        <f t="shared" si="9"/>
        <v>0</v>
      </c>
      <c r="S70" s="12"/>
      <c r="T70" s="12"/>
      <c r="U70" s="12">
        <f t="shared" si="10"/>
        <v>0</v>
      </c>
      <c r="V70" s="12"/>
      <c r="W70" s="12"/>
      <c r="X70" s="12">
        <f t="shared" si="11"/>
        <v>0</v>
      </c>
      <c r="Y70" s="12"/>
      <c r="Z70" s="12"/>
      <c r="AA70" s="13">
        <f t="shared" si="13"/>
        <v>0</v>
      </c>
      <c r="AB70" s="14">
        <v>46051</v>
      </c>
    </row>
    <row r="71" spans="1:28" ht="15.75" hidden="1" x14ac:dyDescent="0.25">
      <c r="A71" s="28">
        <v>45992</v>
      </c>
      <c r="B71" s="10" t="s">
        <v>101</v>
      </c>
      <c r="C71" s="10"/>
      <c r="D71" s="10" t="s">
        <v>32</v>
      </c>
      <c r="E71" s="10" t="s">
        <v>114</v>
      </c>
      <c r="F71" s="10">
        <v>30</v>
      </c>
      <c r="G71" s="10" t="s">
        <v>67</v>
      </c>
      <c r="H71" s="10">
        <v>50000</v>
      </c>
      <c r="I71" s="10">
        <f t="shared" si="12"/>
        <v>1500000</v>
      </c>
      <c r="J71" s="29" t="s">
        <v>110</v>
      </c>
      <c r="K71" s="63"/>
      <c r="L71" s="12">
        <f t="shared" si="7"/>
        <v>0</v>
      </c>
      <c r="M71" s="12"/>
      <c r="N71" s="12"/>
      <c r="O71" s="12">
        <f t="shared" si="8"/>
        <v>1500000</v>
      </c>
      <c r="P71" s="12">
        <v>1500000</v>
      </c>
      <c r="Q71" s="12"/>
      <c r="R71" s="12">
        <f t="shared" si="9"/>
        <v>0</v>
      </c>
      <c r="S71" s="12"/>
      <c r="T71" s="12"/>
      <c r="U71" s="12">
        <f t="shared" si="10"/>
        <v>0</v>
      </c>
      <c r="V71" s="12"/>
      <c r="W71" s="12"/>
      <c r="X71" s="12">
        <f t="shared" si="11"/>
        <v>0</v>
      </c>
      <c r="Y71" s="12"/>
      <c r="Z71" s="12"/>
      <c r="AA71" s="13">
        <f t="shared" si="13"/>
        <v>0</v>
      </c>
      <c r="AB71" s="14">
        <v>46059</v>
      </c>
    </row>
    <row r="72" spans="1:28" ht="15.75" hidden="1" x14ac:dyDescent="0.25">
      <c r="A72" s="28">
        <v>45992</v>
      </c>
      <c r="B72" s="10" t="s">
        <v>101</v>
      </c>
      <c r="C72" s="10"/>
      <c r="D72" s="10" t="s">
        <v>32</v>
      </c>
      <c r="E72" s="10" t="s">
        <v>130</v>
      </c>
      <c r="F72" s="10">
        <v>30</v>
      </c>
      <c r="G72" s="10" t="s">
        <v>67</v>
      </c>
      <c r="H72" s="10">
        <v>50000</v>
      </c>
      <c r="I72" s="10">
        <f t="shared" si="12"/>
        <v>1500000</v>
      </c>
      <c r="J72" s="29" t="s">
        <v>110</v>
      </c>
      <c r="K72" s="63"/>
      <c r="L72" s="12">
        <f t="shared" si="7"/>
        <v>0</v>
      </c>
      <c r="M72" s="12"/>
      <c r="N72" s="12"/>
      <c r="O72" s="12">
        <f t="shared" si="8"/>
        <v>1500000</v>
      </c>
      <c r="P72" s="12">
        <v>1500000</v>
      </c>
      <c r="Q72" s="12"/>
      <c r="R72" s="12">
        <f t="shared" si="9"/>
        <v>0</v>
      </c>
      <c r="S72" s="12"/>
      <c r="T72" s="12"/>
      <c r="U72" s="12">
        <f t="shared" si="10"/>
        <v>0</v>
      </c>
      <c r="V72" s="12"/>
      <c r="W72" s="12"/>
      <c r="X72" s="12">
        <f t="shared" si="11"/>
        <v>0</v>
      </c>
      <c r="Y72" s="12"/>
      <c r="Z72" s="12"/>
      <c r="AA72" s="13">
        <f t="shared" si="13"/>
        <v>0</v>
      </c>
      <c r="AB72" s="14">
        <v>46059</v>
      </c>
    </row>
    <row r="73" spans="1:28" ht="15.75" hidden="1" x14ac:dyDescent="0.25">
      <c r="A73" s="28">
        <v>45992</v>
      </c>
      <c r="B73" s="10" t="s">
        <v>135</v>
      </c>
      <c r="C73" s="10"/>
      <c r="D73" s="10" t="s">
        <v>32</v>
      </c>
      <c r="E73" s="10" t="s">
        <v>104</v>
      </c>
      <c r="F73" s="10">
        <v>20000</v>
      </c>
      <c r="G73" s="10" t="s">
        <v>26</v>
      </c>
      <c r="H73" s="10">
        <v>2000</v>
      </c>
      <c r="I73" s="10">
        <f t="shared" si="12"/>
        <v>40000000</v>
      </c>
      <c r="J73" s="52" t="s">
        <v>30</v>
      </c>
      <c r="K73" s="87"/>
      <c r="L73" s="12">
        <f t="shared" si="7"/>
        <v>35000000</v>
      </c>
      <c r="M73" s="12">
        <v>15000000</v>
      </c>
      <c r="N73" s="12">
        <v>20000000</v>
      </c>
      <c r="O73" s="12">
        <f t="shared" si="8"/>
        <v>0</v>
      </c>
      <c r="P73" s="12"/>
      <c r="Q73" s="12"/>
      <c r="R73" s="12">
        <f t="shared" si="9"/>
        <v>0</v>
      </c>
      <c r="S73" s="12"/>
      <c r="T73" s="12"/>
      <c r="U73" s="12">
        <f t="shared" si="10"/>
        <v>0</v>
      </c>
      <c r="V73" s="12"/>
      <c r="W73" s="12"/>
      <c r="X73" s="12">
        <f t="shared" si="11"/>
        <v>0</v>
      </c>
      <c r="Y73" s="12"/>
      <c r="Z73" s="12"/>
      <c r="AA73" s="13">
        <f t="shared" si="13"/>
        <v>5000000</v>
      </c>
      <c r="AB73" s="14">
        <v>46069</v>
      </c>
    </row>
    <row r="74" spans="1:28" ht="15.75" hidden="1" x14ac:dyDescent="0.25">
      <c r="A74" s="28">
        <v>45993</v>
      </c>
      <c r="B74" s="10" t="s">
        <v>122</v>
      </c>
      <c r="C74" s="10"/>
      <c r="D74" s="10" t="s">
        <v>32</v>
      </c>
      <c r="E74" s="10" t="s">
        <v>65</v>
      </c>
      <c r="F74" s="10">
        <v>20800</v>
      </c>
      <c r="G74" s="10" t="s">
        <v>26</v>
      </c>
      <c r="H74" s="10">
        <v>3800</v>
      </c>
      <c r="I74" s="10">
        <f t="shared" si="12"/>
        <v>79040000</v>
      </c>
      <c r="J74" s="52" t="s">
        <v>90</v>
      </c>
      <c r="K74" s="62"/>
      <c r="L74" s="12">
        <f t="shared" si="7"/>
        <v>0</v>
      </c>
      <c r="M74" s="12"/>
      <c r="N74" s="12"/>
      <c r="O74" s="12">
        <f t="shared" si="8"/>
        <v>20000000</v>
      </c>
      <c r="P74" s="12">
        <v>20000000</v>
      </c>
      <c r="Q74" s="12"/>
      <c r="R74" s="12">
        <f t="shared" si="9"/>
        <v>0</v>
      </c>
      <c r="S74" s="12"/>
      <c r="T74" s="12"/>
      <c r="U74" s="12">
        <f t="shared" si="10"/>
        <v>0</v>
      </c>
      <c r="V74" s="12"/>
      <c r="W74" s="12"/>
      <c r="X74" s="12">
        <f t="shared" si="11"/>
        <v>0</v>
      </c>
      <c r="Y74" s="12"/>
      <c r="Z74" s="12"/>
      <c r="AA74" s="13">
        <f t="shared" si="13"/>
        <v>59040000</v>
      </c>
      <c r="AB74" s="14">
        <v>46000</v>
      </c>
    </row>
    <row r="75" spans="1:28" ht="15.75" hidden="1" x14ac:dyDescent="0.25">
      <c r="A75" s="28">
        <v>45993</v>
      </c>
      <c r="B75" s="10" t="s">
        <v>163</v>
      </c>
      <c r="C75" s="10"/>
      <c r="D75" s="10" t="s">
        <v>28</v>
      </c>
      <c r="E75" s="10" t="s">
        <v>51</v>
      </c>
      <c r="F75" s="10">
        <v>3</v>
      </c>
      <c r="G75" s="10" t="s">
        <v>22</v>
      </c>
      <c r="H75" s="10">
        <v>426000</v>
      </c>
      <c r="I75" s="10">
        <f t="shared" si="12"/>
        <v>1278000</v>
      </c>
      <c r="J75" s="29" t="s">
        <v>40</v>
      </c>
      <c r="K75" s="71"/>
      <c r="L75" s="12">
        <f t="shared" si="7"/>
        <v>0</v>
      </c>
      <c r="M75" s="12"/>
      <c r="N75" s="12"/>
      <c r="O75" s="12">
        <f t="shared" si="8"/>
        <v>3861000</v>
      </c>
      <c r="P75" s="12">
        <v>920000</v>
      </c>
      <c r="Q75" s="12">
        <v>2941000</v>
      </c>
      <c r="R75" s="12">
        <f t="shared" si="9"/>
        <v>0</v>
      </c>
      <c r="S75" s="12"/>
      <c r="T75" s="12"/>
      <c r="U75" s="12">
        <f t="shared" si="10"/>
        <v>0</v>
      </c>
      <c r="V75" s="12"/>
      <c r="W75" s="12"/>
      <c r="X75" s="12">
        <f t="shared" si="11"/>
        <v>0</v>
      </c>
      <c r="Y75" s="12"/>
      <c r="Z75" s="12"/>
      <c r="AA75" s="13">
        <f t="shared" si="13"/>
        <v>-2583000</v>
      </c>
      <c r="AB75" s="14">
        <v>46016</v>
      </c>
    </row>
    <row r="76" spans="1:28" ht="15.75" hidden="1" x14ac:dyDescent="0.25">
      <c r="A76" s="28">
        <v>46000</v>
      </c>
      <c r="B76" s="10" t="s">
        <v>144</v>
      </c>
      <c r="C76" s="10"/>
      <c r="D76" s="10" t="s">
        <v>32</v>
      </c>
      <c r="E76" s="10" t="s">
        <v>164</v>
      </c>
      <c r="F76" s="10">
        <v>79.8</v>
      </c>
      <c r="G76" s="10" t="s">
        <v>36</v>
      </c>
      <c r="H76" s="10">
        <v>43000</v>
      </c>
      <c r="I76" s="10">
        <f t="shared" si="12"/>
        <v>3431400</v>
      </c>
      <c r="J76" s="52" t="s">
        <v>90</v>
      </c>
      <c r="K76" s="62"/>
      <c r="L76" s="12">
        <f t="shared" si="7"/>
        <v>0</v>
      </c>
      <c r="M76" s="12"/>
      <c r="N76" s="12"/>
      <c r="O76" s="12">
        <f t="shared" si="8"/>
        <v>3308800</v>
      </c>
      <c r="P76" s="12">
        <v>308800</v>
      </c>
      <c r="Q76" s="12">
        <v>3000000</v>
      </c>
      <c r="R76" s="12">
        <f t="shared" si="9"/>
        <v>0</v>
      </c>
      <c r="S76" s="12"/>
      <c r="T76" s="12"/>
      <c r="U76" s="12">
        <f t="shared" si="10"/>
        <v>0</v>
      </c>
      <c r="V76" s="12"/>
      <c r="W76" s="12"/>
      <c r="X76" s="12">
        <f t="shared" si="11"/>
        <v>0</v>
      </c>
      <c r="Y76" s="12"/>
      <c r="Z76" s="12"/>
      <c r="AA76" s="13">
        <f t="shared" si="13"/>
        <v>122600</v>
      </c>
      <c r="AB76" s="14">
        <v>46038</v>
      </c>
    </row>
    <row r="77" spans="1:28" ht="15.75" hidden="1" x14ac:dyDescent="0.25">
      <c r="A77" s="28">
        <v>46000</v>
      </c>
      <c r="B77" s="10" t="s">
        <v>53</v>
      </c>
      <c r="C77" s="10"/>
      <c r="D77" s="10" t="s">
        <v>32</v>
      </c>
      <c r="E77" s="10" t="s">
        <v>42</v>
      </c>
      <c r="F77" s="10">
        <v>50</v>
      </c>
      <c r="G77" s="81" t="s">
        <v>39</v>
      </c>
      <c r="H77" s="78"/>
      <c r="I77" s="10">
        <f t="shared" si="12"/>
        <v>0</v>
      </c>
      <c r="J77" s="52" t="s">
        <v>90</v>
      </c>
      <c r="K77" s="10"/>
      <c r="L77" s="12">
        <f t="shared" si="7"/>
        <v>0</v>
      </c>
      <c r="M77" s="12"/>
      <c r="N77" s="12"/>
      <c r="O77" s="12">
        <f t="shared" si="8"/>
        <v>0</v>
      </c>
      <c r="P77" s="12"/>
      <c r="Q77" s="12"/>
      <c r="R77" s="12">
        <f t="shared" si="9"/>
        <v>0</v>
      </c>
      <c r="S77" s="12"/>
      <c r="T77" s="12"/>
      <c r="U77" s="12">
        <f t="shared" si="10"/>
        <v>0</v>
      </c>
      <c r="V77" s="12"/>
      <c r="W77" s="12"/>
      <c r="X77" s="12">
        <f t="shared" si="11"/>
        <v>0</v>
      </c>
      <c r="Y77" s="12"/>
      <c r="Z77" s="12"/>
      <c r="AA77" s="13">
        <f t="shared" si="13"/>
        <v>0</v>
      </c>
      <c r="AB77" s="14"/>
    </row>
    <row r="78" spans="1:28" ht="15.75" hidden="1" x14ac:dyDescent="0.25">
      <c r="A78" s="28">
        <v>46001</v>
      </c>
      <c r="B78" s="10" t="s">
        <v>127</v>
      </c>
      <c r="C78" s="10"/>
      <c r="D78" s="10" t="s">
        <v>32</v>
      </c>
      <c r="E78" s="10" t="s">
        <v>129</v>
      </c>
      <c r="F78" s="10">
        <v>5200</v>
      </c>
      <c r="G78" s="10" t="s">
        <v>26</v>
      </c>
      <c r="H78" s="10">
        <v>3900</v>
      </c>
      <c r="I78" s="10">
        <f t="shared" si="12"/>
        <v>20280000</v>
      </c>
      <c r="J78" s="29" t="s">
        <v>110</v>
      </c>
      <c r="K78" s="88"/>
      <c r="L78" s="12">
        <f t="shared" si="7"/>
        <v>0</v>
      </c>
      <c r="M78" s="12"/>
      <c r="N78" s="12"/>
      <c r="O78" s="12">
        <f t="shared" si="8"/>
        <v>0</v>
      </c>
      <c r="P78" s="12"/>
      <c r="Q78" s="12"/>
      <c r="R78" s="12">
        <f t="shared" si="9"/>
        <v>20280000</v>
      </c>
      <c r="S78" s="12">
        <v>20280000</v>
      </c>
      <c r="T78" s="12"/>
      <c r="U78" s="12">
        <f t="shared" si="10"/>
        <v>0</v>
      </c>
      <c r="V78" s="12"/>
      <c r="W78" s="12"/>
      <c r="X78" s="12">
        <f t="shared" si="11"/>
        <v>0</v>
      </c>
      <c r="Y78" s="12"/>
      <c r="Z78" s="12"/>
      <c r="AA78" s="13">
        <f t="shared" si="13"/>
        <v>0</v>
      </c>
      <c r="AB78" s="14">
        <v>46069</v>
      </c>
    </row>
    <row r="79" spans="1:28" ht="15.75" hidden="1" x14ac:dyDescent="0.25">
      <c r="A79" s="28">
        <v>46001</v>
      </c>
      <c r="B79" s="10" t="s">
        <v>127</v>
      </c>
      <c r="C79" s="10"/>
      <c r="D79" s="10" t="s">
        <v>32</v>
      </c>
      <c r="E79" s="10" t="s">
        <v>65</v>
      </c>
      <c r="F79" s="10">
        <v>10400</v>
      </c>
      <c r="G79" s="10" t="s">
        <v>26</v>
      </c>
      <c r="H79" s="10">
        <v>3900</v>
      </c>
      <c r="I79" s="10">
        <f t="shared" si="12"/>
        <v>40560000</v>
      </c>
      <c r="J79" s="52" t="s">
        <v>90</v>
      </c>
      <c r="K79" s="88"/>
      <c r="L79" s="12">
        <f t="shared" si="7"/>
        <v>0</v>
      </c>
      <c r="M79" s="12"/>
      <c r="N79" s="12"/>
      <c r="O79" s="12">
        <f t="shared" si="8"/>
        <v>8290000</v>
      </c>
      <c r="P79" s="12">
        <f>8290000</f>
        <v>8290000</v>
      </c>
      <c r="Q79" s="12"/>
      <c r="R79" s="12">
        <f t="shared" si="9"/>
        <v>19720000</v>
      </c>
      <c r="S79" s="12">
        <v>19720000</v>
      </c>
      <c r="T79" s="12"/>
      <c r="U79" s="12">
        <f t="shared" si="10"/>
        <v>0</v>
      </c>
      <c r="V79" s="12"/>
      <c r="W79" s="12"/>
      <c r="X79" s="12">
        <f t="shared" si="11"/>
        <v>0</v>
      </c>
      <c r="Y79" s="12"/>
      <c r="Z79" s="12"/>
      <c r="AA79" s="13">
        <f t="shared" si="13"/>
        <v>12550000</v>
      </c>
      <c r="AB79" s="14">
        <v>46020</v>
      </c>
    </row>
    <row r="80" spans="1:28" ht="15.75" hidden="1" x14ac:dyDescent="0.25">
      <c r="A80" s="28">
        <v>46002</v>
      </c>
      <c r="B80" s="10" t="s">
        <v>176</v>
      </c>
      <c r="C80" s="10"/>
      <c r="D80" s="10" t="s">
        <v>32</v>
      </c>
      <c r="E80" s="10" t="s">
        <v>175</v>
      </c>
      <c r="F80" s="10">
        <v>6000</v>
      </c>
      <c r="G80" s="10" t="s">
        <v>26</v>
      </c>
      <c r="H80" s="10">
        <v>875</v>
      </c>
      <c r="I80" s="10">
        <f t="shared" si="12"/>
        <v>5250000</v>
      </c>
      <c r="J80" s="29" t="s">
        <v>113</v>
      </c>
      <c r="K80" s="71"/>
      <c r="L80" s="12">
        <f t="shared" si="7"/>
        <v>786800</v>
      </c>
      <c r="M80" s="12">
        <v>786800</v>
      </c>
      <c r="N80" s="12"/>
      <c r="O80" s="12">
        <f t="shared" si="8"/>
        <v>0</v>
      </c>
      <c r="P80" s="12"/>
      <c r="Q80" s="12"/>
      <c r="R80" s="12">
        <f t="shared" si="9"/>
        <v>0</v>
      </c>
      <c r="S80" s="12"/>
      <c r="T80" s="12"/>
      <c r="U80" s="12">
        <f t="shared" si="10"/>
        <v>4463200</v>
      </c>
      <c r="V80" s="12">
        <v>463200</v>
      </c>
      <c r="W80" s="12">
        <v>4000000</v>
      </c>
      <c r="X80" s="12">
        <f t="shared" si="11"/>
        <v>0</v>
      </c>
      <c r="Y80" s="12"/>
      <c r="Z80" s="12"/>
      <c r="AA80" s="13">
        <f t="shared" si="13"/>
        <v>0</v>
      </c>
      <c r="AB80" s="14">
        <v>46018</v>
      </c>
    </row>
    <row r="81" spans="1:28" ht="15.75" hidden="1" x14ac:dyDescent="0.25">
      <c r="A81" s="28">
        <v>46002</v>
      </c>
      <c r="B81" s="10" t="s">
        <v>176</v>
      </c>
      <c r="C81" s="10"/>
      <c r="D81" s="10" t="s">
        <v>32</v>
      </c>
      <c r="E81" s="10" t="s">
        <v>84</v>
      </c>
      <c r="F81" s="10">
        <v>34.299999999999997</v>
      </c>
      <c r="G81" s="10" t="s">
        <v>36</v>
      </c>
      <c r="H81" s="10">
        <v>43000</v>
      </c>
      <c r="I81" s="10">
        <f t="shared" si="12"/>
        <v>1474899.9999999998</v>
      </c>
      <c r="J81" s="29" t="s">
        <v>113</v>
      </c>
      <c r="K81" s="71"/>
      <c r="L81" s="12">
        <f t="shared" si="7"/>
        <v>1474900</v>
      </c>
      <c r="M81" s="12">
        <v>1474900</v>
      </c>
      <c r="N81" s="12"/>
      <c r="O81" s="12">
        <f t="shared" si="8"/>
        <v>0</v>
      </c>
      <c r="P81" s="12"/>
      <c r="Q81" s="12"/>
      <c r="R81" s="12">
        <f t="shared" si="9"/>
        <v>0</v>
      </c>
      <c r="S81" s="12"/>
      <c r="T81" s="12"/>
      <c r="U81" s="12">
        <f t="shared" si="10"/>
        <v>0</v>
      </c>
      <c r="V81" s="12"/>
      <c r="W81" s="12"/>
      <c r="X81" s="12">
        <f t="shared" si="11"/>
        <v>0</v>
      </c>
      <c r="Y81" s="12"/>
      <c r="Z81" s="12"/>
      <c r="AA81" s="13">
        <f t="shared" si="13"/>
        <v>-2.3283064365386963E-10</v>
      </c>
      <c r="AB81" s="14">
        <v>46055</v>
      </c>
    </row>
    <row r="82" spans="1:28" ht="15.75" hidden="1" x14ac:dyDescent="0.25">
      <c r="A82" s="28">
        <v>46003</v>
      </c>
      <c r="B82" s="10" t="s">
        <v>124</v>
      </c>
      <c r="C82" s="10"/>
      <c r="D82" s="10" t="s">
        <v>32</v>
      </c>
      <c r="E82" s="10" t="s">
        <v>177</v>
      </c>
      <c r="F82" s="10">
        <v>3</v>
      </c>
      <c r="G82" s="10" t="s">
        <v>61</v>
      </c>
      <c r="H82" s="10">
        <v>450000</v>
      </c>
      <c r="I82" s="10">
        <f t="shared" si="12"/>
        <v>1350000</v>
      </c>
      <c r="J82" s="70" t="s">
        <v>90</v>
      </c>
      <c r="K82" s="62"/>
      <c r="L82" s="12">
        <f t="shared" si="7"/>
        <v>0</v>
      </c>
      <c r="M82" s="12"/>
      <c r="N82" s="12"/>
      <c r="O82" s="12">
        <f t="shared" si="8"/>
        <v>0</v>
      </c>
      <c r="P82" s="12"/>
      <c r="Q82" s="12"/>
      <c r="R82" s="12">
        <f t="shared" si="9"/>
        <v>0</v>
      </c>
      <c r="S82" s="12"/>
      <c r="T82" s="12"/>
      <c r="U82" s="12">
        <f t="shared" si="10"/>
        <v>0</v>
      </c>
      <c r="V82" s="12"/>
      <c r="W82" s="12"/>
      <c r="X82" s="12">
        <f t="shared" si="11"/>
        <v>0</v>
      </c>
      <c r="Y82" s="12"/>
      <c r="Z82" s="12"/>
      <c r="AA82" s="13">
        <f t="shared" si="13"/>
        <v>1350000</v>
      </c>
      <c r="AB82" s="14"/>
    </row>
    <row r="83" spans="1:28" ht="15.75" hidden="1" x14ac:dyDescent="0.25">
      <c r="A83" s="28">
        <v>46003</v>
      </c>
      <c r="B83" s="10" t="s">
        <v>178</v>
      </c>
      <c r="C83" s="10"/>
      <c r="D83" s="10" t="s">
        <v>32</v>
      </c>
      <c r="E83" s="10" t="s">
        <v>80</v>
      </c>
      <c r="F83" s="10">
        <v>23.1</v>
      </c>
      <c r="G83" s="10" t="s">
        <v>36</v>
      </c>
      <c r="H83" s="10">
        <v>43000</v>
      </c>
      <c r="I83" s="10">
        <f t="shared" si="12"/>
        <v>993300.00000000012</v>
      </c>
      <c r="J83" s="29" t="s">
        <v>40</v>
      </c>
      <c r="K83" s="10"/>
      <c r="L83" s="12">
        <f t="shared" si="7"/>
        <v>0</v>
      </c>
      <c r="M83" s="12"/>
      <c r="N83" s="12"/>
      <c r="O83" s="12">
        <f t="shared" si="8"/>
        <v>1032500</v>
      </c>
      <c r="P83" s="12">
        <v>1032500</v>
      </c>
      <c r="Q83" s="12"/>
      <c r="R83" s="12">
        <f t="shared" si="9"/>
        <v>0</v>
      </c>
      <c r="S83" s="12"/>
      <c r="T83" s="12"/>
      <c r="U83" s="12">
        <f t="shared" si="10"/>
        <v>0</v>
      </c>
      <c r="V83" s="12"/>
      <c r="W83" s="12"/>
      <c r="X83" s="12">
        <f t="shared" si="11"/>
        <v>0</v>
      </c>
      <c r="Y83" s="12"/>
      <c r="Z83" s="12"/>
      <c r="AA83" s="13">
        <f t="shared" si="13"/>
        <v>-39199.999999999884</v>
      </c>
      <c r="AB83" s="14">
        <v>46003</v>
      </c>
    </row>
    <row r="84" spans="1:28" ht="15.75" hidden="1" x14ac:dyDescent="0.25">
      <c r="A84" s="28">
        <v>46004</v>
      </c>
      <c r="B84" s="10" t="s">
        <v>109</v>
      </c>
      <c r="C84" s="10"/>
      <c r="D84" s="10" t="s">
        <v>28</v>
      </c>
      <c r="E84" s="10" t="s">
        <v>181</v>
      </c>
      <c r="F84" s="10">
        <v>500</v>
      </c>
      <c r="G84" s="10" t="s">
        <v>26</v>
      </c>
      <c r="H84" s="10">
        <v>3200</v>
      </c>
      <c r="I84" s="10">
        <f t="shared" si="12"/>
        <v>1600000</v>
      </c>
      <c r="J84" s="70" t="s">
        <v>90</v>
      </c>
      <c r="K84" s="62"/>
      <c r="L84" s="12">
        <f t="shared" si="7"/>
        <v>1109700</v>
      </c>
      <c r="M84" s="12"/>
      <c r="N84" s="12">
        <v>1109700</v>
      </c>
      <c r="O84" s="12">
        <f t="shared" si="8"/>
        <v>0</v>
      </c>
      <c r="P84" s="12"/>
      <c r="Q84" s="12"/>
      <c r="R84" s="12">
        <f t="shared" si="9"/>
        <v>0</v>
      </c>
      <c r="S84" s="12"/>
      <c r="T84" s="12"/>
      <c r="U84" s="12">
        <f t="shared" si="10"/>
        <v>0</v>
      </c>
      <c r="V84" s="12"/>
      <c r="W84" s="12"/>
      <c r="X84" s="12">
        <f t="shared" si="11"/>
        <v>0</v>
      </c>
      <c r="Y84" s="12"/>
      <c r="Z84" s="12"/>
      <c r="AA84" s="13">
        <f t="shared" si="13"/>
        <v>490300</v>
      </c>
      <c r="AB84" s="14">
        <v>46067</v>
      </c>
    </row>
    <row r="85" spans="1:28" ht="15.75" hidden="1" x14ac:dyDescent="0.25">
      <c r="A85" s="28">
        <v>46004</v>
      </c>
      <c r="B85" s="10" t="s">
        <v>109</v>
      </c>
      <c r="C85" s="10"/>
      <c r="D85" s="10" t="s">
        <v>28</v>
      </c>
      <c r="E85" s="10" t="s">
        <v>129</v>
      </c>
      <c r="F85" s="10">
        <v>1000</v>
      </c>
      <c r="G85" s="10" t="s">
        <v>26</v>
      </c>
      <c r="H85" s="10">
        <v>4000</v>
      </c>
      <c r="I85" s="10">
        <f t="shared" si="12"/>
        <v>4000000</v>
      </c>
      <c r="J85" s="29" t="s">
        <v>113</v>
      </c>
      <c r="K85" s="62"/>
      <c r="L85" s="12">
        <f t="shared" si="7"/>
        <v>4000000</v>
      </c>
      <c r="M85" s="12">
        <v>1159700</v>
      </c>
      <c r="N85" s="12">
        <v>2840300</v>
      </c>
      <c r="O85" s="12">
        <f t="shared" si="8"/>
        <v>0</v>
      </c>
      <c r="P85" s="12"/>
      <c r="Q85" s="12"/>
      <c r="R85" s="12">
        <f t="shared" si="9"/>
        <v>0</v>
      </c>
      <c r="S85" s="12"/>
      <c r="T85" s="12"/>
      <c r="U85" s="12">
        <f t="shared" si="10"/>
        <v>0</v>
      </c>
      <c r="V85" s="12"/>
      <c r="W85" s="12"/>
      <c r="X85" s="12">
        <f t="shared" si="11"/>
        <v>0</v>
      </c>
      <c r="Y85" s="12"/>
      <c r="Z85" s="12"/>
      <c r="AA85" s="13">
        <f t="shared" si="13"/>
        <v>0</v>
      </c>
      <c r="AB85" s="14">
        <v>46058</v>
      </c>
    </row>
    <row r="86" spans="1:28" ht="15.75" hidden="1" x14ac:dyDescent="0.25">
      <c r="A86" s="28">
        <v>46007</v>
      </c>
      <c r="B86" s="10" t="s">
        <v>124</v>
      </c>
      <c r="C86" s="10"/>
      <c r="D86" s="10" t="s">
        <v>32</v>
      </c>
      <c r="E86" s="10" t="s">
        <v>177</v>
      </c>
      <c r="F86" s="10">
        <v>1</v>
      </c>
      <c r="G86" s="10" t="s">
        <v>61</v>
      </c>
      <c r="H86" s="10">
        <v>450000</v>
      </c>
      <c r="I86" s="10">
        <f t="shared" si="12"/>
        <v>450000</v>
      </c>
      <c r="J86" s="74" t="s">
        <v>90</v>
      </c>
      <c r="K86" s="62"/>
      <c r="L86" s="12">
        <f t="shared" si="7"/>
        <v>0</v>
      </c>
      <c r="M86" s="12"/>
      <c r="N86" s="12"/>
      <c r="O86" s="12">
        <f t="shared" si="8"/>
        <v>0</v>
      </c>
      <c r="P86" s="12"/>
      <c r="Q86" s="12"/>
      <c r="R86" s="12">
        <f t="shared" si="9"/>
        <v>0</v>
      </c>
      <c r="S86" s="12"/>
      <c r="T86" s="12"/>
      <c r="U86" s="12">
        <f t="shared" si="10"/>
        <v>0</v>
      </c>
      <c r="V86" s="12"/>
      <c r="W86" s="12"/>
      <c r="X86" s="12">
        <f t="shared" si="11"/>
        <v>0</v>
      </c>
      <c r="Y86" s="12"/>
      <c r="Z86" s="12"/>
      <c r="AA86" s="13">
        <f t="shared" si="13"/>
        <v>450000</v>
      </c>
      <c r="AB86" s="14"/>
    </row>
    <row r="87" spans="1:28" ht="15.75" hidden="1" x14ac:dyDescent="0.25">
      <c r="A87" s="28">
        <v>46007</v>
      </c>
      <c r="B87" s="10" t="s">
        <v>53</v>
      </c>
      <c r="C87" s="10"/>
      <c r="D87" s="10" t="s">
        <v>32</v>
      </c>
      <c r="E87" s="10" t="s">
        <v>136</v>
      </c>
      <c r="F87" s="10">
        <v>352.5</v>
      </c>
      <c r="G87" s="10" t="s">
        <v>36</v>
      </c>
      <c r="H87" s="10">
        <v>43000</v>
      </c>
      <c r="I87" s="10">
        <f t="shared" si="12"/>
        <v>15157500</v>
      </c>
      <c r="J87" s="52" t="s">
        <v>90</v>
      </c>
      <c r="K87" s="62"/>
      <c r="L87" s="12">
        <f t="shared" si="7"/>
        <v>0</v>
      </c>
      <c r="M87" s="12"/>
      <c r="N87" s="12"/>
      <c r="O87" s="12">
        <f t="shared" si="8"/>
        <v>11580600</v>
      </c>
      <c r="P87" s="12">
        <v>11580600</v>
      </c>
      <c r="Q87" s="12"/>
      <c r="R87" s="12">
        <f t="shared" si="9"/>
        <v>0</v>
      </c>
      <c r="S87" s="12"/>
      <c r="T87" s="12"/>
      <c r="U87" s="12">
        <f t="shared" si="10"/>
        <v>0</v>
      </c>
      <c r="V87" s="12"/>
      <c r="W87" s="12"/>
      <c r="X87" s="12">
        <f t="shared" si="11"/>
        <v>0</v>
      </c>
      <c r="Y87" s="12"/>
      <c r="Z87" s="12"/>
      <c r="AA87" s="13">
        <f t="shared" si="13"/>
        <v>3576900</v>
      </c>
      <c r="AB87" s="14">
        <v>46052</v>
      </c>
    </row>
    <row r="88" spans="1:28" ht="15.75" hidden="1" x14ac:dyDescent="0.25">
      <c r="A88" s="28">
        <v>46008</v>
      </c>
      <c r="B88" s="10" t="s">
        <v>185</v>
      </c>
      <c r="C88" s="10"/>
      <c r="D88" s="10" t="s">
        <v>32</v>
      </c>
      <c r="E88" s="10" t="s">
        <v>42</v>
      </c>
      <c r="F88" s="10">
        <v>50</v>
      </c>
      <c r="G88" s="10" t="s">
        <v>39</v>
      </c>
      <c r="H88" s="10">
        <v>53000</v>
      </c>
      <c r="I88" s="10">
        <f t="shared" si="12"/>
        <v>2650000</v>
      </c>
      <c r="J88" s="52" t="s">
        <v>90</v>
      </c>
      <c r="K88" s="10"/>
      <c r="L88" s="12">
        <f t="shared" si="7"/>
        <v>0</v>
      </c>
      <c r="M88" s="12"/>
      <c r="N88" s="12"/>
      <c r="O88" s="12">
        <f t="shared" si="8"/>
        <v>0</v>
      </c>
      <c r="P88" s="12"/>
      <c r="Q88" s="12"/>
      <c r="R88" s="12">
        <f t="shared" si="9"/>
        <v>0</v>
      </c>
      <c r="S88" s="12"/>
      <c r="T88" s="12"/>
      <c r="U88" s="12">
        <f t="shared" si="10"/>
        <v>0</v>
      </c>
      <c r="V88" s="12"/>
      <c r="W88" s="12"/>
      <c r="X88" s="12">
        <f t="shared" si="11"/>
        <v>0</v>
      </c>
      <c r="Y88" s="12"/>
      <c r="Z88" s="12"/>
      <c r="AA88" s="13">
        <f t="shared" si="13"/>
        <v>2650000</v>
      </c>
      <c r="AB88" s="14"/>
    </row>
    <row r="89" spans="1:28" ht="15.75" hidden="1" x14ac:dyDescent="0.25">
      <c r="A89" s="28">
        <v>46009</v>
      </c>
      <c r="B89" s="10" t="s">
        <v>172</v>
      </c>
      <c r="C89" s="10"/>
      <c r="D89" s="10" t="s">
        <v>32</v>
      </c>
      <c r="E89" s="10" t="s">
        <v>186</v>
      </c>
      <c r="F89" s="10">
        <v>14</v>
      </c>
      <c r="G89" s="10" t="s">
        <v>22</v>
      </c>
      <c r="H89" s="10">
        <v>1200000</v>
      </c>
      <c r="I89" s="10">
        <f t="shared" si="12"/>
        <v>16800000</v>
      </c>
      <c r="J89" s="52" t="s">
        <v>90</v>
      </c>
      <c r="K89" s="88"/>
      <c r="L89" s="12">
        <f t="shared" si="7"/>
        <v>0</v>
      </c>
      <c r="M89" s="12"/>
      <c r="N89" s="12"/>
      <c r="O89" s="12">
        <f t="shared" si="8"/>
        <v>6001000</v>
      </c>
      <c r="P89" s="12">
        <v>6001000</v>
      </c>
      <c r="Q89" s="12"/>
      <c r="R89" s="12">
        <f t="shared" si="9"/>
        <v>0</v>
      </c>
      <c r="S89" s="12"/>
      <c r="T89" s="12"/>
      <c r="U89" s="12">
        <f t="shared" si="10"/>
        <v>0</v>
      </c>
      <c r="V89" s="12"/>
      <c r="W89" s="12"/>
      <c r="X89" s="12">
        <f t="shared" si="11"/>
        <v>0</v>
      </c>
      <c r="Y89" s="12"/>
      <c r="Z89" s="12"/>
      <c r="AA89" s="13">
        <f t="shared" si="13"/>
        <v>10799000</v>
      </c>
      <c r="AB89" s="14">
        <v>46037</v>
      </c>
    </row>
    <row r="90" spans="1:28" ht="15.75" hidden="1" x14ac:dyDescent="0.25">
      <c r="A90" s="28">
        <v>46009</v>
      </c>
      <c r="B90" s="10" t="s">
        <v>122</v>
      </c>
      <c r="C90" s="10"/>
      <c r="D90" s="10" t="s">
        <v>32</v>
      </c>
      <c r="E90" s="10" t="s">
        <v>189</v>
      </c>
      <c r="F90" s="10">
        <v>16</v>
      </c>
      <c r="G90" s="10" t="s">
        <v>61</v>
      </c>
      <c r="H90" s="10">
        <v>300000</v>
      </c>
      <c r="I90" s="10">
        <f t="shared" si="12"/>
        <v>4800000</v>
      </c>
      <c r="J90" s="52" t="s">
        <v>30</v>
      </c>
      <c r="K90" s="88"/>
      <c r="L90" s="12">
        <f t="shared" si="7"/>
        <v>2307700</v>
      </c>
      <c r="M90" s="12"/>
      <c r="N90" s="12">
        <v>2307700</v>
      </c>
      <c r="O90" s="12">
        <f t="shared" si="8"/>
        <v>0</v>
      </c>
      <c r="P90" s="12"/>
      <c r="Q90" s="12"/>
      <c r="R90" s="12">
        <f t="shared" si="9"/>
        <v>0</v>
      </c>
      <c r="S90" s="12"/>
      <c r="T90" s="12"/>
      <c r="U90" s="12">
        <f t="shared" si="10"/>
        <v>0</v>
      </c>
      <c r="V90" s="12"/>
      <c r="W90" s="12"/>
      <c r="X90" s="12">
        <f t="shared" si="11"/>
        <v>0</v>
      </c>
      <c r="Y90" s="12"/>
      <c r="Z90" s="12"/>
      <c r="AA90" s="13">
        <f t="shared" si="13"/>
        <v>2492300</v>
      </c>
      <c r="AB90" s="14">
        <v>46053</v>
      </c>
    </row>
    <row r="91" spans="1:28" ht="15.75" hidden="1" x14ac:dyDescent="0.25">
      <c r="A91" s="28">
        <v>46009</v>
      </c>
      <c r="B91" s="10" t="s">
        <v>122</v>
      </c>
      <c r="C91" s="10"/>
      <c r="D91" s="10" t="s">
        <v>32</v>
      </c>
      <c r="E91" s="10" t="s">
        <v>118</v>
      </c>
      <c r="F91" s="10">
        <v>10</v>
      </c>
      <c r="G91" s="10" t="s">
        <v>22</v>
      </c>
      <c r="H91" s="10">
        <v>400000</v>
      </c>
      <c r="I91" s="10">
        <f t="shared" si="12"/>
        <v>4000000</v>
      </c>
      <c r="J91" s="52" t="s">
        <v>30</v>
      </c>
      <c r="K91" s="88"/>
      <c r="L91" s="12">
        <f t="shared" si="7"/>
        <v>0</v>
      </c>
      <c r="M91" s="12"/>
      <c r="N91" s="12"/>
      <c r="O91" s="12">
        <f t="shared" si="8"/>
        <v>0</v>
      </c>
      <c r="P91" s="12"/>
      <c r="Q91" s="12"/>
      <c r="R91" s="12">
        <f t="shared" si="9"/>
        <v>0</v>
      </c>
      <c r="S91" s="12"/>
      <c r="T91" s="12"/>
      <c r="U91" s="12">
        <f t="shared" si="10"/>
        <v>0</v>
      </c>
      <c r="V91" s="12"/>
      <c r="W91" s="12"/>
      <c r="X91" s="12">
        <f t="shared" si="11"/>
        <v>0</v>
      </c>
      <c r="Y91" s="12"/>
      <c r="Z91" s="12"/>
      <c r="AA91" s="13">
        <f t="shared" si="13"/>
        <v>4000000</v>
      </c>
      <c r="AB91" s="14"/>
    </row>
    <row r="92" spans="1:28" ht="15.75" hidden="1" x14ac:dyDescent="0.25">
      <c r="A92" s="28">
        <v>46009</v>
      </c>
      <c r="B92" s="10" t="s">
        <v>176</v>
      </c>
      <c r="C92" s="10"/>
      <c r="D92" s="10" t="s">
        <v>32</v>
      </c>
      <c r="E92" s="10" t="s">
        <v>175</v>
      </c>
      <c r="F92" s="10">
        <v>6000</v>
      </c>
      <c r="G92" s="10" t="s">
        <v>26</v>
      </c>
      <c r="H92" s="10">
        <v>875</v>
      </c>
      <c r="I92" s="10">
        <f t="shared" si="12"/>
        <v>5250000</v>
      </c>
      <c r="J92" s="52" t="s">
        <v>90</v>
      </c>
      <c r="K92" s="62"/>
      <c r="L92" s="12">
        <f t="shared" si="7"/>
        <v>0</v>
      </c>
      <c r="M92" s="12"/>
      <c r="N92" s="12"/>
      <c r="O92" s="12">
        <f t="shared" si="8"/>
        <v>3390000</v>
      </c>
      <c r="P92" s="12">
        <v>3390000</v>
      </c>
      <c r="Q92" s="12"/>
      <c r="R92" s="12">
        <f t="shared" si="9"/>
        <v>0</v>
      </c>
      <c r="S92" s="12"/>
      <c r="T92" s="12"/>
      <c r="U92" s="12">
        <f t="shared" si="10"/>
        <v>0</v>
      </c>
      <c r="V92" s="12"/>
      <c r="W92" s="12"/>
      <c r="X92" s="12">
        <f t="shared" si="11"/>
        <v>0</v>
      </c>
      <c r="Y92" s="12"/>
      <c r="Z92" s="12"/>
      <c r="AA92" s="13">
        <f t="shared" si="13"/>
        <v>1860000</v>
      </c>
      <c r="AB92" s="14">
        <v>46015</v>
      </c>
    </row>
    <row r="93" spans="1:28" ht="15.75" hidden="1" x14ac:dyDescent="0.25">
      <c r="A93" s="28">
        <v>46010</v>
      </c>
      <c r="B93" s="10" t="s">
        <v>144</v>
      </c>
      <c r="C93" s="10"/>
      <c r="D93" s="10" t="s">
        <v>32</v>
      </c>
      <c r="E93" s="10" t="s">
        <v>164</v>
      </c>
      <c r="F93" s="10">
        <v>68.400000000000006</v>
      </c>
      <c r="G93" s="10" t="s">
        <v>36</v>
      </c>
      <c r="H93" s="10">
        <v>43000</v>
      </c>
      <c r="I93" s="10">
        <f t="shared" si="12"/>
        <v>2941200.0000000005</v>
      </c>
      <c r="J93" s="52" t="s">
        <v>90</v>
      </c>
      <c r="K93" s="62"/>
      <c r="L93" s="12">
        <f t="shared" si="7"/>
        <v>0</v>
      </c>
      <c r="M93" s="12"/>
      <c r="N93" s="12"/>
      <c r="O93" s="12">
        <f t="shared" si="8"/>
        <v>0</v>
      </c>
      <c r="P93" s="12"/>
      <c r="Q93" s="12"/>
      <c r="R93" s="12">
        <f t="shared" si="9"/>
        <v>0</v>
      </c>
      <c r="S93" s="12"/>
      <c r="T93" s="12"/>
      <c r="U93" s="12">
        <f t="shared" si="10"/>
        <v>0</v>
      </c>
      <c r="V93" s="12"/>
      <c r="W93" s="12"/>
      <c r="X93" s="12">
        <f t="shared" si="11"/>
        <v>0</v>
      </c>
      <c r="Y93" s="12"/>
      <c r="Z93" s="12"/>
      <c r="AA93" s="13">
        <f t="shared" si="13"/>
        <v>2941200.0000000005</v>
      </c>
      <c r="AB93" s="14"/>
    </row>
    <row r="94" spans="1:28" ht="15.75" hidden="1" x14ac:dyDescent="0.25">
      <c r="A94" s="28">
        <v>46010</v>
      </c>
      <c r="B94" s="10" t="s">
        <v>194</v>
      </c>
      <c r="C94" s="10"/>
      <c r="D94" s="10" t="s">
        <v>195</v>
      </c>
      <c r="E94" s="10" t="s">
        <v>104</v>
      </c>
      <c r="F94" s="10">
        <v>200</v>
      </c>
      <c r="G94" s="10" t="s">
        <v>26</v>
      </c>
      <c r="H94" s="10">
        <v>2000</v>
      </c>
      <c r="I94" s="10">
        <f t="shared" si="12"/>
        <v>400000</v>
      </c>
      <c r="J94" s="29" t="s">
        <v>113</v>
      </c>
      <c r="K94" s="10"/>
      <c r="L94" s="12">
        <f t="shared" si="7"/>
        <v>0</v>
      </c>
      <c r="M94" s="12"/>
      <c r="N94" s="12"/>
      <c r="O94" s="12">
        <f t="shared" si="8"/>
        <v>0</v>
      </c>
      <c r="P94" s="12"/>
      <c r="Q94" s="12"/>
      <c r="R94" s="12">
        <f t="shared" si="9"/>
        <v>0</v>
      </c>
      <c r="S94" s="12"/>
      <c r="T94" s="12"/>
      <c r="U94" s="12">
        <f t="shared" si="10"/>
        <v>400000</v>
      </c>
      <c r="V94" s="12">
        <v>400000</v>
      </c>
      <c r="W94" s="12"/>
      <c r="X94" s="12">
        <f t="shared" si="11"/>
        <v>0</v>
      </c>
      <c r="Y94" s="12"/>
      <c r="Z94" s="12"/>
      <c r="AA94" s="13">
        <f t="shared" si="13"/>
        <v>0</v>
      </c>
      <c r="AB94" s="14">
        <v>46009</v>
      </c>
    </row>
    <row r="95" spans="1:28" ht="15.75" hidden="1" x14ac:dyDescent="0.25">
      <c r="A95" s="28">
        <v>46014</v>
      </c>
      <c r="B95" s="10" t="s">
        <v>101</v>
      </c>
      <c r="C95" s="10"/>
      <c r="D95" s="10" t="s">
        <v>32</v>
      </c>
      <c r="E95" s="10" t="s">
        <v>88</v>
      </c>
      <c r="F95" s="10">
        <v>50</v>
      </c>
      <c r="G95" s="10" t="s">
        <v>36</v>
      </c>
      <c r="H95" s="10">
        <v>125000</v>
      </c>
      <c r="I95" s="10">
        <f t="shared" si="12"/>
        <v>6250000</v>
      </c>
      <c r="J95" s="29" t="s">
        <v>110</v>
      </c>
      <c r="K95" s="87"/>
      <c r="L95" s="12">
        <f t="shared" si="7"/>
        <v>0</v>
      </c>
      <c r="M95" s="12"/>
      <c r="N95" s="12"/>
      <c r="O95" s="12">
        <f t="shared" si="8"/>
        <v>6250000</v>
      </c>
      <c r="P95" s="12">
        <v>5000000</v>
      </c>
      <c r="Q95" s="12">
        <v>1250000</v>
      </c>
      <c r="R95" s="12">
        <f t="shared" si="9"/>
        <v>0</v>
      </c>
      <c r="S95" s="12"/>
      <c r="T95" s="12"/>
      <c r="U95" s="12">
        <f t="shared" si="10"/>
        <v>0</v>
      </c>
      <c r="V95" s="12"/>
      <c r="W95" s="12"/>
      <c r="X95" s="12">
        <f t="shared" si="11"/>
        <v>0</v>
      </c>
      <c r="Y95" s="12"/>
      <c r="Z95" s="12"/>
      <c r="AA95" s="13">
        <f t="shared" si="13"/>
        <v>0</v>
      </c>
      <c r="AB95" s="14">
        <v>46059</v>
      </c>
    </row>
    <row r="96" spans="1:28" ht="15.75" hidden="1" x14ac:dyDescent="0.25">
      <c r="A96" s="28">
        <v>46014</v>
      </c>
      <c r="B96" s="10" t="s">
        <v>101</v>
      </c>
      <c r="C96" s="10"/>
      <c r="D96" s="10" t="s">
        <v>32</v>
      </c>
      <c r="E96" s="10" t="s">
        <v>198</v>
      </c>
      <c r="F96" s="10">
        <v>35.200000000000003</v>
      </c>
      <c r="G96" s="10" t="s">
        <v>36</v>
      </c>
      <c r="H96" s="10">
        <v>43000</v>
      </c>
      <c r="I96" s="10">
        <f t="shared" si="12"/>
        <v>1513600.0000000002</v>
      </c>
      <c r="J96" s="29" t="s">
        <v>110</v>
      </c>
      <c r="K96" s="87"/>
      <c r="L96" s="12">
        <f t="shared" si="7"/>
        <v>0</v>
      </c>
      <c r="M96" s="12"/>
      <c r="N96" s="12"/>
      <c r="O96" s="12">
        <f t="shared" si="8"/>
        <v>1513600</v>
      </c>
      <c r="P96" s="12"/>
      <c r="Q96" s="12">
        <v>1513600</v>
      </c>
      <c r="R96" s="12">
        <f t="shared" si="9"/>
        <v>0</v>
      </c>
      <c r="S96" s="12"/>
      <c r="T96" s="12"/>
      <c r="U96" s="12">
        <f t="shared" si="10"/>
        <v>0</v>
      </c>
      <c r="V96" s="12"/>
      <c r="W96" s="12"/>
      <c r="X96" s="12">
        <f t="shared" si="11"/>
        <v>0</v>
      </c>
      <c r="Y96" s="12"/>
      <c r="Z96" s="12"/>
      <c r="AA96" s="13">
        <f t="shared" si="13"/>
        <v>2.3283064365386963E-10</v>
      </c>
      <c r="AB96" s="14">
        <v>46077</v>
      </c>
    </row>
    <row r="97" spans="1:28" ht="15.75" hidden="1" x14ac:dyDescent="0.25">
      <c r="A97" s="28">
        <v>46015</v>
      </c>
      <c r="B97" s="10" t="s">
        <v>200</v>
      </c>
      <c r="C97" s="10"/>
      <c r="D97" s="10" t="s">
        <v>195</v>
      </c>
      <c r="E97" s="10" t="s">
        <v>201</v>
      </c>
      <c r="F97" s="10">
        <v>500</v>
      </c>
      <c r="G97" s="10" t="s">
        <v>39</v>
      </c>
      <c r="H97" s="10">
        <v>42500</v>
      </c>
      <c r="I97" s="10">
        <f t="shared" si="12"/>
        <v>21250000</v>
      </c>
      <c r="J97" s="29" t="s">
        <v>113</v>
      </c>
      <c r="K97" s="88"/>
      <c r="L97" s="12">
        <f t="shared" si="7"/>
        <v>21250000</v>
      </c>
      <c r="M97" s="12">
        <v>350000</v>
      </c>
      <c r="N97" s="12">
        <v>20900000</v>
      </c>
      <c r="O97" s="12">
        <f t="shared" si="8"/>
        <v>0</v>
      </c>
      <c r="P97" s="12"/>
      <c r="Q97" s="12"/>
      <c r="R97" s="12">
        <f t="shared" si="9"/>
        <v>0</v>
      </c>
      <c r="S97" s="12"/>
      <c r="T97" s="12"/>
      <c r="U97" s="12">
        <f t="shared" si="10"/>
        <v>0</v>
      </c>
      <c r="V97" s="12"/>
      <c r="W97" s="12"/>
      <c r="X97" s="12">
        <f t="shared" si="11"/>
        <v>0</v>
      </c>
      <c r="Y97" s="12"/>
      <c r="Z97" s="12"/>
      <c r="AA97" s="13">
        <f t="shared" si="13"/>
        <v>0</v>
      </c>
      <c r="AB97" s="14">
        <v>46020</v>
      </c>
    </row>
    <row r="98" spans="1:28" ht="15.75" hidden="1" x14ac:dyDescent="0.25">
      <c r="A98" s="28">
        <v>46015</v>
      </c>
      <c r="B98" s="10" t="s">
        <v>149</v>
      </c>
      <c r="C98" s="10"/>
      <c r="D98" s="10" t="s">
        <v>32</v>
      </c>
      <c r="E98" s="10" t="s">
        <v>107</v>
      </c>
      <c r="F98" s="10">
        <v>300</v>
      </c>
      <c r="G98" s="10" t="s">
        <v>36</v>
      </c>
      <c r="H98" s="10">
        <v>60000</v>
      </c>
      <c r="I98" s="10">
        <f t="shared" si="12"/>
        <v>18000000</v>
      </c>
      <c r="J98" s="29" t="s">
        <v>110</v>
      </c>
      <c r="K98" s="88"/>
      <c r="L98" s="12">
        <f t="shared" si="7"/>
        <v>0</v>
      </c>
      <c r="M98" s="12"/>
      <c r="N98" s="12"/>
      <c r="O98" s="12">
        <f t="shared" si="8"/>
        <v>18000000</v>
      </c>
      <c r="P98" s="12">
        <v>18000000</v>
      </c>
      <c r="Q98" s="12"/>
      <c r="R98" s="12">
        <f t="shared" si="9"/>
        <v>0</v>
      </c>
      <c r="S98" s="12"/>
      <c r="T98" s="12"/>
      <c r="U98" s="12">
        <f t="shared" si="10"/>
        <v>0</v>
      </c>
      <c r="V98" s="12"/>
      <c r="W98" s="12"/>
      <c r="X98" s="12">
        <f t="shared" si="11"/>
        <v>0</v>
      </c>
      <c r="Y98" s="12"/>
      <c r="Z98" s="12"/>
      <c r="AA98" s="13">
        <f t="shared" si="13"/>
        <v>0</v>
      </c>
      <c r="AB98" s="14">
        <v>46059</v>
      </c>
    </row>
    <row r="99" spans="1:28" ht="15.75" hidden="1" x14ac:dyDescent="0.25">
      <c r="A99" s="28">
        <v>46015</v>
      </c>
      <c r="B99" s="10" t="s">
        <v>204</v>
      </c>
      <c r="C99" s="10"/>
      <c r="D99" s="10" t="s">
        <v>32</v>
      </c>
      <c r="E99" s="10" t="s">
        <v>104</v>
      </c>
      <c r="F99" s="10">
        <v>1600</v>
      </c>
      <c r="G99" s="10" t="s">
        <v>26</v>
      </c>
      <c r="H99" s="10">
        <v>1900</v>
      </c>
      <c r="I99" s="10">
        <f t="shared" si="12"/>
        <v>3040000</v>
      </c>
      <c r="J99" s="29" t="s">
        <v>110</v>
      </c>
      <c r="K99" s="10"/>
      <c r="L99" s="12">
        <f t="shared" si="7"/>
        <v>0</v>
      </c>
      <c r="M99" s="12"/>
      <c r="N99" s="12"/>
      <c r="O99" s="12">
        <f t="shared" si="8"/>
        <v>0</v>
      </c>
      <c r="P99" s="12"/>
      <c r="Q99" s="12"/>
      <c r="R99" s="12">
        <f t="shared" si="9"/>
        <v>3040000</v>
      </c>
      <c r="S99" s="12">
        <v>3040000</v>
      </c>
      <c r="T99" s="12"/>
      <c r="U99" s="12">
        <f t="shared" si="10"/>
        <v>0</v>
      </c>
      <c r="V99" s="12"/>
      <c r="W99" s="12"/>
      <c r="X99" s="12">
        <f t="shared" si="11"/>
        <v>0</v>
      </c>
      <c r="Y99" s="12"/>
      <c r="Z99" s="12"/>
      <c r="AA99" s="13">
        <f t="shared" si="13"/>
        <v>0</v>
      </c>
      <c r="AB99" s="14">
        <v>46020</v>
      </c>
    </row>
    <row r="100" spans="1:28" ht="15.75" hidden="1" x14ac:dyDescent="0.25">
      <c r="A100" s="28">
        <v>46016</v>
      </c>
      <c r="B100" s="10" t="s">
        <v>158</v>
      </c>
      <c r="C100" s="10"/>
      <c r="D100" s="10" t="s">
        <v>32</v>
      </c>
      <c r="E100" s="10" t="s">
        <v>104</v>
      </c>
      <c r="F100" s="10">
        <v>10400</v>
      </c>
      <c r="G100" s="10" t="s">
        <v>26</v>
      </c>
      <c r="H100" s="10">
        <v>1825</v>
      </c>
      <c r="I100" s="10">
        <f t="shared" si="12"/>
        <v>18980000</v>
      </c>
      <c r="J100" s="29" t="s">
        <v>110</v>
      </c>
      <c r="K100" s="88"/>
      <c r="L100" s="12">
        <f t="shared" si="7"/>
        <v>0</v>
      </c>
      <c r="M100" s="12"/>
      <c r="N100" s="12"/>
      <c r="O100" s="12">
        <f t="shared" si="8"/>
        <v>0</v>
      </c>
      <c r="P100" s="12"/>
      <c r="Q100" s="12"/>
      <c r="R100" s="12">
        <f t="shared" si="9"/>
        <v>18980000</v>
      </c>
      <c r="S100" s="12">
        <f>3000000+5000000</f>
        <v>8000000</v>
      </c>
      <c r="T100" s="12">
        <f>5000000+5980000</f>
        <v>10980000</v>
      </c>
      <c r="U100" s="12">
        <f t="shared" si="10"/>
        <v>0</v>
      </c>
      <c r="V100" s="12"/>
      <c r="W100" s="12"/>
      <c r="X100" s="12">
        <f t="shared" si="11"/>
        <v>0</v>
      </c>
      <c r="Y100" s="12"/>
      <c r="Z100" s="12"/>
      <c r="AA100" s="13">
        <f t="shared" si="13"/>
        <v>0</v>
      </c>
      <c r="AB100" s="14">
        <v>46050</v>
      </c>
    </row>
    <row r="101" spans="1:28" ht="15.75" hidden="1" x14ac:dyDescent="0.25">
      <c r="A101" s="28">
        <v>46016</v>
      </c>
      <c r="B101" s="10" t="s">
        <v>109</v>
      </c>
      <c r="C101" s="10"/>
      <c r="D101" s="10" t="s">
        <v>28</v>
      </c>
      <c r="E101" s="10" t="s">
        <v>205</v>
      </c>
      <c r="F101" s="10">
        <v>25</v>
      </c>
      <c r="G101" s="10" t="s">
        <v>36</v>
      </c>
      <c r="H101" s="10">
        <v>55000</v>
      </c>
      <c r="I101" s="10">
        <f t="shared" si="12"/>
        <v>1375000</v>
      </c>
      <c r="J101" s="29" t="s">
        <v>113</v>
      </c>
      <c r="K101" s="87"/>
      <c r="L101" s="12">
        <f t="shared" si="7"/>
        <v>1375000</v>
      </c>
      <c r="M101" s="12">
        <v>1375000</v>
      </c>
      <c r="N101" s="12"/>
      <c r="O101" s="12">
        <f t="shared" si="8"/>
        <v>0</v>
      </c>
      <c r="P101" s="12"/>
      <c r="Q101" s="12"/>
      <c r="R101" s="12">
        <f t="shared" si="9"/>
        <v>0</v>
      </c>
      <c r="S101" s="12"/>
      <c r="T101" s="12"/>
      <c r="U101" s="12">
        <f t="shared" si="10"/>
        <v>0</v>
      </c>
      <c r="V101" s="12"/>
      <c r="W101" s="12"/>
      <c r="X101" s="12">
        <f t="shared" si="11"/>
        <v>0</v>
      </c>
      <c r="Y101" s="12"/>
      <c r="Z101" s="12"/>
      <c r="AA101" s="13">
        <f t="shared" si="13"/>
        <v>0</v>
      </c>
      <c r="AB101" s="14">
        <v>46058</v>
      </c>
    </row>
    <row r="102" spans="1:28" ht="15.75" hidden="1" x14ac:dyDescent="0.25">
      <c r="A102" s="28">
        <v>46016</v>
      </c>
      <c r="B102" s="10" t="s">
        <v>124</v>
      </c>
      <c r="C102" s="10"/>
      <c r="D102" s="10" t="s">
        <v>32</v>
      </c>
      <c r="E102" s="10" t="s">
        <v>177</v>
      </c>
      <c r="F102" s="10">
        <v>2</v>
      </c>
      <c r="G102" s="10" t="s">
        <v>61</v>
      </c>
      <c r="H102" s="10">
        <v>450000</v>
      </c>
      <c r="I102" s="10">
        <f t="shared" si="12"/>
        <v>900000</v>
      </c>
      <c r="J102" s="52" t="s">
        <v>90</v>
      </c>
      <c r="K102" s="87"/>
      <c r="L102" s="12">
        <f t="shared" si="7"/>
        <v>0</v>
      </c>
      <c r="M102" s="12"/>
      <c r="N102" s="12"/>
      <c r="O102" s="12">
        <f t="shared" si="8"/>
        <v>0</v>
      </c>
      <c r="P102" s="12"/>
      <c r="Q102" s="12"/>
      <c r="R102" s="12">
        <f t="shared" si="9"/>
        <v>0</v>
      </c>
      <c r="S102" s="12"/>
      <c r="T102" s="12"/>
      <c r="U102" s="12">
        <f t="shared" si="10"/>
        <v>0</v>
      </c>
      <c r="V102" s="12"/>
      <c r="W102" s="12"/>
      <c r="X102" s="12">
        <f t="shared" si="11"/>
        <v>0</v>
      </c>
      <c r="Y102" s="12"/>
      <c r="Z102" s="12"/>
      <c r="AA102" s="13">
        <f t="shared" si="13"/>
        <v>900000</v>
      </c>
      <c r="AB102" s="14"/>
    </row>
    <row r="103" spans="1:28" ht="15.75" hidden="1" x14ac:dyDescent="0.25">
      <c r="A103" s="28">
        <v>46017</v>
      </c>
      <c r="B103" s="10" t="s">
        <v>176</v>
      </c>
      <c r="C103" s="10"/>
      <c r="D103" s="10" t="s">
        <v>206</v>
      </c>
      <c r="E103" s="10" t="s">
        <v>209</v>
      </c>
      <c r="F103" s="10">
        <v>2</v>
      </c>
      <c r="G103" s="10" t="s">
        <v>61</v>
      </c>
      <c r="H103" s="10">
        <v>230000</v>
      </c>
      <c r="I103" s="10">
        <f t="shared" si="12"/>
        <v>460000</v>
      </c>
      <c r="J103" s="29" t="s">
        <v>113</v>
      </c>
      <c r="K103" s="95"/>
      <c r="L103" s="12">
        <f t="shared" si="7"/>
        <v>460000</v>
      </c>
      <c r="M103" s="12">
        <v>460000</v>
      </c>
      <c r="N103" s="12"/>
      <c r="O103" s="12">
        <f t="shared" si="8"/>
        <v>0</v>
      </c>
      <c r="P103" s="12"/>
      <c r="Q103" s="12"/>
      <c r="R103" s="12">
        <f t="shared" si="9"/>
        <v>0</v>
      </c>
      <c r="S103" s="12"/>
      <c r="T103" s="12"/>
      <c r="U103" s="12">
        <f t="shared" si="10"/>
        <v>0</v>
      </c>
      <c r="V103" s="12"/>
      <c r="W103" s="12"/>
      <c r="X103" s="12">
        <f t="shared" si="11"/>
        <v>0</v>
      </c>
      <c r="Y103" s="12"/>
      <c r="Z103" s="12"/>
      <c r="AA103" s="13">
        <f t="shared" si="13"/>
        <v>0</v>
      </c>
      <c r="AB103" s="14">
        <v>46055</v>
      </c>
    </row>
    <row r="104" spans="1:28" ht="15.75" hidden="1" x14ac:dyDescent="0.25">
      <c r="A104" s="28">
        <v>46017</v>
      </c>
      <c r="B104" s="10" t="s">
        <v>124</v>
      </c>
      <c r="C104" s="10"/>
      <c r="D104" s="10" t="s">
        <v>28</v>
      </c>
      <c r="E104" s="10" t="s">
        <v>160</v>
      </c>
      <c r="F104" s="10">
        <v>2</v>
      </c>
      <c r="G104" s="10" t="s">
        <v>22</v>
      </c>
      <c r="H104" s="10">
        <v>400000</v>
      </c>
      <c r="I104" s="10">
        <f t="shared" si="12"/>
        <v>800000</v>
      </c>
      <c r="J104" s="29" t="s">
        <v>110</v>
      </c>
      <c r="K104" s="87"/>
      <c r="L104" s="12">
        <f t="shared" si="7"/>
        <v>0</v>
      </c>
      <c r="M104" s="12"/>
      <c r="N104" s="12"/>
      <c r="O104" s="12">
        <f t="shared" si="8"/>
        <v>800000</v>
      </c>
      <c r="P104" s="12">
        <v>800000</v>
      </c>
      <c r="Q104" s="12"/>
      <c r="R104" s="12">
        <f t="shared" si="9"/>
        <v>0</v>
      </c>
      <c r="S104" s="12"/>
      <c r="T104" s="12"/>
      <c r="U104" s="12">
        <f t="shared" si="10"/>
        <v>0</v>
      </c>
      <c r="V104" s="12"/>
      <c r="W104" s="12"/>
      <c r="X104" s="12">
        <f t="shared" si="11"/>
        <v>0</v>
      </c>
      <c r="Y104" s="12"/>
      <c r="Z104" s="12"/>
      <c r="AA104" s="13">
        <f t="shared" si="13"/>
        <v>0</v>
      </c>
      <c r="AB104" s="14">
        <v>46062</v>
      </c>
    </row>
    <row r="105" spans="1:28" ht="15.75" hidden="1" x14ac:dyDescent="0.25">
      <c r="A105" s="28">
        <v>46018</v>
      </c>
      <c r="B105" s="10" t="s">
        <v>56</v>
      </c>
      <c r="C105" s="10"/>
      <c r="D105" s="10" t="s">
        <v>28</v>
      </c>
      <c r="E105" s="10" t="s">
        <v>80</v>
      </c>
      <c r="F105" s="10">
        <v>21.9</v>
      </c>
      <c r="G105" s="10" t="s">
        <v>36</v>
      </c>
      <c r="H105" s="10">
        <v>43000</v>
      </c>
      <c r="I105" s="10">
        <f t="shared" si="12"/>
        <v>941699.99999999988</v>
      </c>
      <c r="J105" s="29" t="s">
        <v>110</v>
      </c>
      <c r="K105" s="62"/>
      <c r="L105" s="12">
        <f t="shared" si="7"/>
        <v>0</v>
      </c>
      <c r="M105" s="12"/>
      <c r="N105" s="12"/>
      <c r="O105" s="12">
        <f t="shared" si="8"/>
        <v>941700</v>
      </c>
      <c r="P105" s="12">
        <v>431500</v>
      </c>
      <c r="Q105" s="12">
        <v>510200</v>
      </c>
      <c r="R105" s="12">
        <f t="shared" si="9"/>
        <v>0</v>
      </c>
      <c r="S105" s="12"/>
      <c r="T105" s="12"/>
      <c r="U105" s="12">
        <f t="shared" si="10"/>
        <v>0</v>
      </c>
      <c r="V105" s="12"/>
      <c r="W105" s="12"/>
      <c r="X105" s="12">
        <f t="shared" si="11"/>
        <v>0</v>
      </c>
      <c r="Y105" s="12"/>
      <c r="Z105" s="12"/>
      <c r="AA105" s="13">
        <f t="shared" si="13"/>
        <v>-1.1641532182693481E-10</v>
      </c>
      <c r="AB105" s="14">
        <v>46050</v>
      </c>
    </row>
    <row r="106" spans="1:28" ht="15.75" hidden="1" x14ac:dyDescent="0.25">
      <c r="A106" s="28">
        <v>46018</v>
      </c>
      <c r="B106" s="10" t="s">
        <v>56</v>
      </c>
      <c r="C106" s="10"/>
      <c r="D106" s="10" t="s">
        <v>28</v>
      </c>
      <c r="E106" s="10" t="s">
        <v>139</v>
      </c>
      <c r="F106" s="10">
        <v>19</v>
      </c>
      <c r="G106" s="10" t="s">
        <v>36</v>
      </c>
      <c r="H106" s="10">
        <v>43000</v>
      </c>
      <c r="I106" s="10">
        <f t="shared" si="12"/>
        <v>817000</v>
      </c>
      <c r="J106" s="29" t="s">
        <v>110</v>
      </c>
      <c r="K106" s="62"/>
      <c r="L106" s="12">
        <f t="shared" si="7"/>
        <v>0</v>
      </c>
      <c r="M106" s="12"/>
      <c r="N106" s="12"/>
      <c r="O106" s="12">
        <f t="shared" si="8"/>
        <v>817000</v>
      </c>
      <c r="P106" s="12">
        <v>634800</v>
      </c>
      <c r="Q106" s="12">
        <v>182200</v>
      </c>
      <c r="R106" s="12">
        <f t="shared" si="9"/>
        <v>0</v>
      </c>
      <c r="S106" s="12"/>
      <c r="T106" s="12"/>
      <c r="U106" s="12">
        <f t="shared" si="10"/>
        <v>0</v>
      </c>
      <c r="V106" s="12"/>
      <c r="W106" s="12"/>
      <c r="X106" s="12">
        <f t="shared" si="11"/>
        <v>0</v>
      </c>
      <c r="Y106" s="12"/>
      <c r="Z106" s="12"/>
      <c r="AA106" s="13">
        <f t="shared" si="13"/>
        <v>0</v>
      </c>
      <c r="AB106" s="14">
        <v>46059</v>
      </c>
    </row>
    <row r="107" spans="1:28" ht="15.75" hidden="1" x14ac:dyDescent="0.25">
      <c r="A107" s="28">
        <v>46020</v>
      </c>
      <c r="B107" s="10" t="s">
        <v>124</v>
      </c>
      <c r="C107" s="10"/>
      <c r="D107" s="10" t="s">
        <v>32</v>
      </c>
      <c r="E107" s="10" t="s">
        <v>138</v>
      </c>
      <c r="F107" s="10">
        <v>1</v>
      </c>
      <c r="G107" s="10" t="s">
        <v>61</v>
      </c>
      <c r="H107" s="10">
        <v>300000</v>
      </c>
      <c r="I107" s="10">
        <f t="shared" si="12"/>
        <v>300000</v>
      </c>
      <c r="J107" s="52" t="s">
        <v>90</v>
      </c>
      <c r="K107" s="88"/>
      <c r="L107" s="12">
        <f t="shared" si="7"/>
        <v>0</v>
      </c>
      <c r="M107" s="12"/>
      <c r="N107" s="12"/>
      <c r="O107" s="12">
        <f t="shared" si="8"/>
        <v>0</v>
      </c>
      <c r="P107" s="12"/>
      <c r="Q107" s="12"/>
      <c r="R107" s="12">
        <f t="shared" si="9"/>
        <v>0</v>
      </c>
      <c r="S107" s="12"/>
      <c r="T107" s="12"/>
      <c r="U107" s="12">
        <f t="shared" si="10"/>
        <v>0</v>
      </c>
      <c r="V107" s="12"/>
      <c r="W107" s="12"/>
      <c r="X107" s="12">
        <f t="shared" si="11"/>
        <v>0</v>
      </c>
      <c r="Y107" s="12"/>
      <c r="Z107" s="12"/>
      <c r="AA107" s="13">
        <f t="shared" si="13"/>
        <v>300000</v>
      </c>
      <c r="AB107" s="14"/>
    </row>
    <row r="108" spans="1:28" ht="16.5" hidden="1" thickBot="1" x14ac:dyDescent="0.3">
      <c r="A108" s="30">
        <v>46020</v>
      </c>
      <c r="B108" s="31" t="s">
        <v>144</v>
      </c>
      <c r="C108" s="31"/>
      <c r="D108" s="31" t="s">
        <v>206</v>
      </c>
      <c r="E108" s="31" t="s">
        <v>164</v>
      </c>
      <c r="F108" s="31">
        <v>68.400000000000006</v>
      </c>
      <c r="G108" s="31" t="s">
        <v>36</v>
      </c>
      <c r="H108" s="31">
        <v>43000</v>
      </c>
      <c r="I108" s="31">
        <f t="shared" si="12"/>
        <v>2941200.0000000005</v>
      </c>
      <c r="J108" s="64" t="s">
        <v>90</v>
      </c>
      <c r="K108" s="89"/>
      <c r="L108" s="34">
        <f t="shared" si="7"/>
        <v>0</v>
      </c>
      <c r="M108" s="34"/>
      <c r="N108" s="34"/>
      <c r="O108" s="34">
        <f t="shared" si="8"/>
        <v>0</v>
      </c>
      <c r="P108" s="34"/>
      <c r="Q108" s="34"/>
      <c r="R108" s="34">
        <f t="shared" si="9"/>
        <v>0</v>
      </c>
      <c r="S108" s="34"/>
      <c r="T108" s="34"/>
      <c r="U108" s="34">
        <f t="shared" si="10"/>
        <v>0</v>
      </c>
      <c r="V108" s="34"/>
      <c r="W108" s="34"/>
      <c r="X108" s="34">
        <f t="shared" si="11"/>
        <v>0</v>
      </c>
      <c r="Y108" s="34"/>
      <c r="Z108" s="34"/>
      <c r="AA108" s="35">
        <f t="shared" si="13"/>
        <v>2941200.0000000005</v>
      </c>
      <c r="AB108" s="36"/>
    </row>
    <row r="109" spans="1:28" ht="15.75" hidden="1" x14ac:dyDescent="0.25">
      <c r="A109" s="65">
        <v>46027</v>
      </c>
      <c r="B109" s="66" t="s">
        <v>225</v>
      </c>
      <c r="C109" s="66"/>
      <c r="D109" s="66" t="s">
        <v>28</v>
      </c>
      <c r="E109" s="66" t="s">
        <v>226</v>
      </c>
      <c r="F109" s="66">
        <v>489.4</v>
      </c>
      <c r="G109" s="66" t="s">
        <v>36</v>
      </c>
      <c r="H109" s="66">
        <v>53000</v>
      </c>
      <c r="I109" s="66">
        <f t="shared" si="12"/>
        <v>25938200</v>
      </c>
      <c r="J109" s="84" t="s">
        <v>40</v>
      </c>
      <c r="K109" s="66"/>
      <c r="L109" s="67">
        <f t="shared" si="7"/>
        <v>0</v>
      </c>
      <c r="M109" s="67"/>
      <c r="N109" s="67"/>
      <c r="O109" s="67">
        <f t="shared" si="8"/>
        <v>26500000</v>
      </c>
      <c r="P109" s="67">
        <v>26500000</v>
      </c>
      <c r="Q109" s="67"/>
      <c r="R109" s="67">
        <f t="shared" si="9"/>
        <v>0</v>
      </c>
      <c r="S109" s="67"/>
      <c r="T109" s="67"/>
      <c r="U109" s="67">
        <f t="shared" si="10"/>
        <v>0</v>
      </c>
      <c r="V109" s="67"/>
      <c r="W109" s="67"/>
      <c r="X109" s="67">
        <f t="shared" si="11"/>
        <v>0</v>
      </c>
      <c r="Y109" s="67"/>
      <c r="Z109" s="67"/>
      <c r="AA109" s="68">
        <f t="shared" si="13"/>
        <v>-561800</v>
      </c>
      <c r="AB109" s="69">
        <v>46030</v>
      </c>
    </row>
    <row r="110" spans="1:28" ht="15.75" hidden="1" x14ac:dyDescent="0.25">
      <c r="A110" s="28">
        <v>46027</v>
      </c>
      <c r="B110" s="10" t="s">
        <v>221</v>
      </c>
      <c r="C110" s="10"/>
      <c r="D110" s="10" t="s">
        <v>32</v>
      </c>
      <c r="E110" s="10" t="s">
        <v>84</v>
      </c>
      <c r="F110" s="10">
        <v>34.5</v>
      </c>
      <c r="G110" s="10" t="s">
        <v>36</v>
      </c>
      <c r="H110" s="10">
        <v>43000</v>
      </c>
      <c r="I110" s="10">
        <f t="shared" si="12"/>
        <v>1483500</v>
      </c>
      <c r="J110" s="29" t="s">
        <v>110</v>
      </c>
      <c r="K110" s="88"/>
      <c r="L110" s="12">
        <f t="shared" si="7"/>
        <v>0</v>
      </c>
      <c r="M110" s="12"/>
      <c r="N110" s="12"/>
      <c r="O110" s="12">
        <f t="shared" si="8"/>
        <v>1483500</v>
      </c>
      <c r="P110" s="12">
        <v>252400</v>
      </c>
      <c r="Q110" s="12">
        <v>1231100</v>
      </c>
      <c r="R110" s="12">
        <f t="shared" si="9"/>
        <v>0</v>
      </c>
      <c r="S110" s="12"/>
      <c r="T110" s="12"/>
      <c r="U110" s="12">
        <f t="shared" si="10"/>
        <v>0</v>
      </c>
      <c r="V110" s="12"/>
      <c r="W110" s="12"/>
      <c r="X110" s="12">
        <f t="shared" si="11"/>
        <v>0</v>
      </c>
      <c r="Y110" s="12"/>
      <c r="Z110" s="12"/>
      <c r="AA110" s="13">
        <f t="shared" si="13"/>
        <v>0</v>
      </c>
      <c r="AB110" s="14">
        <v>46029</v>
      </c>
    </row>
    <row r="111" spans="1:28" ht="15.75" hidden="1" x14ac:dyDescent="0.25">
      <c r="A111" s="28">
        <v>46027</v>
      </c>
      <c r="B111" s="10" t="s">
        <v>55</v>
      </c>
      <c r="C111" s="10"/>
      <c r="D111" s="10" t="s">
        <v>32</v>
      </c>
      <c r="E111" s="10" t="s">
        <v>107</v>
      </c>
      <c r="F111" s="10">
        <v>20</v>
      </c>
      <c r="G111" s="10" t="s">
        <v>36</v>
      </c>
      <c r="H111" s="10">
        <v>60000</v>
      </c>
      <c r="I111" s="10">
        <f t="shared" si="12"/>
        <v>1200000</v>
      </c>
      <c r="J111" s="29" t="s">
        <v>110</v>
      </c>
      <c r="K111" s="88"/>
      <c r="L111" s="12">
        <f t="shared" si="7"/>
        <v>0</v>
      </c>
      <c r="M111" s="12"/>
      <c r="N111" s="12"/>
      <c r="O111" s="12">
        <f t="shared" si="8"/>
        <v>1200000</v>
      </c>
      <c r="P111" s="12">
        <v>1200000</v>
      </c>
      <c r="Q111" s="12"/>
      <c r="R111" s="12">
        <f t="shared" si="9"/>
        <v>0</v>
      </c>
      <c r="S111" s="12"/>
      <c r="T111" s="12"/>
      <c r="U111" s="12">
        <f t="shared" si="10"/>
        <v>0</v>
      </c>
      <c r="V111" s="12"/>
      <c r="W111" s="12"/>
      <c r="X111" s="12">
        <f t="shared" si="11"/>
        <v>0</v>
      </c>
      <c r="Y111" s="12"/>
      <c r="Z111" s="12"/>
      <c r="AA111" s="13">
        <f t="shared" si="13"/>
        <v>0</v>
      </c>
      <c r="AB111" s="14">
        <v>46062</v>
      </c>
    </row>
    <row r="112" spans="1:28" ht="15.75" hidden="1" x14ac:dyDescent="0.25">
      <c r="A112" s="28">
        <v>46027</v>
      </c>
      <c r="B112" s="10" t="s">
        <v>176</v>
      </c>
      <c r="C112" s="10"/>
      <c r="D112" s="10" t="s">
        <v>32</v>
      </c>
      <c r="E112" s="10" t="s">
        <v>175</v>
      </c>
      <c r="F112" s="10">
        <v>6000</v>
      </c>
      <c r="G112" s="10" t="s">
        <v>26</v>
      </c>
      <c r="H112" s="10">
        <v>875</v>
      </c>
      <c r="I112" s="10">
        <f t="shared" si="12"/>
        <v>5250000</v>
      </c>
      <c r="J112" s="29" t="s">
        <v>113</v>
      </c>
      <c r="K112" s="95"/>
      <c r="L112" s="12">
        <f t="shared" si="7"/>
        <v>5250000</v>
      </c>
      <c r="M112" s="12">
        <v>5250000</v>
      </c>
      <c r="N112" s="12"/>
      <c r="O112" s="12">
        <f t="shared" si="8"/>
        <v>0</v>
      </c>
      <c r="P112" s="12"/>
      <c r="Q112" s="12"/>
      <c r="R112" s="12">
        <f t="shared" si="9"/>
        <v>0</v>
      </c>
      <c r="S112" s="12"/>
      <c r="T112" s="12"/>
      <c r="U112" s="12">
        <f t="shared" si="10"/>
        <v>0</v>
      </c>
      <c r="V112" s="12"/>
      <c r="W112" s="12"/>
      <c r="X112" s="12">
        <f t="shared" si="11"/>
        <v>0</v>
      </c>
      <c r="Y112" s="12"/>
      <c r="Z112" s="12"/>
      <c r="AA112" s="13">
        <f t="shared" si="13"/>
        <v>0</v>
      </c>
      <c r="AB112" s="14">
        <v>46055</v>
      </c>
    </row>
    <row r="113" spans="1:28" ht="15.75" hidden="1" x14ac:dyDescent="0.25">
      <c r="A113" s="28">
        <v>46027</v>
      </c>
      <c r="B113" s="10" t="s">
        <v>234</v>
      </c>
      <c r="C113" s="10"/>
      <c r="D113" s="10" t="s">
        <v>32</v>
      </c>
      <c r="E113" s="10" t="s">
        <v>104</v>
      </c>
      <c r="F113" s="10">
        <v>10400</v>
      </c>
      <c r="G113" s="10" t="s">
        <v>26</v>
      </c>
      <c r="H113" s="10">
        <v>1800</v>
      </c>
      <c r="I113" s="10">
        <f t="shared" si="12"/>
        <v>18720000</v>
      </c>
      <c r="J113" s="29" t="s">
        <v>113</v>
      </c>
      <c r="K113" s="95"/>
      <c r="L113" s="12">
        <f t="shared" si="7"/>
        <v>0</v>
      </c>
      <c r="M113" s="12"/>
      <c r="N113" s="12"/>
      <c r="O113" s="12">
        <f t="shared" si="8"/>
        <v>0</v>
      </c>
      <c r="P113" s="12"/>
      <c r="Q113" s="12"/>
      <c r="R113" s="12">
        <f t="shared" si="9"/>
        <v>0</v>
      </c>
      <c r="S113" s="12"/>
      <c r="T113" s="12"/>
      <c r="U113" s="12">
        <f t="shared" si="10"/>
        <v>18720000</v>
      </c>
      <c r="V113" s="12">
        <v>10000000</v>
      </c>
      <c r="W113" s="12">
        <v>8720000</v>
      </c>
      <c r="X113" s="12">
        <f t="shared" si="11"/>
        <v>0</v>
      </c>
      <c r="Y113" s="12"/>
      <c r="Z113" s="12"/>
      <c r="AA113" s="13">
        <f t="shared" si="13"/>
        <v>0</v>
      </c>
      <c r="AB113" s="14">
        <v>46055</v>
      </c>
    </row>
    <row r="114" spans="1:28" ht="15.75" hidden="1" x14ac:dyDescent="0.25">
      <c r="A114" s="28">
        <v>46027</v>
      </c>
      <c r="B114" s="10" t="s">
        <v>234</v>
      </c>
      <c r="C114" s="10"/>
      <c r="D114" s="10" t="s">
        <v>32</v>
      </c>
      <c r="E114" s="10" t="s">
        <v>175</v>
      </c>
      <c r="F114" s="10">
        <v>20800</v>
      </c>
      <c r="G114" s="10" t="s">
        <v>26</v>
      </c>
      <c r="H114" s="10">
        <v>900</v>
      </c>
      <c r="I114" s="10">
        <f t="shared" si="12"/>
        <v>18720000</v>
      </c>
      <c r="J114" s="52" t="s">
        <v>30</v>
      </c>
      <c r="K114" s="88"/>
      <c r="L114" s="12">
        <f t="shared" si="7"/>
        <v>0</v>
      </c>
      <c r="M114" s="12"/>
      <c r="N114" s="12"/>
      <c r="O114" s="12">
        <f t="shared" si="8"/>
        <v>0</v>
      </c>
      <c r="P114" s="12"/>
      <c r="Q114" s="12"/>
      <c r="R114" s="12">
        <f t="shared" si="9"/>
        <v>0</v>
      </c>
      <c r="S114" s="12"/>
      <c r="T114" s="12"/>
      <c r="U114" s="12">
        <f t="shared" si="10"/>
        <v>17280000</v>
      </c>
      <c r="V114" s="12">
        <v>2000000</v>
      </c>
      <c r="W114" s="12">
        <v>15280000</v>
      </c>
      <c r="X114" s="12">
        <f t="shared" si="11"/>
        <v>0</v>
      </c>
      <c r="Y114" s="12"/>
      <c r="Z114" s="12"/>
      <c r="AA114" s="13">
        <f t="shared" si="13"/>
        <v>1440000</v>
      </c>
      <c r="AB114" s="14">
        <v>46056</v>
      </c>
    </row>
    <row r="115" spans="1:28" ht="15.75" hidden="1" x14ac:dyDescent="0.25">
      <c r="A115" s="28">
        <v>46028</v>
      </c>
      <c r="B115" s="10" t="s">
        <v>158</v>
      </c>
      <c r="C115" s="10"/>
      <c r="D115" s="10" t="s">
        <v>32</v>
      </c>
      <c r="E115" s="10" t="s">
        <v>104</v>
      </c>
      <c r="F115" s="10">
        <v>10400</v>
      </c>
      <c r="G115" s="10" t="s">
        <v>26</v>
      </c>
      <c r="H115" s="10">
        <v>1825</v>
      </c>
      <c r="I115" s="10">
        <f t="shared" si="12"/>
        <v>18980000</v>
      </c>
      <c r="J115" s="52" t="s">
        <v>90</v>
      </c>
      <c r="K115" s="10"/>
      <c r="L115" s="12">
        <f t="shared" si="7"/>
        <v>0</v>
      </c>
      <c r="M115" s="12"/>
      <c r="N115" s="12"/>
      <c r="O115" s="12">
        <f t="shared" si="8"/>
        <v>0</v>
      </c>
      <c r="P115" s="12"/>
      <c r="Q115" s="12"/>
      <c r="R115" s="12">
        <f t="shared" si="9"/>
        <v>11980650</v>
      </c>
      <c r="S115" s="12">
        <v>1938150</v>
      </c>
      <c r="T115" s="12">
        <f>42500+10000000</f>
        <v>10042500</v>
      </c>
      <c r="U115" s="12">
        <f t="shared" si="10"/>
        <v>0</v>
      </c>
      <c r="V115" s="12"/>
      <c r="W115" s="12"/>
      <c r="X115" s="12">
        <f t="shared" si="11"/>
        <v>0</v>
      </c>
      <c r="Y115" s="12"/>
      <c r="Z115" s="12"/>
      <c r="AA115" s="13">
        <f t="shared" si="13"/>
        <v>6999350</v>
      </c>
      <c r="AB115" s="14">
        <v>46058</v>
      </c>
    </row>
    <row r="116" spans="1:28" ht="15.75" hidden="1" x14ac:dyDescent="0.25">
      <c r="A116" s="28">
        <v>46028</v>
      </c>
      <c r="B116" s="10" t="s">
        <v>127</v>
      </c>
      <c r="C116" s="10"/>
      <c r="D116" s="10" t="s">
        <v>32</v>
      </c>
      <c r="E116" s="10" t="s">
        <v>65</v>
      </c>
      <c r="F116" s="10">
        <v>10400</v>
      </c>
      <c r="G116" s="10" t="s">
        <v>26</v>
      </c>
      <c r="H116" s="10">
        <v>3900</v>
      </c>
      <c r="I116" s="10">
        <f t="shared" si="12"/>
        <v>40560000</v>
      </c>
      <c r="J116" s="52" t="s">
        <v>90</v>
      </c>
      <c r="K116" s="87"/>
      <c r="L116" s="12">
        <f t="shared" si="7"/>
        <v>0</v>
      </c>
      <c r="M116" s="12"/>
      <c r="N116" s="12"/>
      <c r="O116" s="12">
        <f t="shared" si="8"/>
        <v>0</v>
      </c>
      <c r="P116" s="12"/>
      <c r="Q116" s="12"/>
      <c r="R116" s="12">
        <f t="shared" si="9"/>
        <v>0</v>
      </c>
      <c r="S116" s="12"/>
      <c r="T116" s="12"/>
      <c r="U116" s="12">
        <f t="shared" si="10"/>
        <v>0</v>
      </c>
      <c r="V116" s="12"/>
      <c r="W116" s="12"/>
      <c r="X116" s="12">
        <f t="shared" si="11"/>
        <v>0</v>
      </c>
      <c r="Y116" s="12"/>
      <c r="Z116" s="12"/>
      <c r="AA116" s="13">
        <f t="shared" si="13"/>
        <v>40560000</v>
      </c>
      <c r="AB116" s="14"/>
    </row>
    <row r="117" spans="1:28" ht="15.75" hidden="1" x14ac:dyDescent="0.25">
      <c r="A117" s="28">
        <v>46028</v>
      </c>
      <c r="B117" s="10" t="s">
        <v>127</v>
      </c>
      <c r="C117" s="10"/>
      <c r="D117" s="10" t="s">
        <v>32</v>
      </c>
      <c r="E117" s="10" t="s">
        <v>248</v>
      </c>
      <c r="F117" s="10">
        <v>20</v>
      </c>
      <c r="G117" s="10" t="s">
        <v>36</v>
      </c>
      <c r="H117" s="10">
        <v>82000</v>
      </c>
      <c r="I117" s="10">
        <f t="shared" si="12"/>
        <v>1640000</v>
      </c>
      <c r="J117" s="52" t="s">
        <v>90</v>
      </c>
      <c r="K117" s="87"/>
      <c r="L117" s="12">
        <f t="shared" si="7"/>
        <v>0</v>
      </c>
      <c r="M117" s="12"/>
      <c r="N117" s="12"/>
      <c r="O117" s="12">
        <f t="shared" si="8"/>
        <v>0</v>
      </c>
      <c r="P117" s="12"/>
      <c r="Q117" s="12"/>
      <c r="R117" s="12">
        <f t="shared" si="9"/>
        <v>0</v>
      </c>
      <c r="S117" s="12"/>
      <c r="T117" s="12"/>
      <c r="U117" s="12">
        <f t="shared" si="10"/>
        <v>0</v>
      </c>
      <c r="V117" s="12"/>
      <c r="W117" s="12"/>
      <c r="X117" s="12">
        <f t="shared" si="11"/>
        <v>0</v>
      </c>
      <c r="Y117" s="12"/>
      <c r="Z117" s="12"/>
      <c r="AA117" s="13">
        <f t="shared" si="13"/>
        <v>1640000</v>
      </c>
      <c r="AB117" s="14"/>
    </row>
    <row r="118" spans="1:28" ht="15.75" hidden="1" x14ac:dyDescent="0.25">
      <c r="A118" s="28">
        <v>46029</v>
      </c>
      <c r="B118" s="10" t="s">
        <v>55</v>
      </c>
      <c r="C118" s="10"/>
      <c r="D118" s="10" t="s">
        <v>32</v>
      </c>
      <c r="E118" s="10" t="s">
        <v>98</v>
      </c>
      <c r="F118" s="10">
        <v>2000</v>
      </c>
      <c r="G118" s="10" t="s">
        <v>26</v>
      </c>
      <c r="H118" s="10">
        <v>1900</v>
      </c>
      <c r="I118" s="10">
        <f t="shared" si="12"/>
        <v>3800000</v>
      </c>
      <c r="J118" s="29" t="s">
        <v>110</v>
      </c>
      <c r="K118" s="88"/>
      <c r="L118" s="12">
        <f t="shared" si="7"/>
        <v>0</v>
      </c>
      <c r="M118" s="12"/>
      <c r="N118" s="12"/>
      <c r="O118" s="12">
        <f t="shared" si="8"/>
        <v>3800000</v>
      </c>
      <c r="P118" s="12">
        <v>3800000</v>
      </c>
      <c r="Q118" s="12"/>
      <c r="R118" s="12">
        <f t="shared" si="9"/>
        <v>0</v>
      </c>
      <c r="S118" s="12"/>
      <c r="T118" s="12"/>
      <c r="U118" s="12">
        <f t="shared" si="10"/>
        <v>0</v>
      </c>
      <c r="V118" s="12"/>
      <c r="W118" s="12"/>
      <c r="X118" s="12">
        <f t="shared" si="11"/>
        <v>0</v>
      </c>
      <c r="Y118" s="12"/>
      <c r="Z118" s="12"/>
      <c r="AA118" s="13">
        <f t="shared" si="13"/>
        <v>0</v>
      </c>
      <c r="AB118" s="14">
        <v>46062</v>
      </c>
    </row>
    <row r="119" spans="1:28" ht="15.75" hidden="1" x14ac:dyDescent="0.25">
      <c r="A119" s="28">
        <v>46029</v>
      </c>
      <c r="B119" s="10" t="s">
        <v>151</v>
      </c>
      <c r="C119" s="10"/>
      <c r="D119" s="10" t="s">
        <v>32</v>
      </c>
      <c r="E119" s="10" t="s">
        <v>175</v>
      </c>
      <c r="F119" s="10">
        <v>20800</v>
      </c>
      <c r="G119" s="10" t="s">
        <v>26</v>
      </c>
      <c r="H119" s="10">
        <v>1000</v>
      </c>
      <c r="I119" s="10">
        <f t="shared" si="12"/>
        <v>20800000</v>
      </c>
      <c r="J119" s="29" t="s">
        <v>110</v>
      </c>
      <c r="K119" s="10"/>
      <c r="L119" s="12">
        <f t="shared" si="7"/>
        <v>0</v>
      </c>
      <c r="M119" s="12"/>
      <c r="N119" s="12"/>
      <c r="O119" s="12">
        <f t="shared" si="8"/>
        <v>20800000</v>
      </c>
      <c r="P119" s="12">
        <v>20800000</v>
      </c>
      <c r="Q119" s="12"/>
      <c r="R119" s="12">
        <f t="shared" si="9"/>
        <v>0</v>
      </c>
      <c r="S119" s="12"/>
      <c r="T119" s="12"/>
      <c r="U119" s="12">
        <f t="shared" si="10"/>
        <v>0</v>
      </c>
      <c r="V119" s="12"/>
      <c r="W119" s="12"/>
      <c r="X119" s="12">
        <f t="shared" si="11"/>
        <v>0</v>
      </c>
      <c r="Y119" s="12"/>
      <c r="Z119" s="12"/>
      <c r="AA119" s="13">
        <f t="shared" si="13"/>
        <v>0</v>
      </c>
      <c r="AB119" s="14">
        <v>45978</v>
      </c>
    </row>
    <row r="120" spans="1:28" ht="15.75" hidden="1" x14ac:dyDescent="0.25">
      <c r="A120" s="28">
        <v>46029</v>
      </c>
      <c r="B120" s="10" t="s">
        <v>234</v>
      </c>
      <c r="C120" s="10"/>
      <c r="D120" s="10" t="s">
        <v>32</v>
      </c>
      <c r="E120" s="10" t="s">
        <v>254</v>
      </c>
      <c r="F120" s="10">
        <v>5</v>
      </c>
      <c r="G120" s="10" t="s">
        <v>192</v>
      </c>
      <c r="H120" s="10">
        <v>900000</v>
      </c>
      <c r="I120" s="10">
        <f t="shared" si="12"/>
        <v>4500000</v>
      </c>
      <c r="J120" s="29" t="s">
        <v>110</v>
      </c>
      <c r="K120" s="88"/>
      <c r="L120" s="12">
        <f t="shared" si="7"/>
        <v>0</v>
      </c>
      <c r="M120" s="12"/>
      <c r="N120" s="12"/>
      <c r="O120" s="12">
        <f t="shared" si="8"/>
        <v>4500000</v>
      </c>
      <c r="P120" s="12">
        <v>4500000</v>
      </c>
      <c r="Q120" s="12"/>
      <c r="R120" s="12">
        <f t="shared" si="9"/>
        <v>0</v>
      </c>
      <c r="S120" s="12"/>
      <c r="T120" s="12"/>
      <c r="U120" s="12">
        <f t="shared" si="10"/>
        <v>0</v>
      </c>
      <c r="V120" s="12"/>
      <c r="W120" s="12"/>
      <c r="X120" s="12">
        <f t="shared" si="11"/>
        <v>0</v>
      </c>
      <c r="Y120" s="12"/>
      <c r="Z120" s="12"/>
      <c r="AA120" s="13">
        <f t="shared" si="13"/>
        <v>0</v>
      </c>
      <c r="AB120" s="14">
        <v>46065</v>
      </c>
    </row>
    <row r="121" spans="1:28" ht="15.75" hidden="1" x14ac:dyDescent="0.25">
      <c r="A121" s="28">
        <v>46029</v>
      </c>
      <c r="B121" s="10" t="s">
        <v>55</v>
      </c>
      <c r="C121" s="10"/>
      <c r="D121" s="10" t="s">
        <v>32</v>
      </c>
      <c r="E121" s="10" t="s">
        <v>117</v>
      </c>
      <c r="F121" s="10">
        <v>10</v>
      </c>
      <c r="G121" s="10" t="s">
        <v>36</v>
      </c>
      <c r="H121" s="10">
        <v>70000</v>
      </c>
      <c r="I121" s="10">
        <f t="shared" si="12"/>
        <v>700000</v>
      </c>
      <c r="J121" s="29" t="s">
        <v>110</v>
      </c>
      <c r="K121" s="88"/>
      <c r="L121" s="12">
        <f t="shared" si="7"/>
        <v>0</v>
      </c>
      <c r="M121" s="12"/>
      <c r="N121" s="12"/>
      <c r="O121" s="12">
        <f t="shared" si="8"/>
        <v>700000</v>
      </c>
      <c r="P121" s="12">
        <v>700000</v>
      </c>
      <c r="Q121" s="12"/>
      <c r="R121" s="12">
        <f t="shared" si="9"/>
        <v>0</v>
      </c>
      <c r="S121" s="12"/>
      <c r="T121" s="12"/>
      <c r="U121" s="12">
        <f t="shared" si="10"/>
        <v>0</v>
      </c>
      <c r="V121" s="12"/>
      <c r="W121" s="12"/>
      <c r="X121" s="12">
        <f t="shared" si="11"/>
        <v>0</v>
      </c>
      <c r="Y121" s="12"/>
      <c r="Z121" s="12"/>
      <c r="AA121" s="13">
        <f t="shared" si="13"/>
        <v>0</v>
      </c>
      <c r="AB121" s="14">
        <v>46062</v>
      </c>
    </row>
    <row r="122" spans="1:28" ht="15.75" hidden="1" x14ac:dyDescent="0.25">
      <c r="A122" s="28">
        <v>46029</v>
      </c>
      <c r="B122" s="10" t="s">
        <v>55</v>
      </c>
      <c r="C122" s="10"/>
      <c r="D122" s="10" t="s">
        <v>32</v>
      </c>
      <c r="E122" s="10" t="s">
        <v>80</v>
      </c>
      <c r="F122" s="10">
        <v>45.4</v>
      </c>
      <c r="G122" s="10" t="s">
        <v>36</v>
      </c>
      <c r="H122" s="10">
        <v>43000</v>
      </c>
      <c r="I122" s="10">
        <f t="shared" si="12"/>
        <v>1952200</v>
      </c>
      <c r="J122" s="29" t="s">
        <v>110</v>
      </c>
      <c r="K122" s="88"/>
      <c r="L122" s="12">
        <f t="shared" si="7"/>
        <v>0</v>
      </c>
      <c r="M122" s="12"/>
      <c r="N122" s="12"/>
      <c r="O122" s="12">
        <f t="shared" si="8"/>
        <v>1952200</v>
      </c>
      <c r="P122" s="12">
        <v>1952200</v>
      </c>
      <c r="Q122" s="12"/>
      <c r="R122" s="12">
        <f t="shared" si="9"/>
        <v>0</v>
      </c>
      <c r="S122" s="12"/>
      <c r="T122" s="12"/>
      <c r="U122" s="12">
        <f t="shared" si="10"/>
        <v>0</v>
      </c>
      <c r="V122" s="12"/>
      <c r="W122" s="12"/>
      <c r="X122" s="12">
        <f t="shared" si="11"/>
        <v>0</v>
      </c>
      <c r="Y122" s="12"/>
      <c r="Z122" s="12"/>
      <c r="AA122" s="13">
        <f t="shared" si="13"/>
        <v>0</v>
      </c>
      <c r="AB122" s="14">
        <v>46062</v>
      </c>
    </row>
    <row r="123" spans="1:28" ht="15.75" hidden="1" x14ac:dyDescent="0.25">
      <c r="A123" s="28">
        <v>46029</v>
      </c>
      <c r="B123" s="10" t="s">
        <v>122</v>
      </c>
      <c r="C123" s="10"/>
      <c r="D123" s="10" t="s">
        <v>32</v>
      </c>
      <c r="E123" s="10" t="s">
        <v>65</v>
      </c>
      <c r="F123" s="10">
        <v>20800</v>
      </c>
      <c r="G123" s="10" t="s">
        <v>26</v>
      </c>
      <c r="H123" s="10">
        <v>3800</v>
      </c>
      <c r="I123" s="10">
        <f t="shared" si="12"/>
        <v>79040000</v>
      </c>
      <c r="J123" s="52" t="s">
        <v>90</v>
      </c>
      <c r="K123" s="10"/>
      <c r="L123" s="12">
        <f t="shared" si="7"/>
        <v>0</v>
      </c>
      <c r="M123" s="12"/>
      <c r="N123" s="12"/>
      <c r="O123" s="12">
        <f t="shared" si="8"/>
        <v>0</v>
      </c>
      <c r="P123" s="12"/>
      <c r="Q123" s="12"/>
      <c r="R123" s="12">
        <f t="shared" si="9"/>
        <v>0</v>
      </c>
      <c r="S123" s="12"/>
      <c r="T123" s="12"/>
      <c r="U123" s="12">
        <f t="shared" si="10"/>
        <v>0</v>
      </c>
      <c r="V123" s="12"/>
      <c r="W123" s="12"/>
      <c r="X123" s="12">
        <f t="shared" si="11"/>
        <v>0</v>
      </c>
      <c r="Y123" s="12"/>
      <c r="Z123" s="12"/>
      <c r="AA123" s="13">
        <f t="shared" si="13"/>
        <v>79040000</v>
      </c>
      <c r="AB123" s="14"/>
    </row>
    <row r="124" spans="1:28" ht="15.75" hidden="1" x14ac:dyDescent="0.25">
      <c r="A124" s="28">
        <v>46029</v>
      </c>
      <c r="B124" s="10" t="s">
        <v>122</v>
      </c>
      <c r="C124" s="10"/>
      <c r="D124" s="10" t="s">
        <v>32</v>
      </c>
      <c r="E124" s="10" t="s">
        <v>130</v>
      </c>
      <c r="F124" s="10">
        <v>40</v>
      </c>
      <c r="G124" s="10" t="s">
        <v>67</v>
      </c>
      <c r="H124" s="10">
        <v>50000</v>
      </c>
      <c r="I124" s="10">
        <f t="shared" si="12"/>
        <v>2000000</v>
      </c>
      <c r="J124" s="52" t="s">
        <v>90</v>
      </c>
      <c r="K124" s="10"/>
      <c r="L124" s="12">
        <f t="shared" si="7"/>
        <v>0</v>
      </c>
      <c r="M124" s="12"/>
      <c r="N124" s="12"/>
      <c r="O124" s="12">
        <f t="shared" si="8"/>
        <v>0</v>
      </c>
      <c r="P124" s="12"/>
      <c r="Q124" s="12"/>
      <c r="R124" s="12">
        <f t="shared" si="9"/>
        <v>0</v>
      </c>
      <c r="S124" s="12"/>
      <c r="T124" s="12"/>
      <c r="U124" s="12">
        <f t="shared" si="10"/>
        <v>0</v>
      </c>
      <c r="V124" s="12"/>
      <c r="W124" s="12"/>
      <c r="X124" s="12">
        <f t="shared" si="11"/>
        <v>0</v>
      </c>
      <c r="Y124" s="12"/>
      <c r="Z124" s="12"/>
      <c r="AA124" s="13">
        <f t="shared" si="13"/>
        <v>2000000</v>
      </c>
      <c r="AB124" s="14"/>
    </row>
    <row r="125" spans="1:28" ht="15.75" hidden="1" x14ac:dyDescent="0.25">
      <c r="A125" s="28">
        <v>46030</v>
      </c>
      <c r="B125" s="10" t="s">
        <v>53</v>
      </c>
      <c r="C125" s="10"/>
      <c r="D125" s="10" t="s">
        <v>32</v>
      </c>
      <c r="E125" s="10" t="s">
        <v>244</v>
      </c>
      <c r="F125" s="60">
        <v>10</v>
      </c>
      <c r="G125" s="10" t="s">
        <v>22</v>
      </c>
      <c r="H125" s="60">
        <v>400000</v>
      </c>
      <c r="I125" s="121">
        <f t="shared" si="12"/>
        <v>4000000</v>
      </c>
      <c r="J125" s="52" t="s">
        <v>90</v>
      </c>
      <c r="K125" s="73"/>
      <c r="L125" s="12">
        <f t="shared" si="7"/>
        <v>0</v>
      </c>
      <c r="M125" s="12"/>
      <c r="N125" s="12"/>
      <c r="O125" s="12">
        <f t="shared" si="8"/>
        <v>0</v>
      </c>
      <c r="P125" s="12"/>
      <c r="Q125" s="12"/>
      <c r="R125" s="12">
        <f t="shared" si="9"/>
        <v>0</v>
      </c>
      <c r="S125" s="12"/>
      <c r="T125" s="12"/>
      <c r="U125" s="12">
        <f t="shared" si="10"/>
        <v>0</v>
      </c>
      <c r="V125" s="12"/>
      <c r="W125" s="12"/>
      <c r="X125" s="12">
        <f t="shared" si="11"/>
        <v>0</v>
      </c>
      <c r="Y125" s="12"/>
      <c r="Z125" s="12"/>
      <c r="AA125" s="13">
        <f t="shared" si="13"/>
        <v>4000000</v>
      </c>
      <c r="AB125" s="14"/>
    </row>
    <row r="126" spans="1:28" ht="15.75" hidden="1" x14ac:dyDescent="0.25">
      <c r="A126" s="28">
        <v>46030</v>
      </c>
      <c r="B126" s="10" t="s">
        <v>53</v>
      </c>
      <c r="C126" s="10"/>
      <c r="D126" s="10" t="s">
        <v>32</v>
      </c>
      <c r="E126" s="10" t="s">
        <v>160</v>
      </c>
      <c r="F126" s="60">
        <v>10</v>
      </c>
      <c r="G126" s="10" t="s">
        <v>22</v>
      </c>
      <c r="H126" s="60">
        <v>400000</v>
      </c>
      <c r="I126" s="121">
        <f t="shared" si="12"/>
        <v>4000000</v>
      </c>
      <c r="J126" s="52" t="s">
        <v>90</v>
      </c>
      <c r="K126" s="73"/>
      <c r="L126" s="12">
        <f t="shared" si="7"/>
        <v>0</v>
      </c>
      <c r="M126" s="12"/>
      <c r="N126" s="12"/>
      <c r="O126" s="12">
        <f t="shared" si="8"/>
        <v>0</v>
      </c>
      <c r="P126" s="12"/>
      <c r="Q126" s="12"/>
      <c r="R126" s="12">
        <f t="shared" si="9"/>
        <v>0</v>
      </c>
      <c r="S126" s="12"/>
      <c r="T126" s="12"/>
      <c r="U126" s="12">
        <f t="shared" si="10"/>
        <v>0</v>
      </c>
      <c r="V126" s="12"/>
      <c r="W126" s="12"/>
      <c r="X126" s="12">
        <f t="shared" si="11"/>
        <v>0</v>
      </c>
      <c r="Y126" s="12"/>
      <c r="Z126" s="12"/>
      <c r="AA126" s="13">
        <f t="shared" si="13"/>
        <v>4000000</v>
      </c>
      <c r="AB126" s="14"/>
    </row>
    <row r="127" spans="1:28" ht="15.75" hidden="1" x14ac:dyDescent="0.25">
      <c r="A127" s="28">
        <v>46030</v>
      </c>
      <c r="B127" s="10" t="s">
        <v>53</v>
      </c>
      <c r="C127" s="10"/>
      <c r="D127" s="10" t="s">
        <v>32</v>
      </c>
      <c r="E127" s="10" t="s">
        <v>226</v>
      </c>
      <c r="F127" s="60">
        <v>353.5</v>
      </c>
      <c r="G127" s="10" t="s">
        <v>36</v>
      </c>
      <c r="H127" s="60">
        <v>43000</v>
      </c>
      <c r="I127" s="121">
        <f t="shared" si="12"/>
        <v>15200500</v>
      </c>
      <c r="J127" s="52" t="s">
        <v>90</v>
      </c>
      <c r="K127" s="73"/>
      <c r="L127" s="12">
        <f t="shared" si="7"/>
        <v>0</v>
      </c>
      <c r="M127" s="12"/>
      <c r="N127" s="12"/>
      <c r="O127" s="12">
        <f t="shared" si="8"/>
        <v>0</v>
      </c>
      <c r="P127" s="12"/>
      <c r="Q127" s="12"/>
      <c r="R127" s="12">
        <f t="shared" si="9"/>
        <v>0</v>
      </c>
      <c r="S127" s="12"/>
      <c r="T127" s="12"/>
      <c r="U127" s="12">
        <f t="shared" si="10"/>
        <v>0</v>
      </c>
      <c r="V127" s="12"/>
      <c r="W127" s="12"/>
      <c r="X127" s="12">
        <f t="shared" si="11"/>
        <v>0</v>
      </c>
      <c r="Y127" s="12"/>
      <c r="Z127" s="12"/>
      <c r="AA127" s="13">
        <f t="shared" si="13"/>
        <v>15200500</v>
      </c>
      <c r="AB127" s="14"/>
    </row>
    <row r="128" spans="1:28" ht="15.75" x14ac:dyDescent="0.25">
      <c r="A128" s="28">
        <v>46030</v>
      </c>
      <c r="B128" s="10" t="s">
        <v>272</v>
      </c>
      <c r="C128" s="10"/>
      <c r="D128" s="10"/>
      <c r="E128" s="10" t="s">
        <v>80</v>
      </c>
      <c r="F128" s="10">
        <v>44.5</v>
      </c>
      <c r="G128" s="10" t="s">
        <v>36</v>
      </c>
      <c r="H128" s="10">
        <v>43000</v>
      </c>
      <c r="I128" s="10">
        <f t="shared" si="12"/>
        <v>1913500</v>
      </c>
      <c r="J128" s="115" t="s">
        <v>110</v>
      </c>
      <c r="K128" s="82"/>
      <c r="L128" s="12">
        <f t="shared" si="7"/>
        <v>0</v>
      </c>
      <c r="M128" s="12"/>
      <c r="N128" s="12"/>
      <c r="O128" s="12">
        <f t="shared" si="8"/>
        <v>1913500</v>
      </c>
      <c r="P128" s="12">
        <v>1913500</v>
      </c>
      <c r="Q128" s="12"/>
      <c r="R128" s="12">
        <f t="shared" si="9"/>
        <v>0</v>
      </c>
      <c r="S128" s="12"/>
      <c r="T128" s="12"/>
      <c r="U128" s="12">
        <f t="shared" si="10"/>
        <v>0</v>
      </c>
      <c r="V128" s="12"/>
      <c r="W128" s="12"/>
      <c r="X128" s="12">
        <f t="shared" si="11"/>
        <v>0</v>
      </c>
      <c r="Y128" s="12"/>
      <c r="Z128" s="12"/>
      <c r="AA128" s="13">
        <f t="shared" si="13"/>
        <v>0</v>
      </c>
      <c r="AB128" s="14">
        <v>46066</v>
      </c>
    </row>
    <row r="129" spans="1:28" ht="15.75" hidden="1" x14ac:dyDescent="0.25">
      <c r="A129" s="28">
        <v>46030</v>
      </c>
      <c r="B129" s="10" t="s">
        <v>273</v>
      </c>
      <c r="C129" s="10"/>
      <c r="D129" s="10"/>
      <c r="E129" s="10" t="s">
        <v>119</v>
      </c>
      <c r="F129" s="10">
        <v>25</v>
      </c>
      <c r="G129" s="10" t="s">
        <v>36</v>
      </c>
      <c r="H129" s="10"/>
      <c r="I129" s="10">
        <f t="shared" si="12"/>
        <v>0</v>
      </c>
      <c r="J129" s="86" t="s">
        <v>76</v>
      </c>
      <c r="K129" s="60"/>
      <c r="L129" s="12">
        <f t="shared" si="7"/>
        <v>0</v>
      </c>
      <c r="M129" s="12"/>
      <c r="N129" s="12"/>
      <c r="O129" s="12">
        <f t="shared" si="8"/>
        <v>0</v>
      </c>
      <c r="P129" s="12"/>
      <c r="Q129" s="12"/>
      <c r="R129" s="12">
        <f t="shared" si="9"/>
        <v>0</v>
      </c>
      <c r="S129" s="12"/>
      <c r="T129" s="12"/>
      <c r="U129" s="12">
        <f t="shared" si="10"/>
        <v>0</v>
      </c>
      <c r="V129" s="12"/>
      <c r="W129" s="12"/>
      <c r="X129" s="12">
        <f t="shared" si="11"/>
        <v>0</v>
      </c>
      <c r="Y129" s="12"/>
      <c r="Z129" s="12"/>
      <c r="AA129" s="13">
        <f t="shared" si="13"/>
        <v>0</v>
      </c>
      <c r="AB129" s="14"/>
    </row>
    <row r="130" spans="1:28" ht="15.75" hidden="1" x14ac:dyDescent="0.25">
      <c r="A130" s="28">
        <v>46030</v>
      </c>
      <c r="B130" s="10" t="s">
        <v>176</v>
      </c>
      <c r="C130" s="10"/>
      <c r="D130" s="10" t="s">
        <v>32</v>
      </c>
      <c r="E130" s="10" t="s">
        <v>175</v>
      </c>
      <c r="F130" s="10">
        <v>6000</v>
      </c>
      <c r="G130" s="10" t="s">
        <v>26</v>
      </c>
      <c r="H130" s="10">
        <v>875</v>
      </c>
      <c r="I130" s="10">
        <f t="shared" si="12"/>
        <v>5250000</v>
      </c>
      <c r="J130" s="29" t="s">
        <v>113</v>
      </c>
      <c r="K130" s="73"/>
      <c r="L130" s="12">
        <f t="shared" si="7"/>
        <v>5250000</v>
      </c>
      <c r="M130" s="12">
        <v>2028300</v>
      </c>
      <c r="N130" s="12">
        <v>3221700</v>
      </c>
      <c r="O130" s="12">
        <f t="shared" si="8"/>
        <v>0</v>
      </c>
      <c r="P130" s="12"/>
      <c r="Q130" s="12"/>
      <c r="R130" s="12">
        <f t="shared" si="9"/>
        <v>0</v>
      </c>
      <c r="S130" s="12"/>
      <c r="T130" s="12"/>
      <c r="U130" s="12">
        <f t="shared" si="10"/>
        <v>0</v>
      </c>
      <c r="V130" s="12"/>
      <c r="W130" s="12"/>
      <c r="X130" s="12">
        <f t="shared" si="11"/>
        <v>0</v>
      </c>
      <c r="Y130" s="12"/>
      <c r="Z130" s="12"/>
      <c r="AA130" s="13">
        <f t="shared" si="13"/>
        <v>0</v>
      </c>
      <c r="AB130" s="14">
        <v>46055</v>
      </c>
    </row>
    <row r="131" spans="1:28" ht="15.75" hidden="1" x14ac:dyDescent="0.25">
      <c r="A131" s="28">
        <v>46030</v>
      </c>
      <c r="B131" s="10" t="s">
        <v>278</v>
      </c>
      <c r="C131" s="10"/>
      <c r="D131" s="10" t="s">
        <v>195</v>
      </c>
      <c r="E131" s="10" t="s">
        <v>198</v>
      </c>
      <c r="F131" s="10">
        <v>66.599999999999994</v>
      </c>
      <c r="G131" s="10" t="s">
        <v>36</v>
      </c>
      <c r="H131" s="10">
        <v>41500</v>
      </c>
      <c r="I131" s="10">
        <f t="shared" si="12"/>
        <v>2763899.9999999995</v>
      </c>
      <c r="J131" s="29" t="s">
        <v>110</v>
      </c>
      <c r="K131" s="73"/>
      <c r="L131" s="12">
        <f t="shared" ref="L131:L194" si="14">M131+N131</f>
        <v>0</v>
      </c>
      <c r="M131" s="12"/>
      <c r="N131" s="12"/>
      <c r="O131" s="12">
        <f t="shared" ref="O131:O194" si="15">P131+Q131</f>
        <v>2763900</v>
      </c>
      <c r="P131" s="12">
        <v>2763900</v>
      </c>
      <c r="Q131" s="12"/>
      <c r="R131" s="12">
        <f t="shared" ref="R131:R194" si="16">S131+T131</f>
        <v>0</v>
      </c>
      <c r="S131" s="12"/>
      <c r="T131" s="12"/>
      <c r="U131" s="12">
        <f t="shared" ref="U131:U194" si="17">V131+W131</f>
        <v>0</v>
      </c>
      <c r="V131" s="12"/>
      <c r="W131" s="12"/>
      <c r="X131" s="12">
        <f t="shared" ref="X131:X194" si="18">Y131+Z131</f>
        <v>0</v>
      </c>
      <c r="Y131" s="12"/>
      <c r="Z131" s="12"/>
      <c r="AA131" s="13">
        <f t="shared" si="13"/>
        <v>-4.6566128730773926E-10</v>
      </c>
      <c r="AB131" s="14">
        <v>46059</v>
      </c>
    </row>
    <row r="132" spans="1:28" ht="15.75" hidden="1" x14ac:dyDescent="0.25">
      <c r="A132" s="28">
        <v>46031</v>
      </c>
      <c r="B132" s="10" t="s">
        <v>234</v>
      </c>
      <c r="C132" s="10"/>
      <c r="D132" s="10" t="s">
        <v>32</v>
      </c>
      <c r="E132" s="10" t="s">
        <v>254</v>
      </c>
      <c r="F132" s="10">
        <v>8</v>
      </c>
      <c r="G132" s="10" t="s">
        <v>192</v>
      </c>
      <c r="H132" s="10">
        <v>900000</v>
      </c>
      <c r="I132" s="10">
        <f t="shared" ref="I132:I195" si="19">F132*H132</f>
        <v>7200000</v>
      </c>
      <c r="J132" s="29" t="s">
        <v>110</v>
      </c>
      <c r="K132" s="88"/>
      <c r="L132" s="12">
        <f t="shared" si="14"/>
        <v>0</v>
      </c>
      <c r="M132" s="12"/>
      <c r="N132" s="12"/>
      <c r="O132" s="12">
        <f t="shared" si="15"/>
        <v>7200000</v>
      </c>
      <c r="P132" s="12">
        <v>7200000</v>
      </c>
      <c r="Q132" s="12"/>
      <c r="R132" s="12">
        <f t="shared" si="16"/>
        <v>0</v>
      </c>
      <c r="S132" s="12"/>
      <c r="T132" s="12"/>
      <c r="U132" s="12">
        <f t="shared" si="17"/>
        <v>0</v>
      </c>
      <c r="V132" s="12"/>
      <c r="W132" s="12"/>
      <c r="X132" s="12">
        <f t="shared" si="18"/>
        <v>0</v>
      </c>
      <c r="Y132" s="12"/>
      <c r="Z132" s="12"/>
      <c r="AA132" s="13">
        <f t="shared" ref="AA132:AA195" si="20">C132+I132-L132-O132-U132-X132-R132</f>
        <v>0</v>
      </c>
      <c r="AB132" s="14">
        <v>46065</v>
      </c>
    </row>
    <row r="133" spans="1:28" ht="15.75" hidden="1" x14ac:dyDescent="0.25">
      <c r="A133" s="28">
        <v>46031</v>
      </c>
      <c r="B133" s="10" t="s">
        <v>56</v>
      </c>
      <c r="C133" s="10"/>
      <c r="D133" s="10" t="s">
        <v>28</v>
      </c>
      <c r="E133" s="10" t="s">
        <v>191</v>
      </c>
      <c r="F133" s="10">
        <v>1</v>
      </c>
      <c r="G133" s="10" t="s">
        <v>192</v>
      </c>
      <c r="H133" s="10">
        <v>900000</v>
      </c>
      <c r="I133" s="10">
        <f t="shared" si="19"/>
        <v>900000</v>
      </c>
      <c r="J133" s="29" t="s">
        <v>110</v>
      </c>
      <c r="K133" s="88"/>
      <c r="L133" s="12">
        <f t="shared" si="14"/>
        <v>0</v>
      </c>
      <c r="M133" s="12"/>
      <c r="N133" s="12"/>
      <c r="O133" s="12">
        <f t="shared" si="15"/>
        <v>900000</v>
      </c>
      <c r="P133" s="12"/>
      <c r="Q133" s="12">
        <v>900000</v>
      </c>
      <c r="R133" s="12">
        <f t="shared" si="16"/>
        <v>0</v>
      </c>
      <c r="S133" s="12"/>
      <c r="T133" s="12"/>
      <c r="U133" s="12">
        <f t="shared" si="17"/>
        <v>0</v>
      </c>
      <c r="V133" s="12"/>
      <c r="W133" s="12"/>
      <c r="X133" s="12">
        <f t="shared" si="18"/>
        <v>0</v>
      </c>
      <c r="Y133" s="12"/>
      <c r="Z133" s="12"/>
      <c r="AA133" s="13">
        <f t="shared" si="20"/>
        <v>0</v>
      </c>
      <c r="AB133" s="14">
        <v>46079</v>
      </c>
    </row>
    <row r="134" spans="1:28" ht="15.75" hidden="1" x14ac:dyDescent="0.25">
      <c r="A134" s="28">
        <v>46032</v>
      </c>
      <c r="B134" s="10" t="s">
        <v>234</v>
      </c>
      <c r="C134" s="10"/>
      <c r="D134" s="10" t="s">
        <v>32</v>
      </c>
      <c r="E134" s="10" t="s">
        <v>116</v>
      </c>
      <c r="F134" s="10">
        <v>6</v>
      </c>
      <c r="G134" s="10" t="s">
        <v>67</v>
      </c>
      <c r="H134" s="10">
        <v>65000</v>
      </c>
      <c r="I134" s="10">
        <f t="shared" si="19"/>
        <v>390000</v>
      </c>
      <c r="J134" s="29" t="s">
        <v>110</v>
      </c>
      <c r="K134" s="88"/>
      <c r="L134" s="12">
        <f t="shared" si="14"/>
        <v>0</v>
      </c>
      <c r="M134" s="12"/>
      <c r="N134" s="12"/>
      <c r="O134" s="12">
        <f t="shared" si="15"/>
        <v>390000</v>
      </c>
      <c r="P134" s="12">
        <v>390000</v>
      </c>
      <c r="Q134" s="12"/>
      <c r="R134" s="12">
        <f t="shared" si="16"/>
        <v>0</v>
      </c>
      <c r="S134" s="12"/>
      <c r="T134" s="12"/>
      <c r="U134" s="12">
        <f t="shared" si="17"/>
        <v>0</v>
      </c>
      <c r="V134" s="12"/>
      <c r="W134" s="12"/>
      <c r="X134" s="12">
        <f t="shared" si="18"/>
        <v>0</v>
      </c>
      <c r="Y134" s="12"/>
      <c r="Z134" s="12"/>
      <c r="AA134" s="13">
        <f t="shared" si="20"/>
        <v>0</v>
      </c>
      <c r="AB134" s="14">
        <v>46065</v>
      </c>
    </row>
    <row r="135" spans="1:28" ht="15.75" hidden="1" x14ac:dyDescent="0.25">
      <c r="A135" s="28">
        <v>46032</v>
      </c>
      <c r="B135" s="10" t="s">
        <v>234</v>
      </c>
      <c r="C135" s="10"/>
      <c r="D135" s="10" t="s">
        <v>32</v>
      </c>
      <c r="E135" s="10" t="s">
        <v>78</v>
      </c>
      <c r="F135" s="10">
        <v>3</v>
      </c>
      <c r="G135" s="10" t="s">
        <v>61</v>
      </c>
      <c r="H135" s="10">
        <v>250000</v>
      </c>
      <c r="I135" s="10">
        <f t="shared" si="19"/>
        <v>750000</v>
      </c>
      <c r="J135" s="29" t="s">
        <v>110</v>
      </c>
      <c r="K135" s="88"/>
      <c r="L135" s="12">
        <f t="shared" si="14"/>
        <v>0</v>
      </c>
      <c r="M135" s="12"/>
      <c r="N135" s="12"/>
      <c r="O135" s="12">
        <f t="shared" si="15"/>
        <v>750000</v>
      </c>
      <c r="P135" s="12">
        <v>750000</v>
      </c>
      <c r="Q135" s="12"/>
      <c r="R135" s="12">
        <f t="shared" si="16"/>
        <v>0</v>
      </c>
      <c r="S135" s="12"/>
      <c r="T135" s="12"/>
      <c r="U135" s="12">
        <f t="shared" si="17"/>
        <v>0</v>
      </c>
      <c r="V135" s="12"/>
      <c r="W135" s="12"/>
      <c r="X135" s="12">
        <f t="shared" si="18"/>
        <v>0</v>
      </c>
      <c r="Y135" s="12"/>
      <c r="Z135" s="12"/>
      <c r="AA135" s="13">
        <f t="shared" si="20"/>
        <v>0</v>
      </c>
      <c r="AB135" s="14">
        <v>46065</v>
      </c>
    </row>
    <row r="136" spans="1:28" ht="15.75" hidden="1" x14ac:dyDescent="0.25">
      <c r="A136" s="28">
        <v>46032</v>
      </c>
      <c r="B136" s="10" t="s">
        <v>74</v>
      </c>
      <c r="C136" s="10"/>
      <c r="D136" s="10" t="s">
        <v>32</v>
      </c>
      <c r="E136" s="10" t="s">
        <v>173</v>
      </c>
      <c r="F136" s="10">
        <v>25</v>
      </c>
      <c r="G136" s="10" t="s">
        <v>36</v>
      </c>
      <c r="H136" s="10">
        <v>92000</v>
      </c>
      <c r="I136" s="10">
        <f t="shared" si="19"/>
        <v>2300000</v>
      </c>
      <c r="J136" s="29" t="s">
        <v>113</v>
      </c>
      <c r="K136" s="87"/>
      <c r="L136" s="12">
        <f t="shared" si="14"/>
        <v>2300000</v>
      </c>
      <c r="M136" s="12">
        <v>2300000</v>
      </c>
      <c r="N136" s="12"/>
      <c r="O136" s="12">
        <f t="shared" si="15"/>
        <v>0</v>
      </c>
      <c r="P136" s="12"/>
      <c r="Q136" s="12"/>
      <c r="R136" s="12">
        <f t="shared" si="16"/>
        <v>0</v>
      </c>
      <c r="S136" s="12"/>
      <c r="T136" s="12"/>
      <c r="U136" s="12">
        <f t="shared" si="17"/>
        <v>0</v>
      </c>
      <c r="V136" s="12"/>
      <c r="W136" s="12"/>
      <c r="X136" s="12">
        <f t="shared" si="18"/>
        <v>0</v>
      </c>
      <c r="Y136" s="12"/>
      <c r="Z136" s="12"/>
      <c r="AA136" s="13">
        <f t="shared" si="20"/>
        <v>0</v>
      </c>
      <c r="AB136" s="14">
        <v>46062</v>
      </c>
    </row>
    <row r="137" spans="1:28" ht="15.75" hidden="1" x14ac:dyDescent="0.25">
      <c r="A137" s="28">
        <v>46032</v>
      </c>
      <c r="B137" s="10" t="s">
        <v>109</v>
      </c>
      <c r="C137" s="10"/>
      <c r="D137" s="10" t="s">
        <v>32</v>
      </c>
      <c r="E137" s="10" t="s">
        <v>116</v>
      </c>
      <c r="F137" s="10">
        <v>4</v>
      </c>
      <c r="G137" s="10" t="s">
        <v>67</v>
      </c>
      <c r="H137" s="10">
        <v>55000</v>
      </c>
      <c r="I137" s="10">
        <f t="shared" si="19"/>
        <v>220000</v>
      </c>
      <c r="J137" s="29" t="s">
        <v>113</v>
      </c>
      <c r="K137" s="88"/>
      <c r="L137" s="12">
        <f t="shared" si="14"/>
        <v>220000</v>
      </c>
      <c r="M137" s="12">
        <v>184700</v>
      </c>
      <c r="N137" s="12">
        <v>35300</v>
      </c>
      <c r="O137" s="12">
        <f t="shared" si="15"/>
        <v>0</v>
      </c>
      <c r="P137" s="12"/>
      <c r="Q137" s="12"/>
      <c r="R137" s="12">
        <f t="shared" si="16"/>
        <v>0</v>
      </c>
      <c r="S137" s="12"/>
      <c r="T137" s="12"/>
      <c r="U137" s="12">
        <f t="shared" si="17"/>
        <v>0</v>
      </c>
      <c r="V137" s="12"/>
      <c r="W137" s="12"/>
      <c r="X137" s="12">
        <f t="shared" si="18"/>
        <v>0</v>
      </c>
      <c r="Y137" s="12"/>
      <c r="Z137" s="12"/>
      <c r="AA137" s="13">
        <f t="shared" si="20"/>
        <v>0</v>
      </c>
      <c r="AB137" s="14">
        <v>46049</v>
      </c>
    </row>
    <row r="138" spans="1:28" ht="15.75" hidden="1" x14ac:dyDescent="0.25">
      <c r="A138" s="28">
        <v>46032</v>
      </c>
      <c r="B138" s="10" t="s">
        <v>109</v>
      </c>
      <c r="C138" s="10"/>
      <c r="D138" s="10" t="s">
        <v>32</v>
      </c>
      <c r="E138" s="10" t="s">
        <v>290</v>
      </c>
      <c r="F138" s="10">
        <v>2</v>
      </c>
      <c r="G138" s="10" t="s">
        <v>39</v>
      </c>
      <c r="H138" s="10">
        <v>25000</v>
      </c>
      <c r="I138" s="10">
        <f t="shared" si="19"/>
        <v>50000</v>
      </c>
      <c r="J138" s="29" t="s">
        <v>113</v>
      </c>
      <c r="K138" s="88"/>
      <c r="L138" s="12">
        <f t="shared" si="14"/>
        <v>50000</v>
      </c>
      <c r="M138" s="12">
        <v>50000</v>
      </c>
      <c r="N138" s="12"/>
      <c r="O138" s="12">
        <f t="shared" si="15"/>
        <v>0</v>
      </c>
      <c r="P138" s="12"/>
      <c r="Q138" s="12"/>
      <c r="R138" s="12">
        <f t="shared" si="16"/>
        <v>0</v>
      </c>
      <c r="S138" s="12"/>
      <c r="T138" s="12"/>
      <c r="U138" s="12">
        <f t="shared" si="17"/>
        <v>0</v>
      </c>
      <c r="V138" s="12"/>
      <c r="W138" s="12"/>
      <c r="X138" s="12">
        <f t="shared" si="18"/>
        <v>0</v>
      </c>
      <c r="Y138" s="12"/>
      <c r="Z138" s="12"/>
      <c r="AA138" s="13">
        <f t="shared" si="20"/>
        <v>0</v>
      </c>
      <c r="AB138" s="14">
        <v>46058</v>
      </c>
    </row>
    <row r="139" spans="1:28" ht="15.75" hidden="1" x14ac:dyDescent="0.25">
      <c r="A139" s="28">
        <v>46032</v>
      </c>
      <c r="B139" s="10" t="s">
        <v>109</v>
      </c>
      <c r="C139" s="10"/>
      <c r="D139" s="10" t="s">
        <v>32</v>
      </c>
      <c r="E139" s="10" t="s">
        <v>130</v>
      </c>
      <c r="F139" s="10">
        <v>10</v>
      </c>
      <c r="G139" s="10" t="s">
        <v>67</v>
      </c>
      <c r="H139" s="10">
        <v>50000</v>
      </c>
      <c r="I139" s="10">
        <f t="shared" si="19"/>
        <v>500000</v>
      </c>
      <c r="J139" s="29" t="s">
        <v>113</v>
      </c>
      <c r="K139" s="88"/>
      <c r="L139" s="12">
        <f t="shared" si="14"/>
        <v>500000</v>
      </c>
      <c r="M139" s="12">
        <v>500000</v>
      </c>
      <c r="N139" s="12"/>
      <c r="O139" s="12">
        <f t="shared" si="15"/>
        <v>0</v>
      </c>
      <c r="P139" s="12"/>
      <c r="Q139" s="12"/>
      <c r="R139" s="12">
        <f t="shared" si="16"/>
        <v>0</v>
      </c>
      <c r="S139" s="12"/>
      <c r="T139" s="12"/>
      <c r="U139" s="12">
        <f t="shared" si="17"/>
        <v>0</v>
      </c>
      <c r="V139" s="12"/>
      <c r="W139" s="12"/>
      <c r="X139" s="12">
        <f t="shared" si="18"/>
        <v>0</v>
      </c>
      <c r="Y139" s="12"/>
      <c r="Z139" s="12"/>
      <c r="AA139" s="13">
        <f t="shared" si="20"/>
        <v>0</v>
      </c>
      <c r="AB139" s="14">
        <v>46058</v>
      </c>
    </row>
    <row r="140" spans="1:28" ht="15.75" hidden="1" x14ac:dyDescent="0.25">
      <c r="A140" s="28">
        <v>46032</v>
      </c>
      <c r="B140" s="10" t="s">
        <v>109</v>
      </c>
      <c r="C140" s="10"/>
      <c r="D140" s="10" t="s">
        <v>32</v>
      </c>
      <c r="E140" s="10" t="s">
        <v>117</v>
      </c>
      <c r="F140" s="10">
        <v>1</v>
      </c>
      <c r="G140" s="10" t="s">
        <v>36</v>
      </c>
      <c r="H140" s="10">
        <v>70000</v>
      </c>
      <c r="I140" s="10">
        <f t="shared" si="19"/>
        <v>70000</v>
      </c>
      <c r="J140" s="29" t="s">
        <v>113</v>
      </c>
      <c r="K140" s="88"/>
      <c r="L140" s="12">
        <f t="shared" si="14"/>
        <v>70000</v>
      </c>
      <c r="M140" s="12">
        <v>70000</v>
      </c>
      <c r="N140" s="12"/>
      <c r="O140" s="12">
        <f t="shared" si="15"/>
        <v>0</v>
      </c>
      <c r="P140" s="12"/>
      <c r="Q140" s="12"/>
      <c r="R140" s="12">
        <f t="shared" si="16"/>
        <v>0</v>
      </c>
      <c r="S140" s="12"/>
      <c r="T140" s="12"/>
      <c r="U140" s="12">
        <f t="shared" si="17"/>
        <v>0</v>
      </c>
      <c r="V140" s="12"/>
      <c r="W140" s="12"/>
      <c r="X140" s="12">
        <f t="shared" si="18"/>
        <v>0</v>
      </c>
      <c r="Y140" s="12"/>
      <c r="Z140" s="12"/>
      <c r="AA140" s="13">
        <f t="shared" si="20"/>
        <v>0</v>
      </c>
      <c r="AB140" s="14">
        <v>46058</v>
      </c>
    </row>
    <row r="141" spans="1:28" ht="15.75" hidden="1" x14ac:dyDescent="0.25">
      <c r="A141" s="28">
        <v>46032</v>
      </c>
      <c r="B141" s="10" t="s">
        <v>109</v>
      </c>
      <c r="C141" s="10"/>
      <c r="D141" s="10" t="s">
        <v>32</v>
      </c>
      <c r="E141" s="10" t="s">
        <v>167</v>
      </c>
      <c r="F141" s="10">
        <v>5</v>
      </c>
      <c r="G141" s="10" t="s">
        <v>36</v>
      </c>
      <c r="H141" s="10">
        <v>90000</v>
      </c>
      <c r="I141" s="10">
        <f t="shared" si="19"/>
        <v>450000</v>
      </c>
      <c r="J141" s="29" t="s">
        <v>113</v>
      </c>
      <c r="K141" s="88"/>
      <c r="L141" s="12">
        <f t="shared" si="14"/>
        <v>450000</v>
      </c>
      <c r="M141" s="12">
        <v>450000</v>
      </c>
      <c r="N141" s="12"/>
      <c r="O141" s="12">
        <f t="shared" si="15"/>
        <v>0</v>
      </c>
      <c r="P141" s="12"/>
      <c r="Q141" s="12"/>
      <c r="R141" s="12">
        <f t="shared" si="16"/>
        <v>0</v>
      </c>
      <c r="S141" s="12"/>
      <c r="T141" s="12"/>
      <c r="U141" s="12">
        <f t="shared" si="17"/>
        <v>0</v>
      </c>
      <c r="V141" s="12"/>
      <c r="W141" s="12"/>
      <c r="X141" s="12">
        <f t="shared" si="18"/>
        <v>0</v>
      </c>
      <c r="Y141" s="12"/>
      <c r="Z141" s="12"/>
      <c r="AA141" s="13">
        <f t="shared" si="20"/>
        <v>0</v>
      </c>
      <c r="AB141" s="14">
        <v>46058</v>
      </c>
    </row>
    <row r="142" spans="1:28" ht="15.75" hidden="1" x14ac:dyDescent="0.25">
      <c r="A142" s="28">
        <v>46032</v>
      </c>
      <c r="B142" s="10" t="s">
        <v>109</v>
      </c>
      <c r="C142" s="10"/>
      <c r="D142" s="10" t="s">
        <v>32</v>
      </c>
      <c r="E142" s="10" t="s">
        <v>179</v>
      </c>
      <c r="F142" s="10">
        <v>2.5</v>
      </c>
      <c r="G142" s="10" t="s">
        <v>36</v>
      </c>
      <c r="H142" s="10">
        <v>90000</v>
      </c>
      <c r="I142" s="10">
        <f t="shared" si="19"/>
        <v>225000</v>
      </c>
      <c r="J142" s="29" t="s">
        <v>113</v>
      </c>
      <c r="K142" s="88"/>
      <c r="L142" s="12">
        <f t="shared" si="14"/>
        <v>225000</v>
      </c>
      <c r="M142" s="12">
        <v>225000</v>
      </c>
      <c r="N142" s="12"/>
      <c r="O142" s="12">
        <f t="shared" si="15"/>
        <v>0</v>
      </c>
      <c r="P142" s="12"/>
      <c r="Q142" s="12"/>
      <c r="R142" s="12">
        <f t="shared" si="16"/>
        <v>0</v>
      </c>
      <c r="S142" s="12"/>
      <c r="T142" s="12"/>
      <c r="U142" s="12">
        <f t="shared" si="17"/>
        <v>0</v>
      </c>
      <c r="V142" s="12"/>
      <c r="W142" s="12"/>
      <c r="X142" s="12">
        <f t="shared" si="18"/>
        <v>0</v>
      </c>
      <c r="Y142" s="12"/>
      <c r="Z142" s="12"/>
      <c r="AA142" s="13">
        <f t="shared" si="20"/>
        <v>0</v>
      </c>
      <c r="AB142" s="14">
        <v>46058</v>
      </c>
    </row>
    <row r="143" spans="1:28" ht="15.75" hidden="1" x14ac:dyDescent="0.25">
      <c r="A143" s="28">
        <v>46032</v>
      </c>
      <c r="B143" s="10" t="s">
        <v>109</v>
      </c>
      <c r="C143" s="10"/>
      <c r="D143" s="10" t="s">
        <v>32</v>
      </c>
      <c r="E143" s="10" t="s">
        <v>180</v>
      </c>
      <c r="F143" s="10">
        <v>2.5</v>
      </c>
      <c r="G143" s="10" t="s">
        <v>36</v>
      </c>
      <c r="H143" s="10">
        <v>86000</v>
      </c>
      <c r="I143" s="10">
        <f t="shared" si="19"/>
        <v>215000</v>
      </c>
      <c r="J143" s="29" t="s">
        <v>113</v>
      </c>
      <c r="K143" s="88"/>
      <c r="L143" s="12">
        <f t="shared" si="14"/>
        <v>215000</v>
      </c>
      <c r="M143" s="12">
        <v>215000</v>
      </c>
      <c r="N143" s="12"/>
      <c r="O143" s="12">
        <f t="shared" si="15"/>
        <v>0</v>
      </c>
      <c r="P143" s="12"/>
      <c r="Q143" s="12"/>
      <c r="R143" s="12">
        <f t="shared" si="16"/>
        <v>0</v>
      </c>
      <c r="S143" s="12"/>
      <c r="T143" s="12"/>
      <c r="U143" s="12">
        <f t="shared" si="17"/>
        <v>0</v>
      </c>
      <c r="V143" s="12"/>
      <c r="W143" s="12"/>
      <c r="X143" s="12">
        <f t="shared" si="18"/>
        <v>0</v>
      </c>
      <c r="Y143" s="12"/>
      <c r="Z143" s="12"/>
      <c r="AA143" s="13">
        <f t="shared" si="20"/>
        <v>0</v>
      </c>
      <c r="AB143" s="14">
        <v>46058</v>
      </c>
    </row>
    <row r="144" spans="1:28" ht="15.75" hidden="1" x14ac:dyDescent="0.25">
      <c r="A144" s="28">
        <v>46032</v>
      </c>
      <c r="B144" s="10" t="s">
        <v>109</v>
      </c>
      <c r="C144" s="10"/>
      <c r="D144" s="10" t="s">
        <v>32</v>
      </c>
      <c r="E144" s="10" t="s">
        <v>291</v>
      </c>
      <c r="F144" s="10">
        <v>2</v>
      </c>
      <c r="G144" s="10" t="s">
        <v>39</v>
      </c>
      <c r="H144" s="10">
        <v>460000</v>
      </c>
      <c r="I144" s="10">
        <f t="shared" si="19"/>
        <v>920000</v>
      </c>
      <c r="J144" s="29" t="s">
        <v>113</v>
      </c>
      <c r="K144" s="88"/>
      <c r="L144" s="12">
        <f t="shared" si="14"/>
        <v>920000</v>
      </c>
      <c r="M144" s="12">
        <v>920000</v>
      </c>
      <c r="N144" s="12"/>
      <c r="O144" s="12">
        <f t="shared" si="15"/>
        <v>0</v>
      </c>
      <c r="P144" s="12"/>
      <c r="Q144" s="12"/>
      <c r="R144" s="12">
        <f t="shared" si="16"/>
        <v>0</v>
      </c>
      <c r="S144" s="12"/>
      <c r="T144" s="12"/>
      <c r="U144" s="12">
        <f t="shared" si="17"/>
        <v>0</v>
      </c>
      <c r="V144" s="12"/>
      <c r="W144" s="12"/>
      <c r="X144" s="12">
        <f t="shared" si="18"/>
        <v>0</v>
      </c>
      <c r="Y144" s="12"/>
      <c r="Z144" s="12"/>
      <c r="AA144" s="13">
        <f t="shared" si="20"/>
        <v>0</v>
      </c>
      <c r="AB144" s="14">
        <v>46058</v>
      </c>
    </row>
    <row r="145" spans="1:28" ht="15.75" hidden="1" x14ac:dyDescent="0.25">
      <c r="A145" s="28">
        <v>46032</v>
      </c>
      <c r="B145" s="10" t="s">
        <v>182</v>
      </c>
      <c r="C145" s="10"/>
      <c r="D145" s="10" t="s">
        <v>28</v>
      </c>
      <c r="E145" s="10" t="s">
        <v>183</v>
      </c>
      <c r="F145" s="10">
        <v>100</v>
      </c>
      <c r="G145" s="10" t="s">
        <v>36</v>
      </c>
      <c r="H145" s="10">
        <v>73000</v>
      </c>
      <c r="I145" s="10">
        <f t="shared" si="19"/>
        <v>7300000</v>
      </c>
      <c r="J145" s="29" t="s">
        <v>113</v>
      </c>
      <c r="K145" s="88"/>
      <c r="L145" s="12">
        <f t="shared" si="14"/>
        <v>7300000</v>
      </c>
      <c r="M145" s="12">
        <v>7300000</v>
      </c>
      <c r="N145" s="12"/>
      <c r="O145" s="12">
        <f t="shared" si="15"/>
        <v>0</v>
      </c>
      <c r="P145" s="12"/>
      <c r="Q145" s="12"/>
      <c r="R145" s="12">
        <f t="shared" si="16"/>
        <v>0</v>
      </c>
      <c r="S145" s="12"/>
      <c r="T145" s="12"/>
      <c r="U145" s="12">
        <f t="shared" si="17"/>
        <v>0</v>
      </c>
      <c r="V145" s="12"/>
      <c r="W145" s="12"/>
      <c r="X145" s="12">
        <f t="shared" si="18"/>
        <v>0</v>
      </c>
      <c r="Y145" s="12"/>
      <c r="Z145" s="12"/>
      <c r="AA145" s="13">
        <f t="shared" si="20"/>
        <v>0</v>
      </c>
      <c r="AB145" s="14">
        <v>46055</v>
      </c>
    </row>
    <row r="146" spans="1:28" ht="15.75" hidden="1" x14ac:dyDescent="0.25">
      <c r="A146" s="28">
        <v>46034</v>
      </c>
      <c r="B146" s="10" t="s">
        <v>297</v>
      </c>
      <c r="C146" s="10"/>
      <c r="D146" s="10" t="s">
        <v>28</v>
      </c>
      <c r="E146" s="10" t="s">
        <v>131</v>
      </c>
      <c r="F146" s="10">
        <v>25</v>
      </c>
      <c r="G146" s="10" t="s">
        <v>36</v>
      </c>
      <c r="H146" s="10">
        <v>103000</v>
      </c>
      <c r="I146" s="10">
        <f t="shared" si="19"/>
        <v>2575000</v>
      </c>
      <c r="J146" s="29" t="s">
        <v>113</v>
      </c>
      <c r="K146" s="87"/>
      <c r="L146" s="12">
        <f t="shared" si="14"/>
        <v>0</v>
      </c>
      <c r="M146" s="12"/>
      <c r="N146" s="12"/>
      <c r="O146" s="12">
        <f t="shared" si="15"/>
        <v>0</v>
      </c>
      <c r="P146" s="12"/>
      <c r="Q146" s="12"/>
      <c r="R146" s="12">
        <f t="shared" si="16"/>
        <v>0</v>
      </c>
      <c r="S146" s="12"/>
      <c r="T146" s="12"/>
      <c r="U146" s="12">
        <f t="shared" si="17"/>
        <v>2575000</v>
      </c>
      <c r="V146" s="12">
        <v>2500000</v>
      </c>
      <c r="W146" s="12">
        <v>75000</v>
      </c>
      <c r="X146" s="12">
        <f t="shared" si="18"/>
        <v>0</v>
      </c>
      <c r="Y146" s="12"/>
      <c r="Z146" s="12"/>
      <c r="AA146" s="13">
        <f t="shared" si="20"/>
        <v>0</v>
      </c>
      <c r="AB146" s="14">
        <v>46055</v>
      </c>
    </row>
    <row r="147" spans="1:28" ht="15.75" hidden="1" x14ac:dyDescent="0.25">
      <c r="A147" s="28">
        <v>46034</v>
      </c>
      <c r="B147" s="10" t="s">
        <v>297</v>
      </c>
      <c r="C147" s="10"/>
      <c r="D147" s="10" t="s">
        <v>28</v>
      </c>
      <c r="E147" s="10" t="s">
        <v>88</v>
      </c>
      <c r="F147" s="10">
        <v>25</v>
      </c>
      <c r="G147" s="10" t="s">
        <v>36</v>
      </c>
      <c r="H147" s="10">
        <v>103000</v>
      </c>
      <c r="I147" s="10">
        <f t="shared" si="19"/>
        <v>2575000</v>
      </c>
      <c r="J147" s="29" t="s">
        <v>113</v>
      </c>
      <c r="K147" s="87"/>
      <c r="L147" s="12">
        <f t="shared" si="14"/>
        <v>0</v>
      </c>
      <c r="M147" s="12"/>
      <c r="N147" s="12"/>
      <c r="O147" s="12">
        <f t="shared" si="15"/>
        <v>0</v>
      </c>
      <c r="P147" s="12"/>
      <c r="Q147" s="12"/>
      <c r="R147" s="12">
        <f t="shared" si="16"/>
        <v>0</v>
      </c>
      <c r="S147" s="12"/>
      <c r="T147" s="12"/>
      <c r="U147" s="12">
        <f t="shared" si="17"/>
        <v>2575000</v>
      </c>
      <c r="V147" s="12"/>
      <c r="W147" s="12">
        <v>2575000</v>
      </c>
      <c r="X147" s="12">
        <f t="shared" si="18"/>
        <v>0</v>
      </c>
      <c r="Y147" s="12"/>
      <c r="Z147" s="12"/>
      <c r="AA147" s="13">
        <f t="shared" si="20"/>
        <v>0</v>
      </c>
      <c r="AB147" s="14">
        <v>46057</v>
      </c>
    </row>
    <row r="148" spans="1:28" ht="15.75" hidden="1" x14ac:dyDescent="0.25">
      <c r="A148" s="28">
        <v>46034</v>
      </c>
      <c r="B148" s="10" t="s">
        <v>176</v>
      </c>
      <c r="C148" s="10"/>
      <c r="D148" s="10" t="s">
        <v>195</v>
      </c>
      <c r="E148" s="10" t="s">
        <v>175</v>
      </c>
      <c r="F148" s="10">
        <v>5000</v>
      </c>
      <c r="G148" s="10" t="s">
        <v>26</v>
      </c>
      <c r="H148" s="10">
        <v>875</v>
      </c>
      <c r="I148" s="10">
        <f t="shared" si="19"/>
        <v>4375000</v>
      </c>
      <c r="J148" s="29" t="s">
        <v>113</v>
      </c>
      <c r="K148" s="88"/>
      <c r="L148" s="12">
        <f t="shared" si="14"/>
        <v>4375000</v>
      </c>
      <c r="M148" s="12">
        <v>2596700</v>
      </c>
      <c r="N148" s="12">
        <v>1778300</v>
      </c>
      <c r="O148" s="12">
        <f t="shared" si="15"/>
        <v>0</v>
      </c>
      <c r="P148" s="12"/>
      <c r="Q148" s="12"/>
      <c r="R148" s="12">
        <f t="shared" si="16"/>
        <v>0</v>
      </c>
      <c r="S148" s="12"/>
      <c r="T148" s="12"/>
      <c r="U148" s="12">
        <f t="shared" si="17"/>
        <v>0</v>
      </c>
      <c r="V148" s="12"/>
      <c r="W148" s="12"/>
      <c r="X148" s="12">
        <f t="shared" si="18"/>
        <v>0</v>
      </c>
      <c r="Y148" s="12"/>
      <c r="Z148" s="12"/>
      <c r="AA148" s="13">
        <f t="shared" si="20"/>
        <v>0</v>
      </c>
      <c r="AB148" s="14">
        <v>46062</v>
      </c>
    </row>
    <row r="149" spans="1:28" ht="15.75" hidden="1" x14ac:dyDescent="0.25">
      <c r="A149" s="28">
        <v>46034</v>
      </c>
      <c r="B149" s="10" t="s">
        <v>176</v>
      </c>
      <c r="C149" s="10"/>
      <c r="D149" s="10" t="s">
        <v>195</v>
      </c>
      <c r="E149" s="10" t="s">
        <v>80</v>
      </c>
      <c r="F149" s="10">
        <v>44.9</v>
      </c>
      <c r="G149" s="10" t="s">
        <v>36</v>
      </c>
      <c r="H149" s="10">
        <v>43000</v>
      </c>
      <c r="I149" s="10">
        <f t="shared" si="19"/>
        <v>1930700</v>
      </c>
      <c r="J149" s="29" t="s">
        <v>113</v>
      </c>
      <c r="K149" s="88"/>
      <c r="L149" s="12">
        <f t="shared" si="14"/>
        <v>1930700</v>
      </c>
      <c r="M149" s="12">
        <v>1930700</v>
      </c>
      <c r="N149" s="12"/>
      <c r="O149" s="12">
        <f t="shared" si="15"/>
        <v>0</v>
      </c>
      <c r="P149" s="12"/>
      <c r="Q149" s="12"/>
      <c r="R149" s="12">
        <f t="shared" si="16"/>
        <v>0</v>
      </c>
      <c r="S149" s="12"/>
      <c r="T149" s="12"/>
      <c r="U149" s="12">
        <f t="shared" si="17"/>
        <v>0</v>
      </c>
      <c r="V149" s="12"/>
      <c r="W149" s="12"/>
      <c r="X149" s="12">
        <f t="shared" si="18"/>
        <v>0</v>
      </c>
      <c r="Y149" s="12"/>
      <c r="Z149" s="12"/>
      <c r="AA149" s="13">
        <f t="shared" si="20"/>
        <v>0</v>
      </c>
      <c r="AB149" s="14">
        <v>46067</v>
      </c>
    </row>
    <row r="150" spans="1:28" ht="15.75" hidden="1" x14ac:dyDescent="0.25">
      <c r="A150" s="28">
        <v>46034</v>
      </c>
      <c r="B150" s="10" t="s">
        <v>176</v>
      </c>
      <c r="C150" s="10"/>
      <c r="D150" s="10" t="s">
        <v>195</v>
      </c>
      <c r="E150" s="10" t="s">
        <v>117</v>
      </c>
      <c r="F150" s="10">
        <v>4</v>
      </c>
      <c r="G150" s="10" t="s">
        <v>36</v>
      </c>
      <c r="H150" s="10">
        <v>70000</v>
      </c>
      <c r="I150" s="10">
        <f t="shared" si="19"/>
        <v>280000</v>
      </c>
      <c r="J150" s="29" t="s">
        <v>113</v>
      </c>
      <c r="K150" s="88"/>
      <c r="L150" s="12">
        <f t="shared" si="14"/>
        <v>280000</v>
      </c>
      <c r="M150" s="12">
        <v>280000</v>
      </c>
      <c r="N150" s="12"/>
      <c r="O150" s="12">
        <f t="shared" si="15"/>
        <v>0</v>
      </c>
      <c r="P150" s="12"/>
      <c r="Q150" s="12"/>
      <c r="R150" s="12">
        <f t="shared" si="16"/>
        <v>0</v>
      </c>
      <c r="S150" s="12"/>
      <c r="T150" s="12"/>
      <c r="U150" s="12">
        <f t="shared" si="17"/>
        <v>0</v>
      </c>
      <c r="V150" s="12"/>
      <c r="W150" s="12"/>
      <c r="X150" s="12">
        <f t="shared" si="18"/>
        <v>0</v>
      </c>
      <c r="Y150" s="12"/>
      <c r="Z150" s="12"/>
      <c r="AA150" s="13">
        <f t="shared" si="20"/>
        <v>0</v>
      </c>
      <c r="AB150" s="14">
        <v>46067</v>
      </c>
    </row>
    <row r="151" spans="1:28" ht="15.75" hidden="1" x14ac:dyDescent="0.25">
      <c r="A151" s="28">
        <v>46034</v>
      </c>
      <c r="B151" s="10" t="s">
        <v>176</v>
      </c>
      <c r="C151" s="10"/>
      <c r="D151" s="10" t="s">
        <v>195</v>
      </c>
      <c r="E151" s="10" t="s">
        <v>116</v>
      </c>
      <c r="F151" s="10">
        <v>8</v>
      </c>
      <c r="G151" s="10" t="s">
        <v>67</v>
      </c>
      <c r="H151" s="10">
        <v>65000</v>
      </c>
      <c r="I151" s="10">
        <f t="shared" si="19"/>
        <v>520000</v>
      </c>
      <c r="J151" s="29" t="s">
        <v>113</v>
      </c>
      <c r="K151" s="88"/>
      <c r="L151" s="12">
        <f t="shared" si="14"/>
        <v>520000</v>
      </c>
      <c r="M151" s="12">
        <v>192600</v>
      </c>
      <c r="N151" s="12">
        <v>327400</v>
      </c>
      <c r="O151" s="12">
        <f t="shared" si="15"/>
        <v>0</v>
      </c>
      <c r="P151" s="12"/>
      <c r="Q151" s="12"/>
      <c r="R151" s="12">
        <f t="shared" si="16"/>
        <v>0</v>
      </c>
      <c r="S151" s="12"/>
      <c r="T151" s="12"/>
      <c r="U151" s="12">
        <f t="shared" si="17"/>
        <v>0</v>
      </c>
      <c r="V151" s="12"/>
      <c r="W151" s="12"/>
      <c r="X151" s="12">
        <f t="shared" si="18"/>
        <v>0</v>
      </c>
      <c r="Y151" s="12"/>
      <c r="Z151" s="12"/>
      <c r="AA151" s="13">
        <f t="shared" si="20"/>
        <v>0</v>
      </c>
      <c r="AB151" s="14">
        <v>46067</v>
      </c>
    </row>
    <row r="152" spans="1:28" ht="15.75" hidden="1" x14ac:dyDescent="0.25">
      <c r="A152" s="28">
        <v>46034</v>
      </c>
      <c r="B152" s="10" t="s">
        <v>176</v>
      </c>
      <c r="C152" s="10"/>
      <c r="D152" s="10" t="s">
        <v>195</v>
      </c>
      <c r="E152" s="10" t="s">
        <v>60</v>
      </c>
      <c r="F152" s="10">
        <v>8</v>
      </c>
      <c r="G152" s="10" t="s">
        <v>61</v>
      </c>
      <c r="H152" s="10">
        <v>150000</v>
      </c>
      <c r="I152" s="10">
        <f t="shared" si="19"/>
        <v>1200000</v>
      </c>
      <c r="J152" s="29" t="s">
        <v>113</v>
      </c>
      <c r="K152" s="88"/>
      <c r="L152" s="12">
        <f t="shared" si="14"/>
        <v>1200000</v>
      </c>
      <c r="M152" s="12"/>
      <c r="N152" s="12">
        <v>1200000</v>
      </c>
      <c r="O152" s="12">
        <f t="shared" si="15"/>
        <v>0</v>
      </c>
      <c r="P152" s="12"/>
      <c r="Q152" s="12"/>
      <c r="R152" s="12">
        <f t="shared" si="16"/>
        <v>0</v>
      </c>
      <c r="S152" s="12"/>
      <c r="T152" s="12"/>
      <c r="U152" s="12">
        <f t="shared" si="17"/>
        <v>0</v>
      </c>
      <c r="V152" s="12"/>
      <c r="W152" s="12"/>
      <c r="X152" s="12">
        <f t="shared" si="18"/>
        <v>0</v>
      </c>
      <c r="Y152" s="12"/>
      <c r="Z152" s="12"/>
      <c r="AA152" s="13">
        <f t="shared" si="20"/>
        <v>0</v>
      </c>
      <c r="AB152" s="14">
        <v>46069</v>
      </c>
    </row>
    <row r="153" spans="1:28" ht="15.75" hidden="1" x14ac:dyDescent="0.25">
      <c r="A153" s="28">
        <v>46034</v>
      </c>
      <c r="B153" s="10" t="s">
        <v>176</v>
      </c>
      <c r="C153" s="10"/>
      <c r="D153" s="10" t="s">
        <v>195</v>
      </c>
      <c r="E153" s="10" t="s">
        <v>298</v>
      </c>
      <c r="F153" s="10">
        <v>2</v>
      </c>
      <c r="G153" s="10" t="s">
        <v>61</v>
      </c>
      <c r="H153" s="10">
        <v>230000</v>
      </c>
      <c r="I153" s="10">
        <f t="shared" si="19"/>
        <v>460000</v>
      </c>
      <c r="J153" s="29" t="s">
        <v>113</v>
      </c>
      <c r="K153" s="88"/>
      <c r="L153" s="12">
        <f t="shared" si="14"/>
        <v>460000</v>
      </c>
      <c r="M153" s="12"/>
      <c r="N153" s="12">
        <v>460000</v>
      </c>
      <c r="O153" s="12">
        <f t="shared" si="15"/>
        <v>0</v>
      </c>
      <c r="P153" s="12"/>
      <c r="Q153" s="12"/>
      <c r="R153" s="12">
        <f t="shared" si="16"/>
        <v>0</v>
      </c>
      <c r="S153" s="12"/>
      <c r="T153" s="12"/>
      <c r="U153" s="12">
        <f t="shared" si="17"/>
        <v>0</v>
      </c>
      <c r="V153" s="12"/>
      <c r="W153" s="12"/>
      <c r="X153" s="12">
        <f t="shared" si="18"/>
        <v>0</v>
      </c>
      <c r="Y153" s="12"/>
      <c r="Z153" s="12"/>
      <c r="AA153" s="13">
        <f t="shared" si="20"/>
        <v>0</v>
      </c>
      <c r="AB153" s="14">
        <v>46069</v>
      </c>
    </row>
    <row r="154" spans="1:28" ht="15.75" hidden="1" x14ac:dyDescent="0.25">
      <c r="A154" s="28">
        <v>46034</v>
      </c>
      <c r="B154" s="10" t="s">
        <v>299</v>
      </c>
      <c r="C154" s="10"/>
      <c r="D154" s="10" t="s">
        <v>195</v>
      </c>
      <c r="E154" s="10" t="s">
        <v>205</v>
      </c>
      <c r="F154" s="10">
        <v>25</v>
      </c>
      <c r="G154" s="10" t="s">
        <v>36</v>
      </c>
      <c r="H154" s="10">
        <v>70000</v>
      </c>
      <c r="I154" s="10">
        <f t="shared" si="19"/>
        <v>1750000</v>
      </c>
      <c r="J154" s="52" t="s">
        <v>90</v>
      </c>
      <c r="K154" s="87"/>
      <c r="L154" s="12">
        <f t="shared" si="14"/>
        <v>0</v>
      </c>
      <c r="M154" s="12"/>
      <c r="N154" s="12"/>
      <c r="O154" s="12">
        <f t="shared" si="15"/>
        <v>0</v>
      </c>
      <c r="P154" s="12"/>
      <c r="Q154" s="12"/>
      <c r="R154" s="12">
        <f t="shared" si="16"/>
        <v>0</v>
      </c>
      <c r="S154" s="12"/>
      <c r="T154" s="12"/>
      <c r="U154" s="12">
        <f t="shared" si="17"/>
        <v>0</v>
      </c>
      <c r="V154" s="12"/>
      <c r="W154" s="12"/>
      <c r="X154" s="12">
        <f t="shared" si="18"/>
        <v>0</v>
      </c>
      <c r="Y154" s="12"/>
      <c r="Z154" s="12"/>
      <c r="AA154" s="13">
        <f t="shared" si="20"/>
        <v>1750000</v>
      </c>
      <c r="AB154" s="14"/>
    </row>
    <row r="155" spans="1:28" ht="15.75" hidden="1" x14ac:dyDescent="0.25">
      <c r="A155" s="28">
        <v>46035</v>
      </c>
      <c r="B155" s="10" t="s">
        <v>234</v>
      </c>
      <c r="C155" s="10"/>
      <c r="D155" s="10" t="s">
        <v>32</v>
      </c>
      <c r="E155" s="10" t="s">
        <v>78</v>
      </c>
      <c r="F155" s="10">
        <v>2</v>
      </c>
      <c r="G155" s="10" t="s">
        <v>61</v>
      </c>
      <c r="H155" s="10">
        <v>230000</v>
      </c>
      <c r="I155" s="10">
        <f t="shared" si="19"/>
        <v>460000</v>
      </c>
      <c r="J155" s="29" t="s">
        <v>110</v>
      </c>
      <c r="K155" s="88"/>
      <c r="L155" s="12">
        <f t="shared" si="14"/>
        <v>0</v>
      </c>
      <c r="M155" s="12"/>
      <c r="N155" s="12"/>
      <c r="O155" s="12">
        <f t="shared" si="15"/>
        <v>460000</v>
      </c>
      <c r="P155" s="12">
        <v>460000</v>
      </c>
      <c r="Q155" s="12"/>
      <c r="R155" s="12">
        <f t="shared" si="16"/>
        <v>0</v>
      </c>
      <c r="S155" s="12"/>
      <c r="T155" s="12"/>
      <c r="U155" s="12">
        <f t="shared" si="17"/>
        <v>0</v>
      </c>
      <c r="V155" s="12"/>
      <c r="W155" s="12"/>
      <c r="X155" s="12">
        <f t="shared" si="18"/>
        <v>0</v>
      </c>
      <c r="Y155" s="12"/>
      <c r="Z155" s="12"/>
      <c r="AA155" s="13">
        <f t="shared" si="20"/>
        <v>0</v>
      </c>
      <c r="AB155" s="14">
        <v>46065</v>
      </c>
    </row>
    <row r="156" spans="1:28" ht="15.75" hidden="1" x14ac:dyDescent="0.25">
      <c r="A156" s="28">
        <v>46035</v>
      </c>
      <c r="B156" s="10" t="s">
        <v>303</v>
      </c>
      <c r="C156" s="10"/>
      <c r="D156" s="10" t="s">
        <v>28</v>
      </c>
      <c r="E156" s="10" t="s">
        <v>114</v>
      </c>
      <c r="F156" s="10">
        <v>20</v>
      </c>
      <c r="G156" s="10" t="s">
        <v>67</v>
      </c>
      <c r="H156" s="10">
        <v>50000</v>
      </c>
      <c r="I156" s="10">
        <f t="shared" si="19"/>
        <v>1000000</v>
      </c>
      <c r="J156" s="29" t="s">
        <v>110</v>
      </c>
      <c r="K156" s="95" t="s">
        <v>521</v>
      </c>
      <c r="L156" s="12">
        <f t="shared" si="14"/>
        <v>0</v>
      </c>
      <c r="M156" s="12"/>
      <c r="N156" s="12"/>
      <c r="O156" s="12">
        <f t="shared" si="15"/>
        <v>1000000</v>
      </c>
      <c r="P156" s="12">
        <v>1000000</v>
      </c>
      <c r="Q156" s="12"/>
      <c r="R156" s="12">
        <f t="shared" si="16"/>
        <v>0</v>
      </c>
      <c r="S156" s="12"/>
      <c r="T156" s="12"/>
      <c r="U156" s="12">
        <f t="shared" si="17"/>
        <v>0</v>
      </c>
      <c r="V156" s="12"/>
      <c r="W156" s="12"/>
      <c r="X156" s="12">
        <f t="shared" si="18"/>
        <v>0</v>
      </c>
      <c r="Y156" s="12"/>
      <c r="Z156" s="12"/>
      <c r="AA156" s="13">
        <f t="shared" si="20"/>
        <v>0</v>
      </c>
      <c r="AB156" s="14">
        <v>46076</v>
      </c>
    </row>
    <row r="157" spans="1:28" ht="15.75" hidden="1" x14ac:dyDescent="0.25">
      <c r="A157" s="28">
        <v>46035</v>
      </c>
      <c r="B157" s="10" t="s">
        <v>303</v>
      </c>
      <c r="C157" s="10"/>
      <c r="D157" s="10" t="s">
        <v>28</v>
      </c>
      <c r="E157" s="10" t="s">
        <v>116</v>
      </c>
      <c r="F157" s="10">
        <v>2</v>
      </c>
      <c r="G157" s="10" t="s">
        <v>67</v>
      </c>
      <c r="H157" s="10">
        <v>65000</v>
      </c>
      <c r="I157" s="10">
        <f t="shared" si="19"/>
        <v>130000</v>
      </c>
      <c r="J157" s="29" t="s">
        <v>110</v>
      </c>
      <c r="K157" s="95" t="s">
        <v>521</v>
      </c>
      <c r="L157" s="12">
        <f t="shared" si="14"/>
        <v>0</v>
      </c>
      <c r="M157" s="12"/>
      <c r="N157" s="12"/>
      <c r="O157" s="12">
        <f t="shared" si="15"/>
        <v>130000</v>
      </c>
      <c r="P157" s="12">
        <v>130000</v>
      </c>
      <c r="Q157" s="12"/>
      <c r="R157" s="12">
        <f t="shared" si="16"/>
        <v>0</v>
      </c>
      <c r="S157" s="12"/>
      <c r="T157" s="12"/>
      <c r="U157" s="12">
        <f t="shared" si="17"/>
        <v>0</v>
      </c>
      <c r="V157" s="12"/>
      <c r="W157" s="12"/>
      <c r="X157" s="12">
        <f t="shared" si="18"/>
        <v>0</v>
      </c>
      <c r="Y157" s="12"/>
      <c r="Z157" s="12"/>
      <c r="AA157" s="13">
        <f t="shared" si="20"/>
        <v>0</v>
      </c>
      <c r="AB157" s="14">
        <v>46076</v>
      </c>
    </row>
    <row r="158" spans="1:28" ht="15.75" hidden="1" x14ac:dyDescent="0.25">
      <c r="A158" s="28">
        <v>46035</v>
      </c>
      <c r="B158" s="10" t="s">
        <v>64</v>
      </c>
      <c r="C158" s="10"/>
      <c r="D158" s="10" t="s">
        <v>32</v>
      </c>
      <c r="E158" s="10" t="s">
        <v>129</v>
      </c>
      <c r="F158" s="10">
        <v>5200</v>
      </c>
      <c r="G158" s="10" t="s">
        <v>26</v>
      </c>
      <c r="H158" s="10">
        <v>3700</v>
      </c>
      <c r="I158" s="10">
        <f t="shared" si="19"/>
        <v>19240000</v>
      </c>
      <c r="J158" s="52" t="s">
        <v>90</v>
      </c>
      <c r="K158" s="10"/>
      <c r="L158" s="12">
        <f t="shared" si="14"/>
        <v>0</v>
      </c>
      <c r="M158" s="12"/>
      <c r="N158" s="12"/>
      <c r="O158" s="12">
        <f t="shared" si="15"/>
        <v>9240000</v>
      </c>
      <c r="P158" s="12">
        <v>9240000</v>
      </c>
      <c r="Q158" s="12"/>
      <c r="R158" s="12">
        <f t="shared" si="16"/>
        <v>0</v>
      </c>
      <c r="S158" s="12"/>
      <c r="T158" s="12"/>
      <c r="U158" s="12">
        <f t="shared" si="17"/>
        <v>0</v>
      </c>
      <c r="V158" s="12"/>
      <c r="W158" s="12"/>
      <c r="X158" s="12">
        <f t="shared" si="18"/>
        <v>0</v>
      </c>
      <c r="Y158" s="12"/>
      <c r="Z158" s="12"/>
      <c r="AA158" s="13">
        <f t="shared" si="20"/>
        <v>10000000</v>
      </c>
      <c r="AB158" s="14">
        <v>46072</v>
      </c>
    </row>
    <row r="159" spans="1:28" ht="15.75" hidden="1" x14ac:dyDescent="0.25">
      <c r="A159" s="28">
        <v>46035</v>
      </c>
      <c r="B159" s="10" t="s">
        <v>283</v>
      </c>
      <c r="C159" s="10"/>
      <c r="D159" s="10" t="s">
        <v>32</v>
      </c>
      <c r="E159" s="10" t="s">
        <v>116</v>
      </c>
      <c r="F159" s="10">
        <v>8</v>
      </c>
      <c r="G159" s="10" t="s">
        <v>67</v>
      </c>
      <c r="H159" s="10">
        <v>60000</v>
      </c>
      <c r="I159" s="10">
        <f t="shared" si="19"/>
        <v>480000</v>
      </c>
      <c r="J159" s="52" t="s">
        <v>90</v>
      </c>
      <c r="K159" s="87"/>
      <c r="L159" s="12">
        <f t="shared" si="14"/>
        <v>0</v>
      </c>
      <c r="M159" s="12"/>
      <c r="N159" s="12"/>
      <c r="O159" s="12">
        <f t="shared" si="15"/>
        <v>0</v>
      </c>
      <c r="P159" s="12"/>
      <c r="Q159" s="12"/>
      <c r="R159" s="12">
        <f t="shared" si="16"/>
        <v>0</v>
      </c>
      <c r="S159" s="12"/>
      <c r="T159" s="12"/>
      <c r="U159" s="12">
        <f t="shared" si="17"/>
        <v>0</v>
      </c>
      <c r="V159" s="12"/>
      <c r="W159" s="12"/>
      <c r="X159" s="12">
        <f t="shared" si="18"/>
        <v>0</v>
      </c>
      <c r="Y159" s="12"/>
      <c r="Z159" s="12"/>
      <c r="AA159" s="13">
        <f t="shared" si="20"/>
        <v>480000</v>
      </c>
      <c r="AB159" s="14"/>
    </row>
    <row r="160" spans="1:28" ht="15.75" x14ac:dyDescent="0.25">
      <c r="A160" s="28">
        <v>46035</v>
      </c>
      <c r="B160" s="10" t="s">
        <v>272</v>
      </c>
      <c r="C160" s="10"/>
      <c r="D160" s="10"/>
      <c r="E160" s="10" t="s">
        <v>265</v>
      </c>
      <c r="F160" s="10">
        <v>44.7</v>
      </c>
      <c r="G160" s="10" t="s">
        <v>36</v>
      </c>
      <c r="H160" s="10">
        <v>43000</v>
      </c>
      <c r="I160" s="10">
        <f t="shared" si="19"/>
        <v>1922100.0000000002</v>
      </c>
      <c r="J160" s="115" t="s">
        <v>110</v>
      </c>
      <c r="K160" s="10"/>
      <c r="L160" s="12">
        <f t="shared" si="14"/>
        <v>0</v>
      </c>
      <c r="M160" s="12"/>
      <c r="N160" s="12"/>
      <c r="O160" s="12">
        <f t="shared" si="15"/>
        <v>1922100</v>
      </c>
      <c r="P160" s="12">
        <v>1922100</v>
      </c>
      <c r="Q160" s="12"/>
      <c r="R160" s="12">
        <f t="shared" si="16"/>
        <v>0</v>
      </c>
      <c r="S160" s="12"/>
      <c r="T160" s="12"/>
      <c r="U160" s="12">
        <f t="shared" si="17"/>
        <v>0</v>
      </c>
      <c r="V160" s="12"/>
      <c r="W160" s="12"/>
      <c r="X160" s="12">
        <f t="shared" si="18"/>
        <v>0</v>
      </c>
      <c r="Y160" s="12"/>
      <c r="Z160" s="12"/>
      <c r="AA160" s="13">
        <f t="shared" si="20"/>
        <v>2.3283064365386963E-10</v>
      </c>
      <c r="AB160" s="14">
        <v>46066</v>
      </c>
    </row>
    <row r="161" spans="1:28" ht="15.75" x14ac:dyDescent="0.25">
      <c r="A161" s="28">
        <v>46035</v>
      </c>
      <c r="B161" s="10" t="s">
        <v>272</v>
      </c>
      <c r="C161" s="10"/>
      <c r="D161" s="10"/>
      <c r="E161" s="10" t="s">
        <v>136</v>
      </c>
      <c r="F161" s="10">
        <v>46.4</v>
      </c>
      <c r="G161" s="10" t="s">
        <v>36</v>
      </c>
      <c r="H161" s="10">
        <v>43000</v>
      </c>
      <c r="I161" s="10">
        <f t="shared" si="19"/>
        <v>1995200</v>
      </c>
      <c r="J161" s="115" t="s">
        <v>110</v>
      </c>
      <c r="K161" s="10"/>
      <c r="L161" s="12">
        <f t="shared" si="14"/>
        <v>0</v>
      </c>
      <c r="M161" s="12"/>
      <c r="N161" s="12"/>
      <c r="O161" s="12">
        <f t="shared" si="15"/>
        <v>1995200</v>
      </c>
      <c r="P161" s="12">
        <v>1995200</v>
      </c>
      <c r="Q161" s="12"/>
      <c r="R161" s="12">
        <f t="shared" si="16"/>
        <v>0</v>
      </c>
      <c r="S161" s="12"/>
      <c r="T161" s="12"/>
      <c r="U161" s="12">
        <f t="shared" si="17"/>
        <v>0</v>
      </c>
      <c r="V161" s="12"/>
      <c r="W161" s="12"/>
      <c r="X161" s="12">
        <f t="shared" si="18"/>
        <v>0</v>
      </c>
      <c r="Y161" s="12"/>
      <c r="Z161" s="12"/>
      <c r="AA161" s="13">
        <f t="shared" si="20"/>
        <v>0</v>
      </c>
      <c r="AB161" s="14">
        <v>46066</v>
      </c>
    </row>
    <row r="162" spans="1:28" ht="15.75" x14ac:dyDescent="0.25">
      <c r="A162" s="28">
        <v>46035</v>
      </c>
      <c r="B162" s="10" t="s">
        <v>272</v>
      </c>
      <c r="C162" s="10"/>
      <c r="D162" s="10"/>
      <c r="E162" s="10" t="s">
        <v>84</v>
      </c>
      <c r="F162" s="10">
        <v>34</v>
      </c>
      <c r="G162" s="10" t="s">
        <v>36</v>
      </c>
      <c r="H162" s="10">
        <v>43000</v>
      </c>
      <c r="I162" s="10">
        <f t="shared" si="19"/>
        <v>1462000</v>
      </c>
      <c r="J162" s="115" t="s">
        <v>110</v>
      </c>
      <c r="K162" s="10"/>
      <c r="L162" s="12">
        <f t="shared" si="14"/>
        <v>0</v>
      </c>
      <c r="M162" s="12"/>
      <c r="N162" s="12"/>
      <c r="O162" s="12">
        <f t="shared" si="15"/>
        <v>1462000</v>
      </c>
      <c r="P162" s="12">
        <v>1462000</v>
      </c>
      <c r="Q162" s="12"/>
      <c r="R162" s="12">
        <f t="shared" si="16"/>
        <v>0</v>
      </c>
      <c r="S162" s="12"/>
      <c r="T162" s="12"/>
      <c r="U162" s="12">
        <f t="shared" si="17"/>
        <v>0</v>
      </c>
      <c r="V162" s="12"/>
      <c r="W162" s="12"/>
      <c r="X162" s="12">
        <f t="shared" si="18"/>
        <v>0</v>
      </c>
      <c r="Y162" s="12"/>
      <c r="Z162" s="12"/>
      <c r="AA162" s="13">
        <f t="shared" si="20"/>
        <v>0</v>
      </c>
      <c r="AB162" s="14">
        <v>46066</v>
      </c>
    </row>
    <row r="163" spans="1:28" ht="15.75" x14ac:dyDescent="0.25">
      <c r="A163" s="28">
        <v>46035</v>
      </c>
      <c r="B163" s="10" t="s">
        <v>272</v>
      </c>
      <c r="C163" s="10"/>
      <c r="D163" s="10"/>
      <c r="E163" s="10" t="s">
        <v>304</v>
      </c>
      <c r="F163" s="10">
        <v>36.200000000000003</v>
      </c>
      <c r="G163" s="10" t="s">
        <v>36</v>
      </c>
      <c r="H163" s="10">
        <v>90000</v>
      </c>
      <c r="I163" s="10">
        <f t="shared" si="19"/>
        <v>3258000.0000000005</v>
      </c>
      <c r="J163" s="115" t="s">
        <v>110</v>
      </c>
      <c r="K163" s="10"/>
      <c r="L163" s="12">
        <f t="shared" si="14"/>
        <v>0</v>
      </c>
      <c r="M163" s="12"/>
      <c r="N163" s="12"/>
      <c r="O163" s="12">
        <f t="shared" si="15"/>
        <v>3258000</v>
      </c>
      <c r="P163" s="12">
        <v>3258000</v>
      </c>
      <c r="Q163" s="12"/>
      <c r="R163" s="12">
        <f t="shared" si="16"/>
        <v>0</v>
      </c>
      <c r="S163" s="12"/>
      <c r="T163" s="12"/>
      <c r="U163" s="12">
        <f t="shared" si="17"/>
        <v>0</v>
      </c>
      <c r="V163" s="12"/>
      <c r="W163" s="12"/>
      <c r="X163" s="12">
        <f t="shared" si="18"/>
        <v>0</v>
      </c>
      <c r="Y163" s="12"/>
      <c r="Z163" s="12"/>
      <c r="AA163" s="13">
        <f t="shared" si="20"/>
        <v>4.6566128730773926E-10</v>
      </c>
      <c r="AB163" s="14">
        <v>46066</v>
      </c>
    </row>
    <row r="164" spans="1:28" ht="15.75" x14ac:dyDescent="0.25">
      <c r="A164" s="28">
        <v>46035</v>
      </c>
      <c r="B164" s="10" t="s">
        <v>272</v>
      </c>
      <c r="C164" s="10"/>
      <c r="D164" s="10"/>
      <c r="E164" s="10" t="s">
        <v>305</v>
      </c>
      <c r="F164" s="10">
        <v>42.5</v>
      </c>
      <c r="G164" s="10" t="s">
        <v>36</v>
      </c>
      <c r="H164" s="10">
        <v>90000</v>
      </c>
      <c r="I164" s="10">
        <f t="shared" si="19"/>
        <v>3825000</v>
      </c>
      <c r="J164" s="115" t="s">
        <v>110</v>
      </c>
      <c r="K164" s="10"/>
      <c r="L164" s="12">
        <f t="shared" si="14"/>
        <v>0</v>
      </c>
      <c r="M164" s="12"/>
      <c r="N164" s="12"/>
      <c r="O164" s="12">
        <f t="shared" si="15"/>
        <v>3825000</v>
      </c>
      <c r="P164" s="12">
        <v>3825000</v>
      </c>
      <c r="Q164" s="12"/>
      <c r="R164" s="12">
        <f t="shared" si="16"/>
        <v>0</v>
      </c>
      <c r="S164" s="12"/>
      <c r="T164" s="12"/>
      <c r="U164" s="12">
        <f t="shared" si="17"/>
        <v>0</v>
      </c>
      <c r="V164" s="12"/>
      <c r="W164" s="12"/>
      <c r="X164" s="12">
        <f t="shared" si="18"/>
        <v>0</v>
      </c>
      <c r="Y164" s="12"/>
      <c r="Z164" s="12"/>
      <c r="AA164" s="13">
        <f t="shared" si="20"/>
        <v>0</v>
      </c>
      <c r="AB164" s="14">
        <v>46066</v>
      </c>
    </row>
    <row r="165" spans="1:28" ht="15.75" x14ac:dyDescent="0.25">
      <c r="A165" s="28">
        <v>46035</v>
      </c>
      <c r="B165" s="10" t="s">
        <v>272</v>
      </c>
      <c r="C165" s="10"/>
      <c r="D165" s="10"/>
      <c r="E165" s="10" t="s">
        <v>184</v>
      </c>
      <c r="F165" s="10">
        <v>19.2</v>
      </c>
      <c r="G165" s="10" t="s">
        <v>36</v>
      </c>
      <c r="H165" s="10">
        <v>43000</v>
      </c>
      <c r="I165" s="10">
        <f t="shared" si="19"/>
        <v>825600</v>
      </c>
      <c r="J165" s="115" t="s">
        <v>110</v>
      </c>
      <c r="K165" s="10"/>
      <c r="L165" s="12">
        <f t="shared" si="14"/>
        <v>0</v>
      </c>
      <c r="M165" s="12"/>
      <c r="N165" s="12"/>
      <c r="O165" s="12">
        <f t="shared" si="15"/>
        <v>825600</v>
      </c>
      <c r="P165" s="12">
        <v>825600</v>
      </c>
      <c r="Q165" s="12"/>
      <c r="R165" s="12">
        <f t="shared" si="16"/>
        <v>0</v>
      </c>
      <c r="S165" s="12"/>
      <c r="T165" s="12"/>
      <c r="U165" s="12">
        <f t="shared" si="17"/>
        <v>0</v>
      </c>
      <c r="V165" s="12"/>
      <c r="W165" s="12"/>
      <c r="X165" s="12">
        <f t="shared" si="18"/>
        <v>0</v>
      </c>
      <c r="Y165" s="12"/>
      <c r="Z165" s="12"/>
      <c r="AA165" s="13">
        <f t="shared" si="20"/>
        <v>0</v>
      </c>
      <c r="AB165" s="14">
        <v>46066</v>
      </c>
    </row>
    <row r="166" spans="1:28" ht="15.75" x14ac:dyDescent="0.25">
      <c r="A166" s="28">
        <v>46035</v>
      </c>
      <c r="B166" s="10" t="s">
        <v>272</v>
      </c>
      <c r="C166" s="10"/>
      <c r="D166" s="10"/>
      <c r="E166" s="10" t="s">
        <v>80</v>
      </c>
      <c r="F166" s="10">
        <v>22.4</v>
      </c>
      <c r="G166" s="10" t="s">
        <v>36</v>
      </c>
      <c r="H166" s="10">
        <v>43000</v>
      </c>
      <c r="I166" s="10">
        <f t="shared" si="19"/>
        <v>963199.99999999988</v>
      </c>
      <c r="J166" s="115" t="s">
        <v>110</v>
      </c>
      <c r="K166" s="10"/>
      <c r="L166" s="12">
        <f t="shared" si="14"/>
        <v>0</v>
      </c>
      <c r="M166" s="12"/>
      <c r="N166" s="12"/>
      <c r="O166" s="12">
        <f t="shared" si="15"/>
        <v>963200</v>
      </c>
      <c r="P166" s="12">
        <v>963200</v>
      </c>
      <c r="Q166" s="12"/>
      <c r="R166" s="12">
        <f t="shared" si="16"/>
        <v>0</v>
      </c>
      <c r="S166" s="12"/>
      <c r="T166" s="12"/>
      <c r="U166" s="12">
        <f t="shared" si="17"/>
        <v>0</v>
      </c>
      <c r="V166" s="12"/>
      <c r="W166" s="12"/>
      <c r="X166" s="12">
        <f t="shared" si="18"/>
        <v>0</v>
      </c>
      <c r="Y166" s="12"/>
      <c r="Z166" s="12"/>
      <c r="AA166" s="13">
        <f t="shared" si="20"/>
        <v>-1.1641532182693481E-10</v>
      </c>
      <c r="AB166" s="14">
        <v>46066</v>
      </c>
    </row>
    <row r="167" spans="1:28" ht="15.75" x14ac:dyDescent="0.25">
      <c r="A167" s="28">
        <v>46035</v>
      </c>
      <c r="B167" s="10" t="s">
        <v>272</v>
      </c>
      <c r="C167" s="10"/>
      <c r="D167" s="10"/>
      <c r="E167" s="10" t="s">
        <v>306</v>
      </c>
      <c r="F167" s="10">
        <v>110.1</v>
      </c>
      <c r="G167" s="10" t="s">
        <v>36</v>
      </c>
      <c r="H167" s="10">
        <v>43000</v>
      </c>
      <c r="I167" s="10">
        <f t="shared" si="19"/>
        <v>4734300</v>
      </c>
      <c r="J167" s="115" t="s">
        <v>110</v>
      </c>
      <c r="K167" s="10"/>
      <c r="L167" s="12">
        <f t="shared" si="14"/>
        <v>0</v>
      </c>
      <c r="M167" s="12"/>
      <c r="N167" s="12"/>
      <c r="O167" s="12">
        <f t="shared" si="15"/>
        <v>4734300</v>
      </c>
      <c r="P167" s="12">
        <v>4734300</v>
      </c>
      <c r="Q167" s="12"/>
      <c r="R167" s="12">
        <f t="shared" si="16"/>
        <v>0</v>
      </c>
      <c r="S167" s="12"/>
      <c r="T167" s="12"/>
      <c r="U167" s="12">
        <f t="shared" si="17"/>
        <v>0</v>
      </c>
      <c r="V167" s="12"/>
      <c r="W167" s="12"/>
      <c r="X167" s="12">
        <f t="shared" si="18"/>
        <v>0</v>
      </c>
      <c r="Y167" s="12"/>
      <c r="Z167" s="12"/>
      <c r="AA167" s="13">
        <f t="shared" si="20"/>
        <v>0</v>
      </c>
      <c r="AB167" s="14">
        <v>46066</v>
      </c>
    </row>
    <row r="168" spans="1:28" ht="15.75" x14ac:dyDescent="0.25">
      <c r="A168" s="28">
        <v>46035</v>
      </c>
      <c r="B168" s="10" t="s">
        <v>272</v>
      </c>
      <c r="C168" s="10"/>
      <c r="D168" s="10"/>
      <c r="E168" s="10" t="s">
        <v>168</v>
      </c>
      <c r="F168" s="10">
        <v>31.4</v>
      </c>
      <c r="G168" s="10" t="s">
        <v>36</v>
      </c>
      <c r="H168" s="10">
        <v>43000</v>
      </c>
      <c r="I168" s="10">
        <f t="shared" si="19"/>
        <v>1350200</v>
      </c>
      <c r="J168" s="115" t="s">
        <v>110</v>
      </c>
      <c r="K168" s="10"/>
      <c r="L168" s="12">
        <f t="shared" si="14"/>
        <v>0</v>
      </c>
      <c r="M168" s="12"/>
      <c r="N168" s="12"/>
      <c r="O168" s="12">
        <f t="shared" si="15"/>
        <v>1350200</v>
      </c>
      <c r="P168" s="12">
        <v>1350200</v>
      </c>
      <c r="Q168" s="12"/>
      <c r="R168" s="12">
        <f t="shared" si="16"/>
        <v>0</v>
      </c>
      <c r="S168" s="12"/>
      <c r="T168" s="12"/>
      <c r="U168" s="12">
        <f t="shared" si="17"/>
        <v>0</v>
      </c>
      <c r="V168" s="12"/>
      <c r="W168" s="12"/>
      <c r="X168" s="12">
        <f t="shared" si="18"/>
        <v>0</v>
      </c>
      <c r="Y168" s="12"/>
      <c r="Z168" s="12"/>
      <c r="AA168" s="13">
        <f t="shared" si="20"/>
        <v>0</v>
      </c>
      <c r="AB168" s="14">
        <v>46066</v>
      </c>
    </row>
    <row r="169" spans="1:28" ht="15.75" x14ac:dyDescent="0.25">
      <c r="A169" s="28">
        <v>46035</v>
      </c>
      <c r="B169" s="10" t="s">
        <v>272</v>
      </c>
      <c r="C169" s="10"/>
      <c r="D169" s="10"/>
      <c r="E169" s="10" t="s">
        <v>307</v>
      </c>
      <c r="F169" s="10">
        <v>27.7</v>
      </c>
      <c r="G169" s="10" t="s">
        <v>36</v>
      </c>
      <c r="H169" s="10">
        <v>43000</v>
      </c>
      <c r="I169" s="10">
        <f t="shared" si="19"/>
        <v>1191100</v>
      </c>
      <c r="J169" s="115" t="s">
        <v>110</v>
      </c>
      <c r="K169" s="10"/>
      <c r="L169" s="12">
        <f t="shared" si="14"/>
        <v>0</v>
      </c>
      <c r="M169" s="12"/>
      <c r="N169" s="12"/>
      <c r="O169" s="12">
        <f t="shared" si="15"/>
        <v>1191100</v>
      </c>
      <c r="P169" s="12">
        <v>1191100</v>
      </c>
      <c r="Q169" s="12"/>
      <c r="R169" s="12">
        <f t="shared" si="16"/>
        <v>0</v>
      </c>
      <c r="S169" s="12"/>
      <c r="T169" s="12"/>
      <c r="U169" s="12">
        <f t="shared" si="17"/>
        <v>0</v>
      </c>
      <c r="V169" s="12"/>
      <c r="W169" s="12"/>
      <c r="X169" s="12">
        <f t="shared" si="18"/>
        <v>0</v>
      </c>
      <c r="Y169" s="12"/>
      <c r="Z169" s="12"/>
      <c r="AA169" s="13">
        <f t="shared" si="20"/>
        <v>0</v>
      </c>
      <c r="AB169" s="14">
        <v>46066</v>
      </c>
    </row>
    <row r="170" spans="1:28" ht="15.75" hidden="1" x14ac:dyDescent="0.25">
      <c r="A170" s="28">
        <v>46036</v>
      </c>
      <c r="B170" s="10" t="s">
        <v>234</v>
      </c>
      <c r="C170" s="10"/>
      <c r="D170" s="10" t="s">
        <v>32</v>
      </c>
      <c r="E170" s="10" t="s">
        <v>175</v>
      </c>
      <c r="F170" s="10">
        <v>20800</v>
      </c>
      <c r="G170" s="10" t="s">
        <v>26</v>
      </c>
      <c r="H170" s="10">
        <v>900</v>
      </c>
      <c r="I170" s="10">
        <f t="shared" si="19"/>
        <v>18720000</v>
      </c>
      <c r="J170" s="29" t="s">
        <v>110</v>
      </c>
      <c r="K170" s="87"/>
      <c r="L170" s="12">
        <f t="shared" si="14"/>
        <v>0</v>
      </c>
      <c r="M170" s="12"/>
      <c r="N170" s="12"/>
      <c r="O170" s="12">
        <f t="shared" si="15"/>
        <v>18720000</v>
      </c>
      <c r="P170" s="12">
        <v>18720000</v>
      </c>
      <c r="Q170" s="12"/>
      <c r="R170" s="12">
        <f t="shared" si="16"/>
        <v>0</v>
      </c>
      <c r="S170" s="12"/>
      <c r="T170" s="12"/>
      <c r="U170" s="12">
        <f t="shared" si="17"/>
        <v>0</v>
      </c>
      <c r="V170" s="12"/>
      <c r="W170" s="12"/>
      <c r="X170" s="12">
        <f t="shared" si="18"/>
        <v>0</v>
      </c>
      <c r="Y170" s="12"/>
      <c r="Z170" s="12"/>
      <c r="AA170" s="13">
        <f t="shared" si="20"/>
        <v>0</v>
      </c>
      <c r="AB170" s="14">
        <v>46065</v>
      </c>
    </row>
    <row r="171" spans="1:28" ht="15.75" hidden="1" x14ac:dyDescent="0.25">
      <c r="A171" s="28">
        <v>46036</v>
      </c>
      <c r="B171" s="10" t="s">
        <v>234</v>
      </c>
      <c r="C171" s="10"/>
      <c r="D171" s="10" t="s">
        <v>32</v>
      </c>
      <c r="E171" s="10" t="s">
        <v>104</v>
      </c>
      <c r="F171" s="10">
        <v>10400</v>
      </c>
      <c r="G171" s="10" t="s">
        <v>26</v>
      </c>
      <c r="H171" s="10">
        <v>1800</v>
      </c>
      <c r="I171" s="10">
        <f t="shared" si="19"/>
        <v>18720000</v>
      </c>
      <c r="J171" s="29" t="s">
        <v>110</v>
      </c>
      <c r="K171" s="87"/>
      <c r="L171" s="12">
        <f t="shared" si="14"/>
        <v>0</v>
      </c>
      <c r="M171" s="12"/>
      <c r="N171" s="12"/>
      <c r="O171" s="12">
        <f t="shared" si="15"/>
        <v>18720000</v>
      </c>
      <c r="P171" s="12">
        <v>18720000</v>
      </c>
      <c r="Q171" s="12"/>
      <c r="R171" s="12">
        <f t="shared" si="16"/>
        <v>0</v>
      </c>
      <c r="S171" s="12"/>
      <c r="T171" s="12"/>
      <c r="U171" s="12">
        <f t="shared" si="17"/>
        <v>0</v>
      </c>
      <c r="V171" s="12"/>
      <c r="W171" s="12"/>
      <c r="X171" s="12">
        <f t="shared" si="18"/>
        <v>0</v>
      </c>
      <c r="Y171" s="12"/>
      <c r="Z171" s="12"/>
      <c r="AA171" s="13">
        <f t="shared" si="20"/>
        <v>0</v>
      </c>
      <c r="AB171" s="14">
        <v>46065</v>
      </c>
    </row>
    <row r="172" spans="1:28" ht="15.75" hidden="1" x14ac:dyDescent="0.25">
      <c r="A172" s="28">
        <v>46036</v>
      </c>
      <c r="B172" s="10" t="s">
        <v>234</v>
      </c>
      <c r="C172" s="10"/>
      <c r="D172" s="10" t="s">
        <v>32</v>
      </c>
      <c r="E172" s="10" t="s">
        <v>264</v>
      </c>
      <c r="F172" s="10">
        <v>2</v>
      </c>
      <c r="G172" s="10" t="s">
        <v>192</v>
      </c>
      <c r="H172" s="10">
        <v>900000</v>
      </c>
      <c r="I172" s="10">
        <f t="shared" si="19"/>
        <v>1800000</v>
      </c>
      <c r="J172" s="29" t="s">
        <v>110</v>
      </c>
      <c r="K172" s="87"/>
      <c r="L172" s="12">
        <f t="shared" si="14"/>
        <v>0</v>
      </c>
      <c r="M172" s="12"/>
      <c r="N172" s="12"/>
      <c r="O172" s="12">
        <f t="shared" si="15"/>
        <v>1800000</v>
      </c>
      <c r="P172" s="12">
        <v>1800000</v>
      </c>
      <c r="Q172" s="12"/>
      <c r="R172" s="12">
        <f t="shared" si="16"/>
        <v>0</v>
      </c>
      <c r="S172" s="12"/>
      <c r="T172" s="12"/>
      <c r="U172" s="12">
        <f t="shared" si="17"/>
        <v>0</v>
      </c>
      <c r="V172" s="12"/>
      <c r="W172" s="12"/>
      <c r="X172" s="12">
        <f t="shared" si="18"/>
        <v>0</v>
      </c>
      <c r="Y172" s="12"/>
      <c r="Z172" s="12"/>
      <c r="AA172" s="13">
        <f t="shared" si="20"/>
        <v>0</v>
      </c>
      <c r="AB172" s="14">
        <v>46065</v>
      </c>
    </row>
    <row r="173" spans="1:28" ht="15.75" hidden="1" x14ac:dyDescent="0.25">
      <c r="A173" s="28">
        <v>46036</v>
      </c>
      <c r="B173" s="10" t="s">
        <v>278</v>
      </c>
      <c r="C173" s="10"/>
      <c r="D173" s="10" t="s">
        <v>195</v>
      </c>
      <c r="E173" s="10" t="s">
        <v>86</v>
      </c>
      <c r="F173" s="10">
        <v>176.6</v>
      </c>
      <c r="G173" s="10" t="s">
        <v>36</v>
      </c>
      <c r="H173" s="10">
        <v>41500</v>
      </c>
      <c r="I173" s="10">
        <f t="shared" si="19"/>
        <v>7328900</v>
      </c>
      <c r="J173" s="29" t="s">
        <v>110</v>
      </c>
      <c r="K173" s="87"/>
      <c r="L173" s="12">
        <f t="shared" si="14"/>
        <v>0</v>
      </c>
      <c r="M173" s="12"/>
      <c r="N173" s="12"/>
      <c r="O173" s="12">
        <f t="shared" si="15"/>
        <v>7328900</v>
      </c>
      <c r="P173" s="12">
        <v>7328900</v>
      </c>
      <c r="Q173" s="12"/>
      <c r="R173" s="12">
        <f t="shared" si="16"/>
        <v>0</v>
      </c>
      <c r="S173" s="12"/>
      <c r="T173" s="12"/>
      <c r="U173" s="12">
        <f t="shared" si="17"/>
        <v>0</v>
      </c>
      <c r="V173" s="12"/>
      <c r="W173" s="12"/>
      <c r="X173" s="12">
        <f t="shared" si="18"/>
        <v>0</v>
      </c>
      <c r="Y173" s="12"/>
      <c r="Z173" s="12"/>
      <c r="AA173" s="13">
        <f t="shared" si="20"/>
        <v>0</v>
      </c>
      <c r="AB173" s="14">
        <v>46059</v>
      </c>
    </row>
    <row r="174" spans="1:28" ht="15.75" hidden="1" x14ac:dyDescent="0.25">
      <c r="A174" s="28">
        <v>46036</v>
      </c>
      <c r="B174" s="10" t="s">
        <v>278</v>
      </c>
      <c r="C174" s="10"/>
      <c r="D174" s="10" t="s">
        <v>195</v>
      </c>
      <c r="E174" s="10" t="s">
        <v>118</v>
      </c>
      <c r="F174" s="10">
        <v>2</v>
      </c>
      <c r="G174" s="10" t="s">
        <v>22</v>
      </c>
      <c r="H174" s="10">
        <v>400000</v>
      </c>
      <c r="I174" s="10">
        <f t="shared" si="19"/>
        <v>800000</v>
      </c>
      <c r="J174" s="29" t="s">
        <v>110</v>
      </c>
      <c r="K174" s="87"/>
      <c r="L174" s="12">
        <f t="shared" si="14"/>
        <v>0</v>
      </c>
      <c r="M174" s="12"/>
      <c r="N174" s="12"/>
      <c r="O174" s="12">
        <f t="shared" si="15"/>
        <v>800000</v>
      </c>
      <c r="P174" s="12">
        <v>800000</v>
      </c>
      <c r="Q174" s="12"/>
      <c r="R174" s="12">
        <f t="shared" si="16"/>
        <v>0</v>
      </c>
      <c r="S174" s="12"/>
      <c r="T174" s="12"/>
      <c r="U174" s="12">
        <f t="shared" si="17"/>
        <v>0</v>
      </c>
      <c r="V174" s="12"/>
      <c r="W174" s="12"/>
      <c r="X174" s="12">
        <f t="shared" si="18"/>
        <v>0</v>
      </c>
      <c r="Y174" s="12"/>
      <c r="Z174" s="12"/>
      <c r="AA174" s="13">
        <f t="shared" si="20"/>
        <v>0</v>
      </c>
      <c r="AB174" s="14">
        <v>46059</v>
      </c>
    </row>
    <row r="175" spans="1:28" ht="15.75" hidden="1" x14ac:dyDescent="0.25">
      <c r="A175" s="28">
        <v>46036</v>
      </c>
      <c r="B175" s="10" t="s">
        <v>278</v>
      </c>
      <c r="C175" s="10"/>
      <c r="D175" s="10" t="s">
        <v>195</v>
      </c>
      <c r="E175" s="10" t="s">
        <v>314</v>
      </c>
      <c r="F175" s="10">
        <v>2</v>
      </c>
      <c r="G175" s="10" t="s">
        <v>22</v>
      </c>
      <c r="H175" s="10">
        <v>400000</v>
      </c>
      <c r="I175" s="10">
        <f t="shared" si="19"/>
        <v>800000</v>
      </c>
      <c r="J175" s="29" t="s">
        <v>110</v>
      </c>
      <c r="K175" s="87"/>
      <c r="L175" s="12">
        <f t="shared" si="14"/>
        <v>0</v>
      </c>
      <c r="M175" s="12"/>
      <c r="N175" s="12"/>
      <c r="O175" s="12">
        <f t="shared" si="15"/>
        <v>800000</v>
      </c>
      <c r="P175" s="12">
        <v>800000</v>
      </c>
      <c r="Q175" s="12"/>
      <c r="R175" s="12">
        <f t="shared" si="16"/>
        <v>0</v>
      </c>
      <c r="S175" s="12"/>
      <c r="T175" s="12"/>
      <c r="U175" s="12">
        <f t="shared" si="17"/>
        <v>0</v>
      </c>
      <c r="V175" s="12"/>
      <c r="W175" s="12"/>
      <c r="X175" s="12">
        <f t="shared" si="18"/>
        <v>0</v>
      </c>
      <c r="Y175" s="12"/>
      <c r="Z175" s="12"/>
      <c r="AA175" s="13">
        <f t="shared" si="20"/>
        <v>0</v>
      </c>
      <c r="AB175" s="14">
        <v>46059</v>
      </c>
    </row>
    <row r="176" spans="1:28" ht="15.75" hidden="1" x14ac:dyDescent="0.25">
      <c r="A176" s="28">
        <v>46037</v>
      </c>
      <c r="B176" s="10" t="s">
        <v>55</v>
      </c>
      <c r="C176" s="10"/>
      <c r="D176" s="10" t="s">
        <v>195</v>
      </c>
      <c r="E176" s="10" t="s">
        <v>98</v>
      </c>
      <c r="F176" s="10">
        <v>2000</v>
      </c>
      <c r="G176" s="10" t="s">
        <v>26</v>
      </c>
      <c r="H176" s="10">
        <v>1900</v>
      </c>
      <c r="I176" s="10">
        <f t="shared" si="19"/>
        <v>3800000</v>
      </c>
      <c r="J176" s="29" t="s">
        <v>110</v>
      </c>
      <c r="K176" s="88"/>
      <c r="L176" s="12">
        <f t="shared" si="14"/>
        <v>0</v>
      </c>
      <c r="M176" s="12"/>
      <c r="N176" s="12"/>
      <c r="O176" s="12">
        <f t="shared" si="15"/>
        <v>3800000</v>
      </c>
      <c r="P176" s="12">
        <v>3800000</v>
      </c>
      <c r="Q176" s="12"/>
      <c r="R176" s="12">
        <f t="shared" si="16"/>
        <v>0</v>
      </c>
      <c r="S176" s="12"/>
      <c r="T176" s="12"/>
      <c r="U176" s="12">
        <f t="shared" si="17"/>
        <v>0</v>
      </c>
      <c r="V176" s="12"/>
      <c r="W176" s="12"/>
      <c r="X176" s="12">
        <f t="shared" si="18"/>
        <v>0</v>
      </c>
      <c r="Y176" s="12"/>
      <c r="Z176" s="12"/>
      <c r="AA176" s="13">
        <f t="shared" si="20"/>
        <v>0</v>
      </c>
      <c r="AB176" s="14">
        <v>46062</v>
      </c>
    </row>
    <row r="177" spans="1:28" ht="15.75" hidden="1" x14ac:dyDescent="0.25">
      <c r="A177" s="28">
        <v>46037</v>
      </c>
      <c r="B177" s="10" t="s">
        <v>303</v>
      </c>
      <c r="C177" s="10"/>
      <c r="D177" s="10" t="s">
        <v>28</v>
      </c>
      <c r="E177" s="10" t="s">
        <v>116</v>
      </c>
      <c r="F177" s="10">
        <v>12</v>
      </c>
      <c r="G177" s="96" t="s">
        <v>67</v>
      </c>
      <c r="H177" s="10">
        <v>65000</v>
      </c>
      <c r="I177" s="10">
        <f t="shared" si="19"/>
        <v>780000</v>
      </c>
      <c r="J177" s="29" t="s">
        <v>110</v>
      </c>
      <c r="K177" s="95" t="s">
        <v>521</v>
      </c>
      <c r="L177" s="12">
        <f t="shared" si="14"/>
        <v>0</v>
      </c>
      <c r="M177" s="12"/>
      <c r="N177" s="12"/>
      <c r="O177" s="12">
        <f t="shared" si="15"/>
        <v>780000</v>
      </c>
      <c r="P177" s="12">
        <v>780000</v>
      </c>
      <c r="Q177" s="12"/>
      <c r="R177" s="12">
        <f t="shared" si="16"/>
        <v>0</v>
      </c>
      <c r="S177" s="12"/>
      <c r="T177" s="12"/>
      <c r="U177" s="12">
        <f t="shared" si="17"/>
        <v>0</v>
      </c>
      <c r="V177" s="12"/>
      <c r="W177" s="12"/>
      <c r="X177" s="12">
        <f t="shared" si="18"/>
        <v>0</v>
      </c>
      <c r="Y177" s="12"/>
      <c r="Z177" s="12"/>
      <c r="AA177" s="13">
        <f t="shared" si="20"/>
        <v>0</v>
      </c>
      <c r="AB177" s="14">
        <v>46076</v>
      </c>
    </row>
    <row r="178" spans="1:28" ht="15.75" hidden="1" x14ac:dyDescent="0.25">
      <c r="A178" s="28">
        <v>46037</v>
      </c>
      <c r="B178" s="10" t="s">
        <v>56</v>
      </c>
      <c r="C178" s="10"/>
      <c r="D178" s="10" t="s">
        <v>28</v>
      </c>
      <c r="E178" s="10" t="s">
        <v>116</v>
      </c>
      <c r="F178" s="10">
        <v>12</v>
      </c>
      <c r="G178" s="96" t="s">
        <v>67</v>
      </c>
      <c r="H178" s="10">
        <v>65000</v>
      </c>
      <c r="I178" s="10">
        <f t="shared" si="19"/>
        <v>780000</v>
      </c>
      <c r="J178" s="52" t="s">
        <v>90</v>
      </c>
      <c r="K178" s="109"/>
      <c r="L178" s="12">
        <f t="shared" si="14"/>
        <v>0</v>
      </c>
      <c r="M178" s="12"/>
      <c r="N178" s="12"/>
      <c r="O178" s="12">
        <f t="shared" si="15"/>
        <v>407600</v>
      </c>
      <c r="P178" s="12"/>
      <c r="Q178" s="12">
        <v>407600</v>
      </c>
      <c r="R178" s="12">
        <f t="shared" si="16"/>
        <v>0</v>
      </c>
      <c r="S178" s="12"/>
      <c r="T178" s="12"/>
      <c r="U178" s="12">
        <f t="shared" si="17"/>
        <v>0</v>
      </c>
      <c r="V178" s="12"/>
      <c r="W178" s="12"/>
      <c r="X178" s="12">
        <f t="shared" si="18"/>
        <v>0</v>
      </c>
      <c r="Y178" s="12"/>
      <c r="Z178" s="12"/>
      <c r="AA178" s="13">
        <f t="shared" si="20"/>
        <v>372400</v>
      </c>
      <c r="AB178" s="14">
        <v>46079</v>
      </c>
    </row>
    <row r="179" spans="1:28" ht="15.75" hidden="1" x14ac:dyDescent="0.25">
      <c r="A179" s="28">
        <v>46038</v>
      </c>
      <c r="B179" s="10" t="s">
        <v>172</v>
      </c>
      <c r="C179" s="10"/>
      <c r="D179" s="10" t="s">
        <v>383</v>
      </c>
      <c r="E179" s="10" t="s">
        <v>186</v>
      </c>
      <c r="F179" s="10">
        <v>8</v>
      </c>
      <c r="G179" s="10" t="s">
        <v>22</v>
      </c>
      <c r="H179" s="10">
        <v>1200000</v>
      </c>
      <c r="I179" s="10">
        <f t="shared" si="19"/>
        <v>9600000</v>
      </c>
      <c r="J179" s="52" t="s">
        <v>90</v>
      </c>
      <c r="K179" s="87"/>
      <c r="L179" s="12">
        <f t="shared" si="14"/>
        <v>0</v>
      </c>
      <c r="M179" s="12"/>
      <c r="N179" s="12"/>
      <c r="O179" s="12">
        <f t="shared" si="15"/>
        <v>0</v>
      </c>
      <c r="P179" s="12"/>
      <c r="Q179" s="12"/>
      <c r="R179" s="12">
        <f t="shared" si="16"/>
        <v>0</v>
      </c>
      <c r="S179" s="12"/>
      <c r="T179" s="12"/>
      <c r="U179" s="12">
        <f t="shared" si="17"/>
        <v>0</v>
      </c>
      <c r="V179" s="12"/>
      <c r="W179" s="12"/>
      <c r="X179" s="12">
        <f t="shared" si="18"/>
        <v>0</v>
      </c>
      <c r="Y179" s="12"/>
      <c r="Z179" s="12"/>
      <c r="AA179" s="13">
        <f t="shared" si="20"/>
        <v>9600000</v>
      </c>
      <c r="AB179" s="14"/>
    </row>
    <row r="180" spans="1:28" ht="15.75" hidden="1" x14ac:dyDescent="0.25">
      <c r="A180" s="28">
        <v>46038</v>
      </c>
      <c r="B180" s="10" t="s">
        <v>230</v>
      </c>
      <c r="C180" s="10"/>
      <c r="D180" s="10" t="s">
        <v>383</v>
      </c>
      <c r="E180" s="10" t="s">
        <v>98</v>
      </c>
      <c r="F180" s="10">
        <v>2000</v>
      </c>
      <c r="G180" s="10" t="s">
        <v>26</v>
      </c>
      <c r="H180" s="10">
        <v>1800</v>
      </c>
      <c r="I180" s="10">
        <f t="shared" si="19"/>
        <v>3600000</v>
      </c>
      <c r="J180" s="29" t="s">
        <v>110</v>
      </c>
      <c r="K180" s="88"/>
      <c r="L180" s="12">
        <f t="shared" si="14"/>
        <v>0</v>
      </c>
      <c r="M180" s="12"/>
      <c r="N180" s="12"/>
      <c r="O180" s="12">
        <f t="shared" si="15"/>
        <v>0</v>
      </c>
      <c r="P180" s="12"/>
      <c r="Q180" s="12"/>
      <c r="R180" s="12">
        <f t="shared" si="16"/>
        <v>1280000</v>
      </c>
      <c r="S180" s="12">
        <v>1280000</v>
      </c>
      <c r="T180" s="12"/>
      <c r="U180" s="12">
        <f t="shared" si="17"/>
        <v>2320000</v>
      </c>
      <c r="V180" s="12">
        <v>2320000</v>
      </c>
      <c r="W180" s="12"/>
      <c r="X180" s="12">
        <f t="shared" si="18"/>
        <v>0</v>
      </c>
      <c r="Y180" s="12"/>
      <c r="Z180" s="12"/>
      <c r="AA180" s="13">
        <f t="shared" si="20"/>
        <v>0</v>
      </c>
      <c r="AB180" s="14">
        <v>46041</v>
      </c>
    </row>
    <row r="181" spans="1:28" ht="15.75" hidden="1" x14ac:dyDescent="0.25">
      <c r="A181" s="28">
        <v>46038</v>
      </c>
      <c r="B181" s="10" t="s">
        <v>101</v>
      </c>
      <c r="C181" s="10"/>
      <c r="D181" s="10" t="s">
        <v>383</v>
      </c>
      <c r="E181" s="10" t="s">
        <v>116</v>
      </c>
      <c r="F181" s="10">
        <v>24</v>
      </c>
      <c r="G181" s="10" t="s">
        <v>67</v>
      </c>
      <c r="H181" s="10">
        <v>65000</v>
      </c>
      <c r="I181" s="10">
        <f t="shared" si="19"/>
        <v>1560000</v>
      </c>
      <c r="J181" s="29" t="s">
        <v>110</v>
      </c>
      <c r="K181" s="87"/>
      <c r="L181" s="12">
        <f t="shared" si="14"/>
        <v>0</v>
      </c>
      <c r="M181" s="12"/>
      <c r="N181" s="12"/>
      <c r="O181" s="12">
        <f t="shared" si="15"/>
        <v>1560000</v>
      </c>
      <c r="P181" s="12"/>
      <c r="Q181" s="12">
        <v>1560000</v>
      </c>
      <c r="R181" s="12">
        <f t="shared" si="16"/>
        <v>0</v>
      </c>
      <c r="S181" s="12"/>
      <c r="T181" s="12"/>
      <c r="U181" s="12">
        <f t="shared" si="17"/>
        <v>0</v>
      </c>
      <c r="V181" s="12"/>
      <c r="W181" s="12"/>
      <c r="X181" s="12">
        <f t="shared" si="18"/>
        <v>0</v>
      </c>
      <c r="Y181" s="12"/>
      <c r="Z181" s="12"/>
      <c r="AA181" s="13">
        <f t="shared" si="20"/>
        <v>0</v>
      </c>
      <c r="AB181" s="14">
        <v>46077</v>
      </c>
    </row>
    <row r="182" spans="1:28" ht="15.75" hidden="1" x14ac:dyDescent="0.25">
      <c r="A182" s="28">
        <v>46038</v>
      </c>
      <c r="B182" s="10" t="s">
        <v>101</v>
      </c>
      <c r="C182" s="10"/>
      <c r="D182" s="10" t="s">
        <v>383</v>
      </c>
      <c r="E182" s="10" t="s">
        <v>117</v>
      </c>
      <c r="F182" s="10">
        <v>10</v>
      </c>
      <c r="G182" s="10" t="s">
        <v>36</v>
      </c>
      <c r="H182" s="10">
        <v>70000</v>
      </c>
      <c r="I182" s="10">
        <f t="shared" si="19"/>
        <v>700000</v>
      </c>
      <c r="J182" s="29" t="s">
        <v>110</v>
      </c>
      <c r="K182" s="87"/>
      <c r="L182" s="12">
        <f t="shared" si="14"/>
        <v>0</v>
      </c>
      <c r="M182" s="12"/>
      <c r="N182" s="12"/>
      <c r="O182" s="12">
        <f t="shared" si="15"/>
        <v>700000</v>
      </c>
      <c r="P182" s="12"/>
      <c r="Q182" s="12">
        <v>700000</v>
      </c>
      <c r="R182" s="12">
        <f t="shared" si="16"/>
        <v>0</v>
      </c>
      <c r="S182" s="12"/>
      <c r="T182" s="12"/>
      <c r="U182" s="12">
        <f t="shared" si="17"/>
        <v>0</v>
      </c>
      <c r="V182" s="12"/>
      <c r="W182" s="12"/>
      <c r="X182" s="12">
        <f t="shared" si="18"/>
        <v>0</v>
      </c>
      <c r="Y182" s="12"/>
      <c r="Z182" s="12"/>
      <c r="AA182" s="13">
        <f t="shared" si="20"/>
        <v>0</v>
      </c>
      <c r="AB182" s="14">
        <v>46077</v>
      </c>
    </row>
    <row r="183" spans="1:28" ht="15.75" hidden="1" x14ac:dyDescent="0.25">
      <c r="A183" s="28">
        <v>46038</v>
      </c>
      <c r="B183" s="10" t="s">
        <v>101</v>
      </c>
      <c r="C183" s="10"/>
      <c r="D183" s="10" t="s">
        <v>383</v>
      </c>
      <c r="E183" s="10" t="s">
        <v>130</v>
      </c>
      <c r="F183" s="10">
        <v>30</v>
      </c>
      <c r="G183" s="10" t="s">
        <v>67</v>
      </c>
      <c r="H183" s="10">
        <v>50000</v>
      </c>
      <c r="I183" s="10">
        <f t="shared" si="19"/>
        <v>1500000</v>
      </c>
      <c r="J183" s="29" t="s">
        <v>110</v>
      </c>
      <c r="K183" s="87"/>
      <c r="L183" s="12">
        <f t="shared" si="14"/>
        <v>0</v>
      </c>
      <c r="M183" s="12"/>
      <c r="N183" s="12"/>
      <c r="O183" s="12">
        <f t="shared" si="15"/>
        <v>1500000</v>
      </c>
      <c r="P183" s="12"/>
      <c r="Q183" s="12">
        <v>1500000</v>
      </c>
      <c r="R183" s="12">
        <f t="shared" si="16"/>
        <v>0</v>
      </c>
      <c r="S183" s="12"/>
      <c r="T183" s="12"/>
      <c r="U183" s="12">
        <f t="shared" si="17"/>
        <v>0</v>
      </c>
      <c r="V183" s="12"/>
      <c r="W183" s="12"/>
      <c r="X183" s="12">
        <f t="shared" si="18"/>
        <v>0</v>
      </c>
      <c r="Y183" s="12"/>
      <c r="Z183" s="12"/>
      <c r="AA183" s="13">
        <f t="shared" si="20"/>
        <v>0</v>
      </c>
      <c r="AB183" s="14">
        <v>46077</v>
      </c>
    </row>
    <row r="184" spans="1:28" ht="15.75" hidden="1" x14ac:dyDescent="0.25">
      <c r="A184" s="28">
        <v>46038</v>
      </c>
      <c r="B184" s="10" t="s">
        <v>101</v>
      </c>
      <c r="C184" s="10"/>
      <c r="D184" s="10" t="s">
        <v>383</v>
      </c>
      <c r="E184" s="10" t="s">
        <v>114</v>
      </c>
      <c r="F184" s="10">
        <v>30</v>
      </c>
      <c r="G184" s="10" t="s">
        <v>67</v>
      </c>
      <c r="H184" s="10">
        <v>50000</v>
      </c>
      <c r="I184" s="10">
        <f t="shared" si="19"/>
        <v>1500000</v>
      </c>
      <c r="J184" s="29" t="s">
        <v>110</v>
      </c>
      <c r="K184" s="87"/>
      <c r="L184" s="12">
        <f t="shared" si="14"/>
        <v>0</v>
      </c>
      <c r="M184" s="12"/>
      <c r="N184" s="12"/>
      <c r="O184" s="12">
        <f t="shared" si="15"/>
        <v>1500000</v>
      </c>
      <c r="P184" s="12"/>
      <c r="Q184" s="12">
        <v>1500000</v>
      </c>
      <c r="R184" s="12">
        <f t="shared" si="16"/>
        <v>0</v>
      </c>
      <c r="S184" s="12"/>
      <c r="T184" s="12"/>
      <c r="U184" s="12">
        <f t="shared" si="17"/>
        <v>0</v>
      </c>
      <c r="V184" s="12"/>
      <c r="W184" s="12"/>
      <c r="X184" s="12">
        <f t="shared" si="18"/>
        <v>0</v>
      </c>
      <c r="Y184" s="12"/>
      <c r="Z184" s="12"/>
      <c r="AA184" s="13">
        <f t="shared" si="20"/>
        <v>0</v>
      </c>
      <c r="AB184" s="14">
        <v>46077</v>
      </c>
    </row>
    <row r="185" spans="1:28" ht="15.75" hidden="1" x14ac:dyDescent="0.25">
      <c r="A185" s="28">
        <v>46038</v>
      </c>
      <c r="B185" s="10" t="s">
        <v>101</v>
      </c>
      <c r="C185" s="10"/>
      <c r="D185" s="10" t="s">
        <v>383</v>
      </c>
      <c r="E185" s="10" t="s">
        <v>118</v>
      </c>
      <c r="F185" s="10">
        <v>10</v>
      </c>
      <c r="G185" s="10" t="s">
        <v>22</v>
      </c>
      <c r="H185" s="10">
        <v>400000</v>
      </c>
      <c r="I185" s="10">
        <f t="shared" si="19"/>
        <v>4000000</v>
      </c>
      <c r="J185" s="52" t="s">
        <v>90</v>
      </c>
      <c r="K185" s="87"/>
      <c r="L185" s="12">
        <f t="shared" si="14"/>
        <v>0</v>
      </c>
      <c r="M185" s="12"/>
      <c r="N185" s="12"/>
      <c r="O185" s="12">
        <f t="shared" si="15"/>
        <v>1976400</v>
      </c>
      <c r="P185" s="12"/>
      <c r="Q185" s="12">
        <v>1976400</v>
      </c>
      <c r="R185" s="12">
        <f t="shared" si="16"/>
        <v>0</v>
      </c>
      <c r="S185" s="12"/>
      <c r="T185" s="12"/>
      <c r="U185" s="12">
        <f t="shared" si="17"/>
        <v>0</v>
      </c>
      <c r="V185" s="12"/>
      <c r="W185" s="12"/>
      <c r="X185" s="12">
        <f t="shared" si="18"/>
        <v>0</v>
      </c>
      <c r="Y185" s="12"/>
      <c r="Z185" s="12"/>
      <c r="AA185" s="13">
        <f t="shared" si="20"/>
        <v>2023600</v>
      </c>
      <c r="AB185" s="14">
        <v>46077</v>
      </c>
    </row>
    <row r="186" spans="1:28" ht="15.75" hidden="1" x14ac:dyDescent="0.25">
      <c r="A186" s="28">
        <v>46038</v>
      </c>
      <c r="B186" s="10" t="s">
        <v>101</v>
      </c>
      <c r="C186" s="10"/>
      <c r="D186" s="10" t="s">
        <v>383</v>
      </c>
      <c r="E186" s="10" t="s">
        <v>92</v>
      </c>
      <c r="F186" s="10">
        <v>34.5</v>
      </c>
      <c r="G186" s="10" t="s">
        <v>36</v>
      </c>
      <c r="H186" s="10">
        <v>43000</v>
      </c>
      <c r="I186" s="10">
        <f t="shared" si="19"/>
        <v>1483500</v>
      </c>
      <c r="J186" s="52" t="s">
        <v>90</v>
      </c>
      <c r="K186" s="87"/>
      <c r="L186" s="12">
        <f t="shared" si="14"/>
        <v>0</v>
      </c>
      <c r="M186" s="12"/>
      <c r="N186" s="12"/>
      <c r="O186" s="12">
        <f t="shared" si="15"/>
        <v>0</v>
      </c>
      <c r="P186" s="12"/>
      <c r="Q186" s="12"/>
      <c r="R186" s="12">
        <f t="shared" si="16"/>
        <v>0</v>
      </c>
      <c r="S186" s="12"/>
      <c r="T186" s="12"/>
      <c r="U186" s="12">
        <f t="shared" si="17"/>
        <v>0</v>
      </c>
      <c r="V186" s="12"/>
      <c r="W186" s="12"/>
      <c r="X186" s="12">
        <f t="shared" si="18"/>
        <v>0</v>
      </c>
      <c r="Y186" s="12"/>
      <c r="Z186" s="12"/>
      <c r="AA186" s="13">
        <f t="shared" si="20"/>
        <v>1483500</v>
      </c>
      <c r="AB186" s="14"/>
    </row>
    <row r="187" spans="1:28" ht="15.75" x14ac:dyDescent="0.25">
      <c r="A187" s="28">
        <v>46039</v>
      </c>
      <c r="B187" s="10" t="s">
        <v>272</v>
      </c>
      <c r="C187" s="10"/>
      <c r="D187" s="10"/>
      <c r="E187" s="10" t="s">
        <v>80</v>
      </c>
      <c r="F187" s="10">
        <v>68.3</v>
      </c>
      <c r="G187" s="10" t="s">
        <v>36</v>
      </c>
      <c r="H187" s="10">
        <v>43000</v>
      </c>
      <c r="I187" s="10">
        <f t="shared" si="19"/>
        <v>2936900</v>
      </c>
      <c r="J187" s="115" t="s">
        <v>110</v>
      </c>
      <c r="K187" s="10"/>
      <c r="L187" s="12">
        <f t="shared" si="14"/>
        <v>0</v>
      </c>
      <c r="M187" s="12"/>
      <c r="N187" s="12"/>
      <c r="O187" s="12">
        <f t="shared" si="15"/>
        <v>2936900</v>
      </c>
      <c r="P187" s="12">
        <v>2936900</v>
      </c>
      <c r="Q187" s="12"/>
      <c r="R187" s="12">
        <f t="shared" si="16"/>
        <v>0</v>
      </c>
      <c r="S187" s="12"/>
      <c r="T187" s="12"/>
      <c r="U187" s="12">
        <f t="shared" si="17"/>
        <v>0</v>
      </c>
      <c r="V187" s="12"/>
      <c r="W187" s="12"/>
      <c r="X187" s="12">
        <f t="shared" si="18"/>
        <v>0</v>
      </c>
      <c r="Y187" s="12"/>
      <c r="Z187" s="12"/>
      <c r="AA187" s="13">
        <f t="shared" si="20"/>
        <v>0</v>
      </c>
      <c r="AB187" s="14">
        <v>46066</v>
      </c>
    </row>
    <row r="188" spans="1:28" ht="15.75" x14ac:dyDescent="0.25">
      <c r="A188" s="28">
        <v>46039</v>
      </c>
      <c r="B188" s="10" t="s">
        <v>272</v>
      </c>
      <c r="C188" s="10"/>
      <c r="D188" s="10"/>
      <c r="E188" s="10" t="s">
        <v>168</v>
      </c>
      <c r="F188" s="10">
        <v>158.1</v>
      </c>
      <c r="G188" s="10" t="s">
        <v>36</v>
      </c>
      <c r="H188" s="10">
        <v>43000</v>
      </c>
      <c r="I188" s="10">
        <f t="shared" si="19"/>
        <v>6798300</v>
      </c>
      <c r="J188" s="115" t="s">
        <v>90</v>
      </c>
      <c r="K188" s="10"/>
      <c r="L188" s="12">
        <f t="shared" si="14"/>
        <v>0</v>
      </c>
      <c r="M188" s="12"/>
      <c r="N188" s="12"/>
      <c r="O188" s="12">
        <f t="shared" si="15"/>
        <v>3622900</v>
      </c>
      <c r="P188" s="12">
        <v>3622900</v>
      </c>
      <c r="Q188" s="12"/>
      <c r="R188" s="12">
        <f t="shared" si="16"/>
        <v>0</v>
      </c>
      <c r="S188" s="12"/>
      <c r="T188" s="12"/>
      <c r="U188" s="12">
        <f t="shared" si="17"/>
        <v>0</v>
      </c>
      <c r="V188" s="12"/>
      <c r="W188" s="12"/>
      <c r="X188" s="12">
        <f t="shared" si="18"/>
        <v>0</v>
      </c>
      <c r="Y188" s="12"/>
      <c r="Z188" s="12"/>
      <c r="AA188" s="13">
        <f t="shared" si="20"/>
        <v>3175400</v>
      </c>
      <c r="AB188" s="14">
        <v>46066</v>
      </c>
    </row>
    <row r="189" spans="1:28" ht="15.75" x14ac:dyDescent="0.25">
      <c r="A189" s="28">
        <v>46039</v>
      </c>
      <c r="B189" s="10" t="s">
        <v>272</v>
      </c>
      <c r="C189" s="10"/>
      <c r="D189" s="10"/>
      <c r="E189" s="10" t="s">
        <v>136</v>
      </c>
      <c r="F189" s="10">
        <v>96.4</v>
      </c>
      <c r="G189" s="10" t="s">
        <v>36</v>
      </c>
      <c r="H189" s="10">
        <v>43000</v>
      </c>
      <c r="I189" s="10">
        <f t="shared" si="19"/>
        <v>4145200.0000000005</v>
      </c>
      <c r="J189" s="115" t="s">
        <v>90</v>
      </c>
      <c r="K189" s="10"/>
      <c r="L189" s="12">
        <f t="shared" si="14"/>
        <v>0</v>
      </c>
      <c r="M189" s="12"/>
      <c r="N189" s="12"/>
      <c r="O189" s="12">
        <f t="shared" si="15"/>
        <v>0</v>
      </c>
      <c r="P189" s="12"/>
      <c r="Q189" s="12"/>
      <c r="R189" s="12">
        <f t="shared" si="16"/>
        <v>0</v>
      </c>
      <c r="S189" s="12"/>
      <c r="T189" s="12"/>
      <c r="U189" s="12">
        <f t="shared" si="17"/>
        <v>0</v>
      </c>
      <c r="V189" s="12"/>
      <c r="W189" s="12"/>
      <c r="X189" s="12">
        <f t="shared" si="18"/>
        <v>0</v>
      </c>
      <c r="Y189" s="12"/>
      <c r="Z189" s="12"/>
      <c r="AA189" s="13">
        <f t="shared" si="20"/>
        <v>4145200.0000000005</v>
      </c>
      <c r="AB189" s="14"/>
    </row>
    <row r="190" spans="1:28" ht="15.75" x14ac:dyDescent="0.25">
      <c r="A190" s="28">
        <v>46039</v>
      </c>
      <c r="B190" s="10" t="s">
        <v>272</v>
      </c>
      <c r="C190" s="10"/>
      <c r="D190" s="10"/>
      <c r="E190" s="10" t="s">
        <v>164</v>
      </c>
      <c r="F190" s="10">
        <v>49.7</v>
      </c>
      <c r="G190" s="10" t="s">
        <v>36</v>
      </c>
      <c r="H190" s="10">
        <v>43000</v>
      </c>
      <c r="I190" s="10">
        <f t="shared" si="19"/>
        <v>2137100</v>
      </c>
      <c r="J190" s="115" t="s">
        <v>90</v>
      </c>
      <c r="K190" s="10"/>
      <c r="L190" s="12">
        <f t="shared" si="14"/>
        <v>0</v>
      </c>
      <c r="M190" s="12"/>
      <c r="N190" s="12"/>
      <c r="O190" s="12">
        <f t="shared" si="15"/>
        <v>0</v>
      </c>
      <c r="P190" s="12"/>
      <c r="Q190" s="12"/>
      <c r="R190" s="12">
        <f t="shared" si="16"/>
        <v>0</v>
      </c>
      <c r="S190" s="12"/>
      <c r="T190" s="12"/>
      <c r="U190" s="12">
        <f t="shared" si="17"/>
        <v>0</v>
      </c>
      <c r="V190" s="12"/>
      <c r="W190" s="12"/>
      <c r="X190" s="12">
        <f t="shared" si="18"/>
        <v>0</v>
      </c>
      <c r="Y190" s="12"/>
      <c r="Z190" s="12"/>
      <c r="AA190" s="13">
        <f t="shared" si="20"/>
        <v>2137100</v>
      </c>
      <c r="AB190" s="14"/>
    </row>
    <row r="191" spans="1:28" ht="15.75" x14ac:dyDescent="0.25">
      <c r="A191" s="28">
        <v>46039</v>
      </c>
      <c r="B191" s="10" t="s">
        <v>272</v>
      </c>
      <c r="C191" s="10"/>
      <c r="D191" s="10"/>
      <c r="E191" s="10" t="s">
        <v>304</v>
      </c>
      <c r="F191" s="10">
        <v>34.700000000000003</v>
      </c>
      <c r="G191" s="10" t="s">
        <v>36</v>
      </c>
      <c r="H191" s="10">
        <v>90000</v>
      </c>
      <c r="I191" s="10">
        <f t="shared" si="19"/>
        <v>3123000.0000000005</v>
      </c>
      <c r="J191" s="115" t="s">
        <v>90</v>
      </c>
      <c r="K191" s="10"/>
      <c r="L191" s="12">
        <f t="shared" si="14"/>
        <v>0</v>
      </c>
      <c r="M191" s="12"/>
      <c r="N191" s="12"/>
      <c r="O191" s="12">
        <f t="shared" si="15"/>
        <v>0</v>
      </c>
      <c r="P191" s="12"/>
      <c r="Q191" s="12"/>
      <c r="R191" s="12">
        <f t="shared" si="16"/>
        <v>0</v>
      </c>
      <c r="S191" s="12"/>
      <c r="T191" s="12"/>
      <c r="U191" s="12">
        <f t="shared" si="17"/>
        <v>0</v>
      </c>
      <c r="V191" s="12"/>
      <c r="W191" s="12"/>
      <c r="X191" s="12">
        <f t="shared" si="18"/>
        <v>0</v>
      </c>
      <c r="Y191" s="12"/>
      <c r="Z191" s="12"/>
      <c r="AA191" s="13">
        <f t="shared" si="20"/>
        <v>3123000.0000000005</v>
      </c>
      <c r="AB191" s="14"/>
    </row>
    <row r="192" spans="1:28" ht="15.75" x14ac:dyDescent="0.25">
      <c r="A192" s="28">
        <v>46039</v>
      </c>
      <c r="B192" s="10" t="s">
        <v>272</v>
      </c>
      <c r="C192" s="10"/>
      <c r="D192" s="10"/>
      <c r="E192" s="10" t="s">
        <v>139</v>
      </c>
      <c r="F192" s="10">
        <v>19.600000000000001</v>
      </c>
      <c r="G192" s="10" t="s">
        <v>36</v>
      </c>
      <c r="H192" s="10">
        <v>43000</v>
      </c>
      <c r="I192" s="10">
        <f t="shared" si="19"/>
        <v>842800.00000000012</v>
      </c>
      <c r="J192" s="115" t="s">
        <v>90</v>
      </c>
      <c r="K192" s="10"/>
      <c r="L192" s="12">
        <f t="shared" si="14"/>
        <v>0</v>
      </c>
      <c r="M192" s="12"/>
      <c r="N192" s="12"/>
      <c r="O192" s="12">
        <f t="shared" si="15"/>
        <v>0</v>
      </c>
      <c r="P192" s="12"/>
      <c r="Q192" s="12"/>
      <c r="R192" s="12">
        <f t="shared" si="16"/>
        <v>0</v>
      </c>
      <c r="S192" s="12"/>
      <c r="T192" s="12"/>
      <c r="U192" s="12">
        <f t="shared" si="17"/>
        <v>0</v>
      </c>
      <c r="V192" s="12"/>
      <c r="W192" s="12"/>
      <c r="X192" s="12">
        <f t="shared" si="18"/>
        <v>0</v>
      </c>
      <c r="Y192" s="12"/>
      <c r="Z192" s="12"/>
      <c r="AA192" s="13">
        <f t="shared" si="20"/>
        <v>842800.00000000012</v>
      </c>
      <c r="AB192" s="14"/>
    </row>
    <row r="193" spans="1:28" ht="15.75" x14ac:dyDescent="0.25">
      <c r="A193" s="28">
        <v>46039</v>
      </c>
      <c r="B193" s="10" t="s">
        <v>272</v>
      </c>
      <c r="C193" s="10"/>
      <c r="D193" s="10"/>
      <c r="E193" s="10" t="s">
        <v>307</v>
      </c>
      <c r="F193" s="10">
        <v>138.19999999999999</v>
      </c>
      <c r="G193" s="10" t="s">
        <v>36</v>
      </c>
      <c r="H193" s="10">
        <v>43000</v>
      </c>
      <c r="I193" s="10">
        <f t="shared" si="19"/>
        <v>5942599.9999999991</v>
      </c>
      <c r="J193" s="115" t="s">
        <v>90</v>
      </c>
      <c r="K193" s="10"/>
      <c r="L193" s="12">
        <f t="shared" si="14"/>
        <v>0</v>
      </c>
      <c r="M193" s="12"/>
      <c r="N193" s="12"/>
      <c r="O193" s="12">
        <f t="shared" si="15"/>
        <v>0</v>
      </c>
      <c r="P193" s="12"/>
      <c r="Q193" s="12"/>
      <c r="R193" s="12">
        <f t="shared" si="16"/>
        <v>0</v>
      </c>
      <c r="S193" s="12"/>
      <c r="T193" s="12"/>
      <c r="U193" s="12">
        <f t="shared" si="17"/>
        <v>0</v>
      </c>
      <c r="V193" s="12"/>
      <c r="W193" s="12"/>
      <c r="X193" s="12">
        <f t="shared" si="18"/>
        <v>0</v>
      </c>
      <c r="Y193" s="12"/>
      <c r="Z193" s="12"/>
      <c r="AA193" s="13">
        <f t="shared" si="20"/>
        <v>5942599.9999999991</v>
      </c>
      <c r="AB193" s="14"/>
    </row>
    <row r="194" spans="1:28" ht="15.75" x14ac:dyDescent="0.25">
      <c r="A194" s="28">
        <v>46039</v>
      </c>
      <c r="B194" s="10" t="s">
        <v>272</v>
      </c>
      <c r="C194" s="10"/>
      <c r="D194" s="10"/>
      <c r="E194" s="10" t="s">
        <v>307</v>
      </c>
      <c r="F194" s="10">
        <v>58</v>
      </c>
      <c r="G194" s="10" t="s">
        <v>36</v>
      </c>
      <c r="H194" s="10">
        <v>43000</v>
      </c>
      <c r="I194" s="10">
        <f t="shared" si="19"/>
        <v>2494000</v>
      </c>
      <c r="J194" s="115" t="s">
        <v>90</v>
      </c>
      <c r="K194" s="10"/>
      <c r="L194" s="12">
        <f t="shared" si="14"/>
        <v>0</v>
      </c>
      <c r="M194" s="12"/>
      <c r="N194" s="12"/>
      <c r="O194" s="12">
        <f t="shared" si="15"/>
        <v>0</v>
      </c>
      <c r="P194" s="12"/>
      <c r="Q194" s="12"/>
      <c r="R194" s="12">
        <f t="shared" si="16"/>
        <v>0</v>
      </c>
      <c r="S194" s="12"/>
      <c r="T194" s="12"/>
      <c r="U194" s="12">
        <f t="shared" si="17"/>
        <v>0</v>
      </c>
      <c r="V194" s="12"/>
      <c r="W194" s="12"/>
      <c r="X194" s="12">
        <f t="shared" si="18"/>
        <v>0</v>
      </c>
      <c r="Y194" s="12"/>
      <c r="Z194" s="12"/>
      <c r="AA194" s="13">
        <f t="shared" si="20"/>
        <v>2494000</v>
      </c>
      <c r="AB194" s="14"/>
    </row>
    <row r="195" spans="1:28" ht="15.75" x14ac:dyDescent="0.25">
      <c r="A195" s="28">
        <v>46039</v>
      </c>
      <c r="B195" s="10" t="s">
        <v>272</v>
      </c>
      <c r="C195" s="10"/>
      <c r="D195" s="10"/>
      <c r="E195" s="10" t="s">
        <v>338</v>
      </c>
      <c r="F195" s="10">
        <v>28</v>
      </c>
      <c r="G195" s="10" t="s">
        <v>36</v>
      </c>
      <c r="H195" s="10">
        <v>43000</v>
      </c>
      <c r="I195" s="10">
        <f t="shared" si="19"/>
        <v>1204000</v>
      </c>
      <c r="J195" s="115" t="s">
        <v>90</v>
      </c>
      <c r="K195" s="10"/>
      <c r="L195" s="12">
        <f t="shared" ref="L195:L259" si="21">M195+N195</f>
        <v>0</v>
      </c>
      <c r="M195" s="12"/>
      <c r="N195" s="12"/>
      <c r="O195" s="12">
        <f t="shared" ref="O195:O259" si="22">P195+Q195</f>
        <v>0</v>
      </c>
      <c r="P195" s="12"/>
      <c r="Q195" s="12"/>
      <c r="R195" s="12">
        <f t="shared" ref="R195:R259" si="23">S195+T195</f>
        <v>0</v>
      </c>
      <c r="S195" s="12"/>
      <c r="T195" s="12"/>
      <c r="U195" s="12">
        <f t="shared" ref="U195:U259" si="24">V195+W195</f>
        <v>0</v>
      </c>
      <c r="V195" s="12"/>
      <c r="W195" s="12"/>
      <c r="X195" s="12">
        <f t="shared" ref="X195:X259" si="25">Y195+Z195</f>
        <v>0</v>
      </c>
      <c r="Y195" s="12"/>
      <c r="Z195" s="12"/>
      <c r="AA195" s="13">
        <f t="shared" si="20"/>
        <v>1204000</v>
      </c>
      <c r="AB195" s="14"/>
    </row>
    <row r="196" spans="1:28" ht="15.75" x14ac:dyDescent="0.25">
      <c r="A196" s="28">
        <v>46039</v>
      </c>
      <c r="B196" s="10" t="s">
        <v>272</v>
      </c>
      <c r="C196" s="10"/>
      <c r="D196" s="10"/>
      <c r="E196" s="10" t="s">
        <v>338</v>
      </c>
      <c r="F196" s="10">
        <v>58</v>
      </c>
      <c r="G196" s="10" t="s">
        <v>36</v>
      </c>
      <c r="H196" s="10">
        <v>43000</v>
      </c>
      <c r="I196" s="10">
        <f t="shared" ref="I196:I260" si="26">F196*H196</f>
        <v>2494000</v>
      </c>
      <c r="J196" s="115" t="s">
        <v>90</v>
      </c>
      <c r="K196" s="10"/>
      <c r="L196" s="12">
        <f t="shared" si="21"/>
        <v>0</v>
      </c>
      <c r="M196" s="12"/>
      <c r="N196" s="12"/>
      <c r="O196" s="12">
        <f t="shared" si="22"/>
        <v>0</v>
      </c>
      <c r="P196" s="12"/>
      <c r="Q196" s="12"/>
      <c r="R196" s="12">
        <f t="shared" si="23"/>
        <v>0</v>
      </c>
      <c r="S196" s="12"/>
      <c r="T196" s="12"/>
      <c r="U196" s="12">
        <f t="shared" si="24"/>
        <v>0</v>
      </c>
      <c r="V196" s="12"/>
      <c r="W196" s="12"/>
      <c r="X196" s="12">
        <f t="shared" si="25"/>
        <v>0</v>
      </c>
      <c r="Y196" s="12"/>
      <c r="Z196" s="12"/>
      <c r="AA196" s="13">
        <f t="shared" ref="AA196:AA259" si="27">C196+I196-L196-O196-U196-X196-R196</f>
        <v>2494000</v>
      </c>
      <c r="AB196" s="14"/>
    </row>
    <row r="197" spans="1:28" ht="15.75" x14ac:dyDescent="0.25">
      <c r="A197" s="28">
        <v>46039</v>
      </c>
      <c r="B197" s="10" t="s">
        <v>272</v>
      </c>
      <c r="C197" s="10"/>
      <c r="D197" s="10"/>
      <c r="E197" s="10" t="s">
        <v>92</v>
      </c>
      <c r="F197" s="10">
        <v>34.1</v>
      </c>
      <c r="G197" s="10" t="s">
        <v>36</v>
      </c>
      <c r="H197" s="10">
        <v>43000</v>
      </c>
      <c r="I197" s="10">
        <f t="shared" si="26"/>
        <v>1466300</v>
      </c>
      <c r="J197" s="86" t="s">
        <v>30</v>
      </c>
      <c r="K197" s="10"/>
      <c r="L197" s="12">
        <f t="shared" si="21"/>
        <v>0</v>
      </c>
      <c r="M197" s="12"/>
      <c r="N197" s="12"/>
      <c r="O197" s="12">
        <f t="shared" si="22"/>
        <v>0</v>
      </c>
      <c r="P197" s="12"/>
      <c r="Q197" s="12"/>
      <c r="R197" s="12">
        <f t="shared" si="23"/>
        <v>0</v>
      </c>
      <c r="S197" s="12"/>
      <c r="T197" s="12"/>
      <c r="U197" s="12">
        <f t="shared" si="24"/>
        <v>0</v>
      </c>
      <c r="V197" s="12"/>
      <c r="W197" s="12"/>
      <c r="X197" s="12">
        <f t="shared" si="25"/>
        <v>0</v>
      </c>
      <c r="Y197" s="12"/>
      <c r="Z197" s="12"/>
      <c r="AA197" s="13">
        <f t="shared" si="27"/>
        <v>1466300</v>
      </c>
      <c r="AB197" s="14"/>
    </row>
    <row r="198" spans="1:28" ht="15.75" hidden="1" x14ac:dyDescent="0.25">
      <c r="A198" s="28">
        <v>46041</v>
      </c>
      <c r="B198" s="10" t="s">
        <v>352</v>
      </c>
      <c r="C198" s="10"/>
      <c r="D198" s="10" t="s">
        <v>28</v>
      </c>
      <c r="E198" s="10" t="s">
        <v>86</v>
      </c>
      <c r="F198" s="10">
        <v>179</v>
      </c>
      <c r="G198" s="10" t="s">
        <v>36</v>
      </c>
      <c r="H198" s="10">
        <v>43000</v>
      </c>
      <c r="I198" s="10">
        <f t="shared" si="26"/>
        <v>7697000</v>
      </c>
      <c r="J198" s="52" t="s">
        <v>90</v>
      </c>
      <c r="K198" s="10"/>
      <c r="L198" s="12">
        <f t="shared" si="21"/>
        <v>0</v>
      </c>
      <c r="M198" s="12"/>
      <c r="N198" s="12"/>
      <c r="O198" s="12">
        <f t="shared" si="22"/>
        <v>0</v>
      </c>
      <c r="P198" s="12"/>
      <c r="Q198" s="12"/>
      <c r="R198" s="12">
        <f t="shared" si="23"/>
        <v>0</v>
      </c>
      <c r="S198" s="12"/>
      <c r="T198" s="12"/>
      <c r="U198" s="12">
        <f t="shared" si="24"/>
        <v>0</v>
      </c>
      <c r="V198" s="12"/>
      <c r="W198" s="12"/>
      <c r="X198" s="12">
        <f t="shared" si="25"/>
        <v>0</v>
      </c>
      <c r="Y198" s="12"/>
      <c r="Z198" s="12"/>
      <c r="AA198" s="13">
        <f t="shared" si="27"/>
        <v>7697000</v>
      </c>
      <c r="AB198" s="14"/>
    </row>
    <row r="199" spans="1:28" ht="15.75" hidden="1" x14ac:dyDescent="0.25">
      <c r="A199" s="28">
        <v>46041</v>
      </c>
      <c r="B199" s="10" t="s">
        <v>56</v>
      </c>
      <c r="C199" s="10"/>
      <c r="D199" s="10" t="s">
        <v>28</v>
      </c>
      <c r="E199" s="10" t="s">
        <v>271</v>
      </c>
      <c r="F199" s="10">
        <v>2</v>
      </c>
      <c r="G199" s="10" t="s">
        <v>36</v>
      </c>
      <c r="H199" s="10">
        <v>170000</v>
      </c>
      <c r="I199" s="10">
        <f t="shared" si="26"/>
        <v>340000</v>
      </c>
      <c r="J199" s="52" t="s">
        <v>90</v>
      </c>
      <c r="K199" s="87"/>
      <c r="L199" s="12">
        <f t="shared" si="21"/>
        <v>0</v>
      </c>
      <c r="M199" s="12"/>
      <c r="N199" s="12"/>
      <c r="O199" s="12">
        <f t="shared" si="22"/>
        <v>0</v>
      </c>
      <c r="P199" s="12"/>
      <c r="Q199" s="12"/>
      <c r="R199" s="12">
        <f t="shared" si="23"/>
        <v>0</v>
      </c>
      <c r="S199" s="12"/>
      <c r="T199" s="12"/>
      <c r="U199" s="12">
        <f t="shared" si="24"/>
        <v>0</v>
      </c>
      <c r="V199" s="12"/>
      <c r="W199" s="12"/>
      <c r="X199" s="12">
        <f t="shared" si="25"/>
        <v>0</v>
      </c>
      <c r="Y199" s="12"/>
      <c r="Z199" s="12"/>
      <c r="AA199" s="13">
        <f t="shared" si="27"/>
        <v>340000</v>
      </c>
      <c r="AB199" s="14"/>
    </row>
    <row r="200" spans="1:28" ht="15.75" hidden="1" x14ac:dyDescent="0.25">
      <c r="A200" s="28">
        <v>46041</v>
      </c>
      <c r="B200" s="10" t="s">
        <v>176</v>
      </c>
      <c r="C200" s="10"/>
      <c r="D200" s="10" t="s">
        <v>32</v>
      </c>
      <c r="E200" s="10" t="s">
        <v>88</v>
      </c>
      <c r="F200" s="10">
        <v>25</v>
      </c>
      <c r="G200" s="10" t="s">
        <v>36</v>
      </c>
      <c r="H200" s="10">
        <v>125000</v>
      </c>
      <c r="I200" s="10">
        <f t="shared" si="26"/>
        <v>3125000</v>
      </c>
      <c r="J200" s="52" t="s">
        <v>30</v>
      </c>
      <c r="K200" s="87"/>
      <c r="L200" s="12">
        <f t="shared" si="21"/>
        <v>3012600</v>
      </c>
      <c r="M200" s="12"/>
      <c r="N200" s="12">
        <v>3012600</v>
      </c>
      <c r="O200" s="12">
        <f t="shared" si="22"/>
        <v>0</v>
      </c>
      <c r="P200" s="12"/>
      <c r="Q200" s="12"/>
      <c r="R200" s="12">
        <f t="shared" si="23"/>
        <v>0</v>
      </c>
      <c r="S200" s="12"/>
      <c r="T200" s="12"/>
      <c r="U200" s="12">
        <f t="shared" si="24"/>
        <v>0</v>
      </c>
      <c r="V200" s="12"/>
      <c r="W200" s="12"/>
      <c r="X200" s="12">
        <f t="shared" si="25"/>
        <v>0</v>
      </c>
      <c r="Y200" s="12"/>
      <c r="Z200" s="12"/>
      <c r="AA200" s="13">
        <f t="shared" si="27"/>
        <v>112400</v>
      </c>
      <c r="AB200" s="14">
        <v>46069</v>
      </c>
    </row>
    <row r="201" spans="1:28" ht="15.75" hidden="1" x14ac:dyDescent="0.25">
      <c r="A201" s="28">
        <v>46041</v>
      </c>
      <c r="B201" s="10" t="s">
        <v>176</v>
      </c>
      <c r="C201" s="10"/>
      <c r="D201" s="10" t="s">
        <v>32</v>
      </c>
      <c r="E201" s="10" t="s">
        <v>104</v>
      </c>
      <c r="F201" s="10">
        <v>3000</v>
      </c>
      <c r="G201" s="10" t="s">
        <v>26</v>
      </c>
      <c r="H201" s="10">
        <v>1750</v>
      </c>
      <c r="I201" s="10">
        <f t="shared" si="26"/>
        <v>5250000</v>
      </c>
      <c r="J201" s="52" t="s">
        <v>30</v>
      </c>
      <c r="K201" s="87"/>
      <c r="L201" s="12">
        <f t="shared" si="21"/>
        <v>0</v>
      </c>
      <c r="M201" s="12"/>
      <c r="N201" s="12"/>
      <c r="O201" s="12">
        <f t="shared" si="22"/>
        <v>0</v>
      </c>
      <c r="P201" s="12"/>
      <c r="Q201" s="12"/>
      <c r="R201" s="12">
        <f t="shared" si="23"/>
        <v>0</v>
      </c>
      <c r="S201" s="12"/>
      <c r="T201" s="12"/>
      <c r="U201" s="12">
        <f t="shared" si="24"/>
        <v>0</v>
      </c>
      <c r="V201" s="12"/>
      <c r="W201" s="12"/>
      <c r="X201" s="12">
        <f t="shared" si="25"/>
        <v>0</v>
      </c>
      <c r="Y201" s="12"/>
      <c r="Z201" s="12"/>
      <c r="AA201" s="13">
        <f t="shared" si="27"/>
        <v>5250000</v>
      </c>
      <c r="AB201" s="14"/>
    </row>
    <row r="202" spans="1:28" ht="15.75" hidden="1" x14ac:dyDescent="0.25">
      <c r="A202" s="28">
        <v>46042</v>
      </c>
      <c r="B202" s="10" t="s">
        <v>56</v>
      </c>
      <c r="C202" s="10"/>
      <c r="D202" s="10" t="s">
        <v>28</v>
      </c>
      <c r="E202" s="10" t="s">
        <v>160</v>
      </c>
      <c r="F202" s="10">
        <v>2</v>
      </c>
      <c r="G202" s="10" t="s">
        <v>22</v>
      </c>
      <c r="H202" s="10">
        <v>350000</v>
      </c>
      <c r="I202" s="10">
        <f t="shared" si="26"/>
        <v>700000</v>
      </c>
      <c r="J202" s="52" t="s">
        <v>90</v>
      </c>
      <c r="K202" s="88"/>
      <c r="L202" s="12">
        <f t="shared" si="21"/>
        <v>0</v>
      </c>
      <c r="M202" s="12"/>
      <c r="N202" s="12"/>
      <c r="O202" s="12">
        <f t="shared" si="22"/>
        <v>0</v>
      </c>
      <c r="P202" s="12"/>
      <c r="Q202" s="12"/>
      <c r="R202" s="12">
        <f t="shared" si="23"/>
        <v>0</v>
      </c>
      <c r="S202" s="12"/>
      <c r="T202" s="12"/>
      <c r="U202" s="12">
        <f t="shared" si="24"/>
        <v>0</v>
      </c>
      <c r="V202" s="12"/>
      <c r="W202" s="12"/>
      <c r="X202" s="12">
        <f t="shared" si="25"/>
        <v>0</v>
      </c>
      <c r="Y202" s="12"/>
      <c r="Z202" s="12"/>
      <c r="AA202" s="13">
        <f t="shared" si="27"/>
        <v>700000</v>
      </c>
      <c r="AB202" s="14"/>
    </row>
    <row r="203" spans="1:28" ht="15.75" hidden="1" x14ac:dyDescent="0.25">
      <c r="A203" s="28">
        <v>46042</v>
      </c>
      <c r="B203" s="10" t="s">
        <v>144</v>
      </c>
      <c r="C203" s="10"/>
      <c r="D203" s="10" t="s">
        <v>206</v>
      </c>
      <c r="E203" s="10" t="s">
        <v>164</v>
      </c>
      <c r="F203" s="10">
        <v>67.8</v>
      </c>
      <c r="G203" s="10" t="s">
        <v>36</v>
      </c>
      <c r="H203" s="10">
        <v>43000</v>
      </c>
      <c r="I203" s="10">
        <f t="shared" si="26"/>
        <v>2915400</v>
      </c>
      <c r="J203" s="52" t="s">
        <v>90</v>
      </c>
      <c r="K203" s="87"/>
      <c r="L203" s="12">
        <f t="shared" si="21"/>
        <v>0</v>
      </c>
      <c r="M203" s="12"/>
      <c r="N203" s="12"/>
      <c r="O203" s="12">
        <f t="shared" si="22"/>
        <v>0</v>
      </c>
      <c r="P203" s="12"/>
      <c r="Q203" s="12"/>
      <c r="R203" s="12">
        <f t="shared" si="23"/>
        <v>0</v>
      </c>
      <c r="S203" s="12"/>
      <c r="T203" s="12"/>
      <c r="U203" s="12">
        <f t="shared" si="24"/>
        <v>0</v>
      </c>
      <c r="V203" s="12"/>
      <c r="W203" s="12"/>
      <c r="X203" s="12">
        <f t="shared" si="25"/>
        <v>0</v>
      </c>
      <c r="Y203" s="12"/>
      <c r="Z203" s="12"/>
      <c r="AA203" s="13">
        <f t="shared" si="27"/>
        <v>2915400</v>
      </c>
      <c r="AB203" s="14"/>
    </row>
    <row r="204" spans="1:28" ht="15.75" hidden="1" x14ac:dyDescent="0.25">
      <c r="A204" s="28">
        <v>46043</v>
      </c>
      <c r="B204" s="10" t="s">
        <v>149</v>
      </c>
      <c r="C204" s="10"/>
      <c r="D204" s="10" t="s">
        <v>28</v>
      </c>
      <c r="E204" s="10" t="s">
        <v>107</v>
      </c>
      <c r="F204" s="10">
        <v>300</v>
      </c>
      <c r="G204" s="10" t="s">
        <v>36</v>
      </c>
      <c r="H204" s="10">
        <v>60000</v>
      </c>
      <c r="I204" s="10">
        <f t="shared" si="26"/>
        <v>18000000</v>
      </c>
      <c r="J204" s="52" t="s">
        <v>90</v>
      </c>
      <c r="K204" s="82"/>
      <c r="L204" s="12">
        <f t="shared" si="21"/>
        <v>0</v>
      </c>
      <c r="M204" s="12"/>
      <c r="N204" s="12"/>
      <c r="O204" s="12">
        <f t="shared" si="22"/>
        <v>0</v>
      </c>
      <c r="P204" s="12"/>
      <c r="Q204" s="12"/>
      <c r="R204" s="12">
        <f t="shared" si="23"/>
        <v>0</v>
      </c>
      <c r="S204" s="12"/>
      <c r="T204" s="12"/>
      <c r="U204" s="12">
        <f t="shared" si="24"/>
        <v>0</v>
      </c>
      <c r="V204" s="12"/>
      <c r="W204" s="12"/>
      <c r="X204" s="12">
        <f t="shared" si="25"/>
        <v>0</v>
      </c>
      <c r="Y204" s="12"/>
      <c r="Z204" s="12"/>
      <c r="AA204" s="13">
        <f t="shared" si="27"/>
        <v>18000000</v>
      </c>
      <c r="AB204" s="14"/>
    </row>
    <row r="205" spans="1:28" ht="15.75" hidden="1" x14ac:dyDescent="0.25">
      <c r="A205" s="28">
        <v>46043</v>
      </c>
      <c r="B205" s="10" t="s">
        <v>55</v>
      </c>
      <c r="C205" s="10"/>
      <c r="D205" s="10" t="s">
        <v>28</v>
      </c>
      <c r="E205" s="10" t="s">
        <v>98</v>
      </c>
      <c r="F205" s="10">
        <v>2000</v>
      </c>
      <c r="G205" s="10" t="s">
        <v>26</v>
      </c>
      <c r="H205" s="10">
        <v>1900</v>
      </c>
      <c r="I205" s="10">
        <f t="shared" si="26"/>
        <v>3800000</v>
      </c>
      <c r="J205" s="29" t="s">
        <v>110</v>
      </c>
      <c r="K205" s="82"/>
      <c r="L205" s="12">
        <f t="shared" si="21"/>
        <v>0</v>
      </c>
      <c r="M205" s="12"/>
      <c r="N205" s="12"/>
      <c r="O205" s="12">
        <f t="shared" si="22"/>
        <v>3800000</v>
      </c>
      <c r="P205" s="12">
        <v>3800000</v>
      </c>
      <c r="Q205" s="12"/>
      <c r="R205" s="12">
        <f t="shared" si="23"/>
        <v>0</v>
      </c>
      <c r="S205" s="12"/>
      <c r="T205" s="12"/>
      <c r="U205" s="12">
        <f t="shared" si="24"/>
        <v>0</v>
      </c>
      <c r="V205" s="12"/>
      <c r="W205" s="12"/>
      <c r="X205" s="12">
        <f t="shared" si="25"/>
        <v>0</v>
      </c>
      <c r="Y205" s="12"/>
      <c r="Z205" s="12"/>
      <c r="AA205" s="13">
        <f t="shared" si="27"/>
        <v>0</v>
      </c>
      <c r="AB205" s="14">
        <v>46062</v>
      </c>
    </row>
    <row r="206" spans="1:28" ht="15.75" x14ac:dyDescent="0.25">
      <c r="A206" s="28">
        <v>46044</v>
      </c>
      <c r="B206" s="10" t="s">
        <v>272</v>
      </c>
      <c r="C206" s="10"/>
      <c r="D206" s="10"/>
      <c r="E206" s="10" t="s">
        <v>168</v>
      </c>
      <c r="F206" s="10">
        <v>157.69999999999999</v>
      </c>
      <c r="G206" s="10" t="s">
        <v>36</v>
      </c>
      <c r="H206" s="10">
        <v>43000</v>
      </c>
      <c r="I206" s="10">
        <f t="shared" si="26"/>
        <v>6781099.9999999991</v>
      </c>
      <c r="J206" s="115" t="s">
        <v>90</v>
      </c>
      <c r="K206" s="10"/>
      <c r="L206" s="12">
        <f t="shared" si="21"/>
        <v>0</v>
      </c>
      <c r="M206" s="12"/>
      <c r="N206" s="12"/>
      <c r="O206" s="12">
        <f t="shared" si="22"/>
        <v>0</v>
      </c>
      <c r="P206" s="12"/>
      <c r="Q206" s="12"/>
      <c r="R206" s="12">
        <f t="shared" si="23"/>
        <v>0</v>
      </c>
      <c r="S206" s="12"/>
      <c r="T206" s="12"/>
      <c r="U206" s="12">
        <f t="shared" si="24"/>
        <v>0</v>
      </c>
      <c r="V206" s="12"/>
      <c r="W206" s="12"/>
      <c r="X206" s="12">
        <f t="shared" si="25"/>
        <v>0</v>
      </c>
      <c r="Y206" s="12"/>
      <c r="Z206" s="12"/>
      <c r="AA206" s="13">
        <f t="shared" si="27"/>
        <v>6781099.9999999991</v>
      </c>
      <c r="AB206" s="14"/>
    </row>
    <row r="207" spans="1:28" ht="15.75" x14ac:dyDescent="0.25">
      <c r="A207" s="28">
        <v>46044</v>
      </c>
      <c r="B207" s="10" t="s">
        <v>272</v>
      </c>
      <c r="C207" s="10"/>
      <c r="D207" s="10"/>
      <c r="E207" s="10" t="s">
        <v>168</v>
      </c>
      <c r="F207" s="10">
        <v>64</v>
      </c>
      <c r="G207" s="10" t="s">
        <v>36</v>
      </c>
      <c r="H207" s="10">
        <v>43000</v>
      </c>
      <c r="I207" s="10">
        <f t="shared" si="26"/>
        <v>2752000</v>
      </c>
      <c r="J207" s="86" t="s">
        <v>30</v>
      </c>
      <c r="K207" s="10"/>
      <c r="L207" s="12">
        <f t="shared" si="21"/>
        <v>0</v>
      </c>
      <c r="M207" s="12"/>
      <c r="N207" s="12"/>
      <c r="O207" s="12">
        <f t="shared" si="22"/>
        <v>0</v>
      </c>
      <c r="P207" s="12"/>
      <c r="Q207" s="12"/>
      <c r="R207" s="12">
        <f t="shared" si="23"/>
        <v>0</v>
      </c>
      <c r="S207" s="12"/>
      <c r="T207" s="12"/>
      <c r="U207" s="12">
        <f t="shared" si="24"/>
        <v>0</v>
      </c>
      <c r="V207" s="12"/>
      <c r="W207" s="12"/>
      <c r="X207" s="12">
        <f t="shared" si="25"/>
        <v>0</v>
      </c>
      <c r="Y207" s="12"/>
      <c r="Z207" s="12"/>
      <c r="AA207" s="13">
        <f t="shared" si="27"/>
        <v>2752000</v>
      </c>
      <c r="AB207" s="14"/>
    </row>
    <row r="208" spans="1:28" ht="15.75" x14ac:dyDescent="0.25">
      <c r="A208" s="28">
        <v>46044</v>
      </c>
      <c r="B208" s="10" t="s">
        <v>272</v>
      </c>
      <c r="C208" s="10"/>
      <c r="D208" s="10"/>
      <c r="E208" s="10" t="s">
        <v>377</v>
      </c>
      <c r="F208" s="10">
        <v>155.30000000000001</v>
      </c>
      <c r="G208" s="10" t="s">
        <v>36</v>
      </c>
      <c r="H208" s="10">
        <v>43000</v>
      </c>
      <c r="I208" s="10">
        <f t="shared" si="26"/>
        <v>6677900.0000000009</v>
      </c>
      <c r="J208" s="86" t="s">
        <v>30</v>
      </c>
      <c r="K208" s="10"/>
      <c r="L208" s="12">
        <f t="shared" si="21"/>
        <v>0</v>
      </c>
      <c r="M208" s="12"/>
      <c r="N208" s="12"/>
      <c r="O208" s="12">
        <f t="shared" si="22"/>
        <v>0</v>
      </c>
      <c r="P208" s="12"/>
      <c r="Q208" s="12"/>
      <c r="R208" s="12">
        <f t="shared" si="23"/>
        <v>0</v>
      </c>
      <c r="S208" s="12"/>
      <c r="T208" s="12"/>
      <c r="U208" s="12">
        <f t="shared" si="24"/>
        <v>0</v>
      </c>
      <c r="V208" s="12"/>
      <c r="W208" s="12"/>
      <c r="X208" s="12">
        <f t="shared" si="25"/>
        <v>0</v>
      </c>
      <c r="Y208" s="12"/>
      <c r="Z208" s="12"/>
      <c r="AA208" s="13">
        <f t="shared" si="27"/>
        <v>6677900.0000000009</v>
      </c>
      <c r="AB208" s="14"/>
    </row>
    <row r="209" spans="1:28" ht="15.75" x14ac:dyDescent="0.25">
      <c r="A209" s="28">
        <v>46044</v>
      </c>
      <c r="B209" s="10" t="s">
        <v>272</v>
      </c>
      <c r="C209" s="10"/>
      <c r="D209" s="10"/>
      <c r="E209" s="10" t="s">
        <v>86</v>
      </c>
      <c r="F209" s="10">
        <v>87.6</v>
      </c>
      <c r="G209" s="10" t="s">
        <v>36</v>
      </c>
      <c r="H209" s="10">
        <v>43000</v>
      </c>
      <c r="I209" s="10">
        <f t="shared" si="26"/>
        <v>3766799.9999999995</v>
      </c>
      <c r="J209" s="115" t="s">
        <v>90</v>
      </c>
      <c r="K209" s="10"/>
      <c r="L209" s="12">
        <f t="shared" si="21"/>
        <v>0</v>
      </c>
      <c r="M209" s="12"/>
      <c r="N209" s="12"/>
      <c r="O209" s="12">
        <f t="shared" si="22"/>
        <v>0</v>
      </c>
      <c r="P209" s="12"/>
      <c r="Q209" s="12"/>
      <c r="R209" s="12">
        <f t="shared" si="23"/>
        <v>0</v>
      </c>
      <c r="S209" s="12"/>
      <c r="T209" s="12"/>
      <c r="U209" s="12">
        <f t="shared" si="24"/>
        <v>0</v>
      </c>
      <c r="V209" s="12"/>
      <c r="W209" s="12"/>
      <c r="X209" s="12">
        <f t="shared" si="25"/>
        <v>0</v>
      </c>
      <c r="Y209" s="12"/>
      <c r="Z209" s="12"/>
      <c r="AA209" s="13">
        <f t="shared" si="27"/>
        <v>3766799.9999999995</v>
      </c>
      <c r="AB209" s="14"/>
    </row>
    <row r="210" spans="1:28" ht="15.75" x14ac:dyDescent="0.25">
      <c r="A210" s="28">
        <v>46044</v>
      </c>
      <c r="B210" s="10" t="s">
        <v>272</v>
      </c>
      <c r="C210" s="10"/>
      <c r="D210" s="10"/>
      <c r="E210" s="10" t="s">
        <v>315</v>
      </c>
      <c r="F210" s="10">
        <v>81.3</v>
      </c>
      <c r="G210" s="10" t="s">
        <v>36</v>
      </c>
      <c r="H210" s="10">
        <v>43000</v>
      </c>
      <c r="I210" s="10">
        <f t="shared" si="26"/>
        <v>3495900</v>
      </c>
      <c r="J210" s="115" t="s">
        <v>90</v>
      </c>
      <c r="K210" s="10"/>
      <c r="L210" s="12">
        <f t="shared" si="21"/>
        <v>0</v>
      </c>
      <c r="M210" s="12"/>
      <c r="N210" s="12"/>
      <c r="O210" s="12">
        <f t="shared" si="22"/>
        <v>0</v>
      </c>
      <c r="P210" s="12"/>
      <c r="Q210" s="12"/>
      <c r="R210" s="12">
        <f t="shared" si="23"/>
        <v>0</v>
      </c>
      <c r="S210" s="12"/>
      <c r="T210" s="12"/>
      <c r="U210" s="12">
        <f t="shared" si="24"/>
        <v>0</v>
      </c>
      <c r="V210" s="12"/>
      <c r="W210" s="12"/>
      <c r="X210" s="12">
        <f t="shared" si="25"/>
        <v>0</v>
      </c>
      <c r="Y210" s="12"/>
      <c r="Z210" s="12"/>
      <c r="AA210" s="13">
        <f t="shared" si="27"/>
        <v>3495900</v>
      </c>
      <c r="AB210" s="14"/>
    </row>
    <row r="211" spans="1:28" ht="15.75" x14ac:dyDescent="0.25">
      <c r="A211" s="28">
        <v>46044</v>
      </c>
      <c r="B211" s="10" t="s">
        <v>272</v>
      </c>
      <c r="C211" s="10"/>
      <c r="D211" s="10"/>
      <c r="E211" s="10" t="s">
        <v>229</v>
      </c>
      <c r="F211" s="10">
        <v>14.3</v>
      </c>
      <c r="G211" s="10" t="s">
        <v>36</v>
      </c>
      <c r="H211" s="10">
        <v>43000</v>
      </c>
      <c r="I211" s="10">
        <f t="shared" si="26"/>
        <v>614900</v>
      </c>
      <c r="J211" s="115" t="s">
        <v>90</v>
      </c>
      <c r="K211" s="10"/>
      <c r="L211" s="12">
        <f t="shared" si="21"/>
        <v>0</v>
      </c>
      <c r="M211" s="12"/>
      <c r="N211" s="12"/>
      <c r="O211" s="12">
        <f t="shared" si="22"/>
        <v>0</v>
      </c>
      <c r="P211" s="12"/>
      <c r="Q211" s="12"/>
      <c r="R211" s="12">
        <f t="shared" si="23"/>
        <v>0</v>
      </c>
      <c r="S211" s="12"/>
      <c r="T211" s="12"/>
      <c r="U211" s="12">
        <f t="shared" si="24"/>
        <v>0</v>
      </c>
      <c r="V211" s="12"/>
      <c r="W211" s="12"/>
      <c r="X211" s="12">
        <f t="shared" si="25"/>
        <v>0</v>
      </c>
      <c r="Y211" s="12"/>
      <c r="Z211" s="12"/>
      <c r="AA211" s="13">
        <f t="shared" si="27"/>
        <v>614900</v>
      </c>
      <c r="AB211" s="14"/>
    </row>
    <row r="212" spans="1:28" ht="15.75" x14ac:dyDescent="0.25">
      <c r="A212" s="28">
        <v>46044</v>
      </c>
      <c r="B212" s="10" t="s">
        <v>272</v>
      </c>
      <c r="C212" s="10"/>
      <c r="D212" s="10"/>
      <c r="E212" s="10" t="s">
        <v>344</v>
      </c>
      <c r="F212" s="10">
        <v>26.5</v>
      </c>
      <c r="G212" s="10" t="s">
        <v>36</v>
      </c>
      <c r="H212" s="10">
        <v>43000</v>
      </c>
      <c r="I212" s="10">
        <f t="shared" si="26"/>
        <v>1139500</v>
      </c>
      <c r="J212" s="86" t="s">
        <v>30</v>
      </c>
      <c r="K212" s="10"/>
      <c r="L212" s="12">
        <f t="shared" si="21"/>
        <v>0</v>
      </c>
      <c r="M212" s="12"/>
      <c r="N212" s="12"/>
      <c r="O212" s="12">
        <f t="shared" si="22"/>
        <v>0</v>
      </c>
      <c r="P212" s="12"/>
      <c r="Q212" s="12"/>
      <c r="R212" s="12">
        <f t="shared" si="23"/>
        <v>0</v>
      </c>
      <c r="S212" s="12"/>
      <c r="T212" s="12"/>
      <c r="U212" s="12">
        <f t="shared" si="24"/>
        <v>0</v>
      </c>
      <c r="V212" s="12"/>
      <c r="W212" s="12"/>
      <c r="X212" s="12">
        <f t="shared" si="25"/>
        <v>0</v>
      </c>
      <c r="Y212" s="12"/>
      <c r="Z212" s="12"/>
      <c r="AA212" s="13">
        <f t="shared" si="27"/>
        <v>1139500</v>
      </c>
      <c r="AB212" s="14"/>
    </row>
    <row r="213" spans="1:28" ht="15.75" hidden="1" x14ac:dyDescent="0.25">
      <c r="A213" s="28">
        <v>46044</v>
      </c>
      <c r="B213" s="10" t="s">
        <v>238</v>
      </c>
      <c r="C213" s="10"/>
      <c r="D213" s="10" t="s">
        <v>28</v>
      </c>
      <c r="E213" s="10" t="s">
        <v>65</v>
      </c>
      <c r="F213" s="10">
        <v>1300</v>
      </c>
      <c r="G213" s="10" t="s">
        <v>26</v>
      </c>
      <c r="H213" s="10">
        <v>3600</v>
      </c>
      <c r="I213" s="10">
        <f t="shared" si="26"/>
        <v>4680000</v>
      </c>
      <c r="J213" s="29" t="s">
        <v>110</v>
      </c>
      <c r="K213" s="87"/>
      <c r="L213" s="12">
        <f t="shared" si="21"/>
        <v>0</v>
      </c>
      <c r="M213" s="12"/>
      <c r="N213" s="12"/>
      <c r="O213" s="12">
        <f t="shared" si="22"/>
        <v>4680000</v>
      </c>
      <c r="P213" s="12">
        <v>4680000</v>
      </c>
      <c r="Q213" s="12"/>
      <c r="R213" s="12">
        <f t="shared" si="23"/>
        <v>0</v>
      </c>
      <c r="S213" s="12"/>
      <c r="T213" s="12"/>
      <c r="U213" s="12">
        <f t="shared" si="24"/>
        <v>0</v>
      </c>
      <c r="V213" s="12"/>
      <c r="W213" s="12"/>
      <c r="X213" s="12">
        <f t="shared" si="25"/>
        <v>0</v>
      </c>
      <c r="Y213" s="12"/>
      <c r="Z213" s="12"/>
      <c r="AA213" s="13">
        <f t="shared" si="27"/>
        <v>0</v>
      </c>
      <c r="AB213" s="14">
        <v>46073</v>
      </c>
    </row>
    <row r="214" spans="1:28" ht="15.75" hidden="1" x14ac:dyDescent="0.25">
      <c r="A214" s="28">
        <v>46044</v>
      </c>
      <c r="B214" s="10" t="s">
        <v>380</v>
      </c>
      <c r="C214" s="10"/>
      <c r="D214" s="10" t="s">
        <v>28</v>
      </c>
      <c r="E214" s="10" t="s">
        <v>160</v>
      </c>
      <c r="F214" s="10">
        <v>1</v>
      </c>
      <c r="G214" s="10" t="s">
        <v>22</v>
      </c>
      <c r="H214" s="10">
        <v>400000</v>
      </c>
      <c r="I214" s="10">
        <f t="shared" si="26"/>
        <v>400000</v>
      </c>
      <c r="J214" s="29" t="s">
        <v>113</v>
      </c>
      <c r="K214" s="87"/>
      <c r="L214" s="12">
        <f t="shared" si="21"/>
        <v>0</v>
      </c>
      <c r="M214" s="12"/>
      <c r="N214" s="12"/>
      <c r="O214" s="12">
        <f t="shared" si="22"/>
        <v>0</v>
      </c>
      <c r="P214" s="12"/>
      <c r="Q214" s="12"/>
      <c r="R214" s="12">
        <f t="shared" si="23"/>
        <v>0</v>
      </c>
      <c r="S214" s="12"/>
      <c r="T214" s="12"/>
      <c r="U214" s="12">
        <f t="shared" si="24"/>
        <v>400000</v>
      </c>
      <c r="V214" s="12">
        <v>400000</v>
      </c>
      <c r="W214" s="12"/>
      <c r="X214" s="12">
        <f t="shared" si="25"/>
        <v>0</v>
      </c>
      <c r="Y214" s="12"/>
      <c r="Z214" s="12"/>
      <c r="AA214" s="13">
        <f t="shared" si="27"/>
        <v>0</v>
      </c>
      <c r="AB214" s="14">
        <v>46062</v>
      </c>
    </row>
    <row r="215" spans="1:28" ht="15.75" hidden="1" x14ac:dyDescent="0.25">
      <c r="A215" s="28">
        <v>46044</v>
      </c>
      <c r="B215" s="10" t="s">
        <v>176</v>
      </c>
      <c r="C215" s="10"/>
      <c r="D215" s="10" t="s">
        <v>28</v>
      </c>
      <c r="E215" s="10" t="s">
        <v>344</v>
      </c>
      <c r="F215" s="10">
        <v>13.3</v>
      </c>
      <c r="G215" s="10" t="s">
        <v>36</v>
      </c>
      <c r="H215" s="10">
        <v>43000</v>
      </c>
      <c r="I215" s="10">
        <f t="shared" si="26"/>
        <v>571900</v>
      </c>
      <c r="J215" s="52" t="s">
        <v>30</v>
      </c>
      <c r="K215" s="10"/>
      <c r="L215" s="12">
        <f t="shared" si="21"/>
        <v>0</v>
      </c>
      <c r="M215" s="12"/>
      <c r="N215" s="12"/>
      <c r="O215" s="12">
        <f t="shared" si="22"/>
        <v>0</v>
      </c>
      <c r="P215" s="12"/>
      <c r="Q215" s="12"/>
      <c r="R215" s="12">
        <f t="shared" si="23"/>
        <v>0</v>
      </c>
      <c r="S215" s="12"/>
      <c r="T215" s="12"/>
      <c r="U215" s="12">
        <f t="shared" si="24"/>
        <v>0</v>
      </c>
      <c r="V215" s="12"/>
      <c r="W215" s="12"/>
      <c r="X215" s="12">
        <f t="shared" si="25"/>
        <v>0</v>
      </c>
      <c r="Y215" s="12"/>
      <c r="Z215" s="12"/>
      <c r="AA215" s="13">
        <f t="shared" si="27"/>
        <v>571900</v>
      </c>
      <c r="AB215" s="14"/>
    </row>
    <row r="216" spans="1:28" ht="15.75" hidden="1" x14ac:dyDescent="0.25">
      <c r="A216" s="28">
        <v>46044</v>
      </c>
      <c r="B216" s="10" t="s">
        <v>176</v>
      </c>
      <c r="C216" s="10"/>
      <c r="D216" s="10" t="s">
        <v>28</v>
      </c>
      <c r="E216" s="10" t="s">
        <v>136</v>
      </c>
      <c r="F216" s="10">
        <v>24.5</v>
      </c>
      <c r="G216" s="10" t="s">
        <v>36</v>
      </c>
      <c r="H216" s="10">
        <v>43000</v>
      </c>
      <c r="I216" s="10">
        <f t="shared" si="26"/>
        <v>1053500</v>
      </c>
      <c r="J216" s="52" t="s">
        <v>30</v>
      </c>
      <c r="K216" s="10"/>
      <c r="L216" s="12">
        <f t="shared" si="21"/>
        <v>0</v>
      </c>
      <c r="M216" s="12"/>
      <c r="N216" s="12"/>
      <c r="O216" s="12">
        <f t="shared" si="22"/>
        <v>0</v>
      </c>
      <c r="P216" s="12"/>
      <c r="Q216" s="12"/>
      <c r="R216" s="12">
        <f t="shared" si="23"/>
        <v>0</v>
      </c>
      <c r="S216" s="12"/>
      <c r="T216" s="12"/>
      <c r="U216" s="12">
        <f t="shared" si="24"/>
        <v>0</v>
      </c>
      <c r="V216" s="12"/>
      <c r="W216" s="12"/>
      <c r="X216" s="12">
        <f t="shared" si="25"/>
        <v>0</v>
      </c>
      <c r="Y216" s="12"/>
      <c r="Z216" s="12"/>
      <c r="AA216" s="13">
        <f t="shared" si="27"/>
        <v>1053500</v>
      </c>
      <c r="AB216" s="14"/>
    </row>
    <row r="217" spans="1:28" ht="15.75" hidden="1" x14ac:dyDescent="0.25">
      <c r="A217" s="28">
        <v>46044</v>
      </c>
      <c r="B217" s="10" t="s">
        <v>176</v>
      </c>
      <c r="C217" s="10"/>
      <c r="D217" s="10" t="s">
        <v>28</v>
      </c>
      <c r="E217" s="10" t="s">
        <v>300</v>
      </c>
      <c r="F217" s="10">
        <v>5</v>
      </c>
      <c r="G217" s="10" t="s">
        <v>61</v>
      </c>
      <c r="H217" s="10">
        <v>150000</v>
      </c>
      <c r="I217" s="10">
        <f t="shared" si="26"/>
        <v>750000</v>
      </c>
      <c r="J217" s="52" t="s">
        <v>30</v>
      </c>
      <c r="K217" s="10"/>
      <c r="L217" s="12">
        <f t="shared" si="21"/>
        <v>0</v>
      </c>
      <c r="M217" s="12"/>
      <c r="N217" s="12"/>
      <c r="O217" s="12">
        <f t="shared" si="22"/>
        <v>0</v>
      </c>
      <c r="P217" s="12"/>
      <c r="Q217" s="12"/>
      <c r="R217" s="12">
        <f t="shared" si="23"/>
        <v>0</v>
      </c>
      <c r="S217" s="12"/>
      <c r="T217" s="12"/>
      <c r="U217" s="12">
        <f t="shared" si="24"/>
        <v>0</v>
      </c>
      <c r="V217" s="12"/>
      <c r="W217" s="12"/>
      <c r="X217" s="12">
        <f t="shared" si="25"/>
        <v>0</v>
      </c>
      <c r="Y217" s="12"/>
      <c r="Z217" s="12"/>
      <c r="AA217" s="13">
        <f t="shared" si="27"/>
        <v>750000</v>
      </c>
      <c r="AB217" s="14"/>
    </row>
    <row r="218" spans="1:28" ht="15.75" hidden="1" x14ac:dyDescent="0.25">
      <c r="A218" s="28">
        <v>46045</v>
      </c>
      <c r="B218" s="10" t="s">
        <v>255</v>
      </c>
      <c r="C218" s="10"/>
      <c r="D218" s="10" t="s">
        <v>383</v>
      </c>
      <c r="E218" s="10" t="s">
        <v>214</v>
      </c>
      <c r="F218" s="10">
        <v>100</v>
      </c>
      <c r="G218" s="10" t="s">
        <v>26</v>
      </c>
      <c r="H218" s="10">
        <v>1700</v>
      </c>
      <c r="I218" s="10">
        <f t="shared" si="26"/>
        <v>170000</v>
      </c>
      <c r="J218" s="29" t="s">
        <v>113</v>
      </c>
      <c r="K218" s="87"/>
      <c r="L218" s="12">
        <f t="shared" si="21"/>
        <v>0</v>
      </c>
      <c r="M218" s="12"/>
      <c r="N218" s="12"/>
      <c r="O218" s="12">
        <f t="shared" si="22"/>
        <v>0</v>
      </c>
      <c r="P218" s="12"/>
      <c r="Q218" s="12"/>
      <c r="R218" s="12">
        <f t="shared" si="23"/>
        <v>0</v>
      </c>
      <c r="S218" s="12"/>
      <c r="T218" s="12"/>
      <c r="U218" s="12">
        <f t="shared" si="24"/>
        <v>170000</v>
      </c>
      <c r="V218" s="12">
        <v>170000</v>
      </c>
      <c r="W218" s="12"/>
      <c r="X218" s="12">
        <f t="shared" si="25"/>
        <v>0</v>
      </c>
      <c r="Y218" s="12"/>
      <c r="Z218" s="12"/>
      <c r="AA218" s="13">
        <f t="shared" si="27"/>
        <v>0</v>
      </c>
      <c r="AB218" s="14">
        <v>46065</v>
      </c>
    </row>
    <row r="219" spans="1:28" ht="15.75" hidden="1" x14ac:dyDescent="0.25">
      <c r="A219" s="28">
        <v>46045</v>
      </c>
      <c r="B219" s="10" t="s">
        <v>234</v>
      </c>
      <c r="C219" s="10"/>
      <c r="D219" s="10" t="s">
        <v>28</v>
      </c>
      <c r="E219" s="10" t="s">
        <v>175</v>
      </c>
      <c r="F219" s="10">
        <v>20800</v>
      </c>
      <c r="G219" s="10" t="s">
        <v>26</v>
      </c>
      <c r="H219" s="10">
        <v>900</v>
      </c>
      <c r="I219" s="10">
        <f t="shared" si="26"/>
        <v>18720000</v>
      </c>
      <c r="J219" s="29" t="s">
        <v>110</v>
      </c>
      <c r="K219" s="10"/>
      <c r="L219" s="12">
        <f t="shared" si="21"/>
        <v>0</v>
      </c>
      <c r="M219" s="12"/>
      <c r="N219" s="12"/>
      <c r="O219" s="12">
        <f t="shared" si="22"/>
        <v>18720000</v>
      </c>
      <c r="P219" s="12">
        <v>18720000</v>
      </c>
      <c r="Q219" s="12"/>
      <c r="R219" s="12">
        <f t="shared" si="23"/>
        <v>0</v>
      </c>
      <c r="S219" s="12"/>
      <c r="T219" s="12"/>
      <c r="U219" s="12">
        <f t="shared" si="24"/>
        <v>0</v>
      </c>
      <c r="V219" s="12"/>
      <c r="W219" s="12"/>
      <c r="X219" s="12">
        <f t="shared" si="25"/>
        <v>0</v>
      </c>
      <c r="Y219" s="12"/>
      <c r="Z219" s="12"/>
      <c r="AA219" s="13">
        <f t="shared" si="27"/>
        <v>0</v>
      </c>
      <c r="AB219" s="14">
        <v>46065</v>
      </c>
    </row>
    <row r="220" spans="1:28" ht="15.75" hidden="1" x14ac:dyDescent="0.25">
      <c r="A220" s="28">
        <v>46045</v>
      </c>
      <c r="B220" s="10" t="s">
        <v>234</v>
      </c>
      <c r="C220" s="10"/>
      <c r="D220" s="10" t="s">
        <v>28</v>
      </c>
      <c r="E220" s="10" t="s">
        <v>117</v>
      </c>
      <c r="F220" s="10">
        <v>20</v>
      </c>
      <c r="G220" s="10" t="s">
        <v>36</v>
      </c>
      <c r="H220" s="10">
        <v>70000</v>
      </c>
      <c r="I220" s="10">
        <f t="shared" si="26"/>
        <v>1400000</v>
      </c>
      <c r="J220" s="29" t="s">
        <v>110</v>
      </c>
      <c r="K220" s="10"/>
      <c r="L220" s="12">
        <f t="shared" si="21"/>
        <v>0</v>
      </c>
      <c r="M220" s="12"/>
      <c r="N220" s="12"/>
      <c r="O220" s="12">
        <f t="shared" si="22"/>
        <v>1400000</v>
      </c>
      <c r="P220" s="12">
        <v>1400000</v>
      </c>
      <c r="Q220" s="12"/>
      <c r="R220" s="12">
        <f t="shared" si="23"/>
        <v>0</v>
      </c>
      <c r="S220" s="12"/>
      <c r="T220" s="12"/>
      <c r="U220" s="12">
        <f t="shared" si="24"/>
        <v>0</v>
      </c>
      <c r="V220" s="12"/>
      <c r="W220" s="12"/>
      <c r="X220" s="12">
        <f t="shared" si="25"/>
        <v>0</v>
      </c>
      <c r="Y220" s="12"/>
      <c r="Z220" s="12"/>
      <c r="AA220" s="13">
        <f t="shared" si="27"/>
        <v>0</v>
      </c>
      <c r="AB220" s="14">
        <v>46065</v>
      </c>
    </row>
    <row r="221" spans="1:28" ht="15.75" hidden="1" x14ac:dyDescent="0.25">
      <c r="A221" s="28">
        <v>46045</v>
      </c>
      <c r="B221" s="10" t="s">
        <v>234</v>
      </c>
      <c r="C221" s="10"/>
      <c r="D221" s="10" t="s">
        <v>28</v>
      </c>
      <c r="E221" s="10" t="s">
        <v>264</v>
      </c>
      <c r="F221" s="10">
        <v>7</v>
      </c>
      <c r="G221" s="10" t="s">
        <v>192</v>
      </c>
      <c r="H221" s="10">
        <v>900000</v>
      </c>
      <c r="I221" s="10">
        <f t="shared" si="26"/>
        <v>6300000</v>
      </c>
      <c r="J221" s="29" t="s">
        <v>110</v>
      </c>
      <c r="K221" s="10"/>
      <c r="L221" s="12">
        <f t="shared" si="21"/>
        <v>0</v>
      </c>
      <c r="M221" s="12"/>
      <c r="N221" s="12"/>
      <c r="O221" s="12">
        <f t="shared" si="22"/>
        <v>6300000</v>
      </c>
      <c r="P221" s="12">
        <v>6300000</v>
      </c>
      <c r="Q221" s="12"/>
      <c r="R221" s="12">
        <f t="shared" si="23"/>
        <v>0</v>
      </c>
      <c r="S221" s="12"/>
      <c r="T221" s="12"/>
      <c r="U221" s="12">
        <f t="shared" si="24"/>
        <v>0</v>
      </c>
      <c r="V221" s="12"/>
      <c r="W221" s="12"/>
      <c r="X221" s="12">
        <f t="shared" si="25"/>
        <v>0</v>
      </c>
      <c r="Y221" s="12"/>
      <c r="Z221" s="12"/>
      <c r="AA221" s="13">
        <f t="shared" si="27"/>
        <v>0</v>
      </c>
      <c r="AB221" s="14">
        <v>46065</v>
      </c>
    </row>
    <row r="222" spans="1:28" ht="15.75" hidden="1" x14ac:dyDescent="0.25">
      <c r="A222" s="28">
        <v>46045</v>
      </c>
      <c r="B222" s="10" t="s">
        <v>234</v>
      </c>
      <c r="C222" s="10"/>
      <c r="D222" s="10" t="s">
        <v>28</v>
      </c>
      <c r="E222" s="10" t="s">
        <v>191</v>
      </c>
      <c r="F222" s="10">
        <v>5</v>
      </c>
      <c r="G222" s="10" t="s">
        <v>192</v>
      </c>
      <c r="H222" s="10">
        <v>900000</v>
      </c>
      <c r="I222" s="10">
        <f t="shared" si="26"/>
        <v>4500000</v>
      </c>
      <c r="J222" s="29" t="s">
        <v>110</v>
      </c>
      <c r="K222" s="10"/>
      <c r="L222" s="12">
        <f t="shared" si="21"/>
        <v>0</v>
      </c>
      <c r="M222" s="12"/>
      <c r="N222" s="12"/>
      <c r="O222" s="12">
        <f t="shared" si="22"/>
        <v>4500000</v>
      </c>
      <c r="P222" s="12">
        <v>4500000</v>
      </c>
      <c r="Q222" s="12"/>
      <c r="R222" s="12">
        <f t="shared" si="23"/>
        <v>0</v>
      </c>
      <c r="S222" s="12"/>
      <c r="T222" s="12"/>
      <c r="U222" s="12">
        <f t="shared" si="24"/>
        <v>0</v>
      </c>
      <c r="V222" s="12"/>
      <c r="W222" s="12"/>
      <c r="X222" s="12">
        <f t="shared" si="25"/>
        <v>0</v>
      </c>
      <c r="Y222" s="12"/>
      <c r="Z222" s="12"/>
      <c r="AA222" s="13">
        <f t="shared" si="27"/>
        <v>0</v>
      </c>
      <c r="AB222" s="14">
        <v>46065</v>
      </c>
    </row>
    <row r="223" spans="1:28" ht="15.75" hidden="1" x14ac:dyDescent="0.25">
      <c r="A223" s="28">
        <v>46045</v>
      </c>
      <c r="B223" s="10" t="s">
        <v>234</v>
      </c>
      <c r="C223" s="10"/>
      <c r="D223" s="10" t="s">
        <v>28</v>
      </c>
      <c r="E223" s="10" t="s">
        <v>38</v>
      </c>
      <c r="F223" s="10">
        <v>25</v>
      </c>
      <c r="G223" s="10" t="s">
        <v>39</v>
      </c>
      <c r="H223" s="10">
        <v>45000</v>
      </c>
      <c r="I223" s="10">
        <f t="shared" si="26"/>
        <v>1125000</v>
      </c>
      <c r="J223" s="29" t="s">
        <v>110</v>
      </c>
      <c r="K223" s="10"/>
      <c r="L223" s="12">
        <f t="shared" si="21"/>
        <v>0</v>
      </c>
      <c r="M223" s="12"/>
      <c r="N223" s="12"/>
      <c r="O223" s="12">
        <f t="shared" si="22"/>
        <v>1125000</v>
      </c>
      <c r="P223" s="12">
        <v>1125000</v>
      </c>
      <c r="Q223" s="12"/>
      <c r="R223" s="12">
        <f t="shared" si="23"/>
        <v>0</v>
      </c>
      <c r="S223" s="12"/>
      <c r="T223" s="12"/>
      <c r="U223" s="12">
        <f t="shared" si="24"/>
        <v>0</v>
      </c>
      <c r="V223" s="12"/>
      <c r="W223" s="12"/>
      <c r="X223" s="12">
        <f t="shared" si="25"/>
        <v>0</v>
      </c>
      <c r="Y223" s="12"/>
      <c r="Z223" s="12"/>
      <c r="AA223" s="13">
        <f t="shared" si="27"/>
        <v>0</v>
      </c>
      <c r="AB223" s="14">
        <v>46065</v>
      </c>
    </row>
    <row r="224" spans="1:28" ht="15.75" hidden="1" x14ac:dyDescent="0.25">
      <c r="A224" s="28">
        <v>46045</v>
      </c>
      <c r="B224" s="10" t="s">
        <v>391</v>
      </c>
      <c r="C224" s="10"/>
      <c r="D224" s="10" t="s">
        <v>28</v>
      </c>
      <c r="E224" s="10" t="s">
        <v>198</v>
      </c>
      <c r="F224" s="10">
        <v>31.6</v>
      </c>
      <c r="G224" s="10" t="s">
        <v>36</v>
      </c>
      <c r="H224" s="10">
        <v>43000</v>
      </c>
      <c r="I224" s="10">
        <f t="shared" si="26"/>
        <v>1358800</v>
      </c>
      <c r="J224" s="29" t="s">
        <v>110</v>
      </c>
      <c r="K224" s="95"/>
      <c r="L224" s="12">
        <f t="shared" si="21"/>
        <v>0</v>
      </c>
      <c r="M224" s="12"/>
      <c r="N224" s="12"/>
      <c r="O224" s="12">
        <f t="shared" si="22"/>
        <v>1358800</v>
      </c>
      <c r="P224" s="12">
        <v>1358800</v>
      </c>
      <c r="Q224" s="12"/>
      <c r="R224" s="12">
        <f t="shared" si="23"/>
        <v>0</v>
      </c>
      <c r="S224" s="12"/>
      <c r="T224" s="12"/>
      <c r="U224" s="12">
        <f t="shared" si="24"/>
        <v>0</v>
      </c>
      <c r="V224" s="12"/>
      <c r="W224" s="12"/>
      <c r="X224" s="12">
        <f t="shared" si="25"/>
        <v>0</v>
      </c>
      <c r="Y224" s="12"/>
      <c r="Z224" s="12"/>
      <c r="AA224" s="13">
        <f t="shared" si="27"/>
        <v>0</v>
      </c>
      <c r="AB224" s="14">
        <v>46055</v>
      </c>
    </row>
    <row r="225" spans="1:28" ht="15.75" hidden="1" x14ac:dyDescent="0.25">
      <c r="A225" s="28">
        <v>46045</v>
      </c>
      <c r="B225" s="10" t="s">
        <v>230</v>
      </c>
      <c r="C225" s="10"/>
      <c r="D225" s="10" t="s">
        <v>383</v>
      </c>
      <c r="E225" s="10" t="s">
        <v>98</v>
      </c>
      <c r="F225" s="10">
        <v>400</v>
      </c>
      <c r="G225" s="10" t="s">
        <v>26</v>
      </c>
      <c r="H225" s="10">
        <v>1800</v>
      </c>
      <c r="I225" s="10">
        <f t="shared" si="26"/>
        <v>720000</v>
      </c>
      <c r="J225" s="29" t="s">
        <v>110</v>
      </c>
      <c r="K225" s="10"/>
      <c r="L225" s="12">
        <f t="shared" si="21"/>
        <v>0</v>
      </c>
      <c r="M225" s="12"/>
      <c r="N225" s="12"/>
      <c r="O225" s="12">
        <f t="shared" si="22"/>
        <v>0</v>
      </c>
      <c r="P225" s="12"/>
      <c r="Q225" s="12"/>
      <c r="R225" s="12">
        <f t="shared" si="23"/>
        <v>520000</v>
      </c>
      <c r="S225" s="12">
        <v>520000</v>
      </c>
      <c r="T225" s="12"/>
      <c r="U225" s="12">
        <f t="shared" si="24"/>
        <v>200000</v>
      </c>
      <c r="V225" s="12">
        <v>200000</v>
      </c>
      <c r="W225" s="12"/>
      <c r="X225" s="12">
        <f t="shared" si="25"/>
        <v>0</v>
      </c>
      <c r="Y225" s="12"/>
      <c r="Z225" s="12"/>
      <c r="AA225" s="13">
        <f t="shared" si="27"/>
        <v>0</v>
      </c>
      <c r="AB225" s="14">
        <v>46045</v>
      </c>
    </row>
    <row r="226" spans="1:28" ht="15.75" hidden="1" x14ac:dyDescent="0.25">
      <c r="A226" s="28">
        <v>46046</v>
      </c>
      <c r="B226" s="10" t="s">
        <v>368</v>
      </c>
      <c r="C226" s="10"/>
      <c r="D226" s="10" t="s">
        <v>493</v>
      </c>
      <c r="E226" s="10" t="s">
        <v>117</v>
      </c>
      <c r="F226" s="10">
        <v>1</v>
      </c>
      <c r="G226" s="10" t="s">
        <v>36</v>
      </c>
      <c r="H226" s="10">
        <v>70000</v>
      </c>
      <c r="I226" s="10">
        <f t="shared" si="26"/>
        <v>70000</v>
      </c>
      <c r="J226" s="29" t="s">
        <v>40</v>
      </c>
      <c r="K226" s="87"/>
      <c r="L226" s="12">
        <f t="shared" si="21"/>
        <v>100000</v>
      </c>
      <c r="M226" s="12">
        <v>100000</v>
      </c>
      <c r="N226" s="12"/>
      <c r="O226" s="12">
        <f t="shared" si="22"/>
        <v>0</v>
      </c>
      <c r="P226" s="12"/>
      <c r="Q226" s="12"/>
      <c r="R226" s="12">
        <f t="shared" si="23"/>
        <v>0</v>
      </c>
      <c r="S226" s="12"/>
      <c r="T226" s="12"/>
      <c r="U226" s="12">
        <f t="shared" si="24"/>
        <v>0</v>
      </c>
      <c r="V226" s="12"/>
      <c r="W226" s="12"/>
      <c r="X226" s="12">
        <f t="shared" si="25"/>
        <v>0</v>
      </c>
      <c r="Y226" s="12"/>
      <c r="Z226" s="12"/>
      <c r="AA226" s="13">
        <f t="shared" si="27"/>
        <v>-30000</v>
      </c>
      <c r="AB226" s="14">
        <v>46077</v>
      </c>
    </row>
    <row r="227" spans="1:28" ht="15.75" hidden="1" x14ac:dyDescent="0.25">
      <c r="A227" s="28">
        <v>46046</v>
      </c>
      <c r="B227" s="10" t="s">
        <v>234</v>
      </c>
      <c r="C227" s="10"/>
      <c r="D227" s="10" t="s">
        <v>28</v>
      </c>
      <c r="E227" s="10" t="s">
        <v>175</v>
      </c>
      <c r="F227" s="10">
        <v>20800</v>
      </c>
      <c r="G227" s="10" t="s">
        <v>26</v>
      </c>
      <c r="H227" s="10">
        <v>900</v>
      </c>
      <c r="I227" s="10">
        <f t="shared" si="26"/>
        <v>18720000</v>
      </c>
      <c r="J227" s="29" t="s">
        <v>110</v>
      </c>
      <c r="K227" s="10"/>
      <c r="L227" s="12">
        <f t="shared" si="21"/>
        <v>0</v>
      </c>
      <c r="M227" s="12"/>
      <c r="N227" s="12"/>
      <c r="O227" s="12">
        <f t="shared" si="22"/>
        <v>18720000</v>
      </c>
      <c r="P227" s="12">
        <v>18720000</v>
      </c>
      <c r="Q227" s="12"/>
      <c r="R227" s="12">
        <f t="shared" si="23"/>
        <v>0</v>
      </c>
      <c r="S227" s="12"/>
      <c r="T227" s="12"/>
      <c r="U227" s="12">
        <f t="shared" si="24"/>
        <v>0</v>
      </c>
      <c r="V227" s="12"/>
      <c r="W227" s="12"/>
      <c r="X227" s="12">
        <f t="shared" si="25"/>
        <v>0</v>
      </c>
      <c r="Y227" s="12"/>
      <c r="Z227" s="12"/>
      <c r="AA227" s="13">
        <f t="shared" si="27"/>
        <v>0</v>
      </c>
      <c r="AB227" s="14">
        <v>46065</v>
      </c>
    </row>
    <row r="228" spans="1:28" ht="15.75" hidden="1" x14ac:dyDescent="0.25">
      <c r="A228" s="28">
        <v>46046</v>
      </c>
      <c r="B228" s="10" t="s">
        <v>234</v>
      </c>
      <c r="C228" s="10"/>
      <c r="D228" s="10" t="s">
        <v>28</v>
      </c>
      <c r="E228" s="10" t="s">
        <v>51</v>
      </c>
      <c r="F228" s="10">
        <v>20</v>
      </c>
      <c r="G228" s="10" t="s">
        <v>22</v>
      </c>
      <c r="H228" s="10">
        <v>400000</v>
      </c>
      <c r="I228" s="10">
        <f t="shared" si="26"/>
        <v>8000000</v>
      </c>
      <c r="J228" s="29" t="s">
        <v>110</v>
      </c>
      <c r="K228" s="10"/>
      <c r="L228" s="12">
        <f t="shared" si="21"/>
        <v>0</v>
      </c>
      <c r="M228" s="12"/>
      <c r="N228" s="12"/>
      <c r="O228" s="12">
        <f t="shared" si="22"/>
        <v>8000000</v>
      </c>
      <c r="P228" s="12">
        <v>8000000</v>
      </c>
      <c r="Q228" s="12"/>
      <c r="R228" s="12">
        <f t="shared" si="23"/>
        <v>0</v>
      </c>
      <c r="S228" s="12"/>
      <c r="T228" s="12"/>
      <c r="U228" s="12">
        <f t="shared" si="24"/>
        <v>0</v>
      </c>
      <c r="V228" s="12"/>
      <c r="W228" s="12"/>
      <c r="X228" s="12">
        <f t="shared" si="25"/>
        <v>0</v>
      </c>
      <c r="Y228" s="12"/>
      <c r="Z228" s="12"/>
      <c r="AA228" s="13">
        <f t="shared" si="27"/>
        <v>0</v>
      </c>
      <c r="AB228" s="14">
        <v>46065</v>
      </c>
    </row>
    <row r="229" spans="1:28" ht="15.75" x14ac:dyDescent="0.25">
      <c r="A229" s="28">
        <v>46046</v>
      </c>
      <c r="B229" s="10" t="s">
        <v>272</v>
      </c>
      <c r="C229" s="10"/>
      <c r="D229" s="10"/>
      <c r="E229" s="10" t="s">
        <v>92</v>
      </c>
      <c r="F229" s="10">
        <v>170.8</v>
      </c>
      <c r="G229" s="10" t="s">
        <v>36</v>
      </c>
      <c r="H229" s="10">
        <v>43000</v>
      </c>
      <c r="I229" s="10">
        <f t="shared" si="26"/>
        <v>7344400.0000000009</v>
      </c>
      <c r="J229" s="115" t="s">
        <v>90</v>
      </c>
      <c r="K229" s="10"/>
      <c r="L229" s="12">
        <f t="shared" si="21"/>
        <v>0</v>
      </c>
      <c r="M229" s="12"/>
      <c r="N229" s="12"/>
      <c r="O229" s="12">
        <f t="shared" si="22"/>
        <v>0</v>
      </c>
      <c r="P229" s="12"/>
      <c r="Q229" s="12"/>
      <c r="R229" s="12">
        <f t="shared" si="23"/>
        <v>0</v>
      </c>
      <c r="S229" s="12"/>
      <c r="T229" s="12"/>
      <c r="U229" s="12">
        <f t="shared" si="24"/>
        <v>0</v>
      </c>
      <c r="V229" s="12"/>
      <c r="W229" s="12"/>
      <c r="X229" s="12">
        <f t="shared" si="25"/>
        <v>0</v>
      </c>
      <c r="Y229" s="12"/>
      <c r="Z229" s="12"/>
      <c r="AA229" s="13">
        <f t="shared" si="27"/>
        <v>7344400.0000000009</v>
      </c>
      <c r="AB229" s="14"/>
    </row>
    <row r="230" spans="1:28" ht="15.75" x14ac:dyDescent="0.25">
      <c r="A230" s="28">
        <v>46046</v>
      </c>
      <c r="B230" s="10" t="s">
        <v>272</v>
      </c>
      <c r="C230" s="10"/>
      <c r="D230" s="10"/>
      <c r="E230" s="10" t="s">
        <v>92</v>
      </c>
      <c r="F230" s="10">
        <v>34.200000000000003</v>
      </c>
      <c r="G230" s="10" t="s">
        <v>36</v>
      </c>
      <c r="H230" s="10">
        <v>43000</v>
      </c>
      <c r="I230" s="10">
        <f t="shared" si="26"/>
        <v>1470600.0000000002</v>
      </c>
      <c r="J230" s="115" t="s">
        <v>90</v>
      </c>
      <c r="K230" s="10"/>
      <c r="L230" s="12">
        <f t="shared" si="21"/>
        <v>0</v>
      </c>
      <c r="M230" s="12"/>
      <c r="N230" s="12"/>
      <c r="O230" s="12">
        <f t="shared" si="22"/>
        <v>0</v>
      </c>
      <c r="P230" s="12"/>
      <c r="Q230" s="12"/>
      <c r="R230" s="12">
        <f t="shared" si="23"/>
        <v>0</v>
      </c>
      <c r="S230" s="12"/>
      <c r="T230" s="12"/>
      <c r="U230" s="12">
        <f t="shared" si="24"/>
        <v>0</v>
      </c>
      <c r="V230" s="12"/>
      <c r="W230" s="12"/>
      <c r="X230" s="12">
        <f t="shared" si="25"/>
        <v>0</v>
      </c>
      <c r="Y230" s="12"/>
      <c r="Z230" s="12"/>
      <c r="AA230" s="13">
        <f t="shared" si="27"/>
        <v>1470600.0000000002</v>
      </c>
      <c r="AB230" s="14"/>
    </row>
    <row r="231" spans="1:28" ht="15.75" x14ac:dyDescent="0.25">
      <c r="A231" s="28">
        <v>46046</v>
      </c>
      <c r="B231" s="10" t="s">
        <v>272</v>
      </c>
      <c r="C231" s="10"/>
      <c r="D231" s="10"/>
      <c r="E231" s="10" t="s">
        <v>315</v>
      </c>
      <c r="F231" s="10">
        <v>106.8</v>
      </c>
      <c r="G231" s="10" t="s">
        <v>36</v>
      </c>
      <c r="H231" s="10">
        <v>43000</v>
      </c>
      <c r="I231" s="10">
        <f t="shared" si="26"/>
        <v>4592400</v>
      </c>
      <c r="J231" s="115" t="s">
        <v>90</v>
      </c>
      <c r="K231" s="10"/>
      <c r="L231" s="12">
        <f t="shared" si="21"/>
        <v>0</v>
      </c>
      <c r="M231" s="12"/>
      <c r="N231" s="12"/>
      <c r="O231" s="12">
        <f t="shared" si="22"/>
        <v>0</v>
      </c>
      <c r="P231" s="12"/>
      <c r="Q231" s="12"/>
      <c r="R231" s="12">
        <f t="shared" si="23"/>
        <v>0</v>
      </c>
      <c r="S231" s="12"/>
      <c r="T231" s="12"/>
      <c r="U231" s="12">
        <f t="shared" si="24"/>
        <v>0</v>
      </c>
      <c r="V231" s="12"/>
      <c r="W231" s="12"/>
      <c r="X231" s="12">
        <f t="shared" si="25"/>
        <v>0</v>
      </c>
      <c r="Y231" s="12"/>
      <c r="Z231" s="12"/>
      <c r="AA231" s="13">
        <f t="shared" si="27"/>
        <v>4592400</v>
      </c>
      <c r="AB231" s="14"/>
    </row>
    <row r="232" spans="1:28" ht="15.75" x14ac:dyDescent="0.25">
      <c r="A232" s="28">
        <v>46046</v>
      </c>
      <c r="B232" s="10" t="s">
        <v>272</v>
      </c>
      <c r="C232" s="10"/>
      <c r="D232" s="10"/>
      <c r="E232" s="10" t="s">
        <v>80</v>
      </c>
      <c r="F232" s="10">
        <v>23.1</v>
      </c>
      <c r="G232" s="10" t="s">
        <v>36</v>
      </c>
      <c r="H232" s="10">
        <v>43000</v>
      </c>
      <c r="I232" s="10">
        <f t="shared" si="26"/>
        <v>993300.00000000012</v>
      </c>
      <c r="J232" s="115" t="s">
        <v>90</v>
      </c>
      <c r="K232" s="10"/>
      <c r="L232" s="12">
        <f t="shared" si="21"/>
        <v>0</v>
      </c>
      <c r="M232" s="12"/>
      <c r="N232" s="12"/>
      <c r="O232" s="12">
        <f t="shared" si="22"/>
        <v>0</v>
      </c>
      <c r="P232" s="12"/>
      <c r="Q232" s="12"/>
      <c r="R232" s="12">
        <f t="shared" si="23"/>
        <v>0</v>
      </c>
      <c r="S232" s="12"/>
      <c r="T232" s="12"/>
      <c r="U232" s="12">
        <f t="shared" si="24"/>
        <v>0</v>
      </c>
      <c r="V232" s="12"/>
      <c r="W232" s="12"/>
      <c r="X232" s="12">
        <f t="shared" si="25"/>
        <v>0</v>
      </c>
      <c r="Y232" s="12"/>
      <c r="Z232" s="12"/>
      <c r="AA232" s="13">
        <f t="shared" si="27"/>
        <v>993300.00000000012</v>
      </c>
      <c r="AB232" s="14"/>
    </row>
    <row r="233" spans="1:28" ht="15.75" x14ac:dyDescent="0.25">
      <c r="A233" s="28">
        <v>46046</v>
      </c>
      <c r="B233" s="10" t="s">
        <v>272</v>
      </c>
      <c r="C233" s="10"/>
      <c r="D233" s="10"/>
      <c r="E233" s="10" t="s">
        <v>168</v>
      </c>
      <c r="F233" s="10">
        <v>31.3</v>
      </c>
      <c r="G233" s="10" t="s">
        <v>36</v>
      </c>
      <c r="H233" s="10">
        <v>43000</v>
      </c>
      <c r="I233" s="10">
        <f t="shared" si="26"/>
        <v>1345900</v>
      </c>
      <c r="J233" s="115" t="s">
        <v>90</v>
      </c>
      <c r="K233" s="10"/>
      <c r="L233" s="12">
        <f t="shared" si="21"/>
        <v>0</v>
      </c>
      <c r="M233" s="12"/>
      <c r="N233" s="12"/>
      <c r="O233" s="12">
        <f t="shared" si="22"/>
        <v>0</v>
      </c>
      <c r="P233" s="12"/>
      <c r="Q233" s="12"/>
      <c r="R233" s="12">
        <f t="shared" si="23"/>
        <v>0</v>
      </c>
      <c r="S233" s="12"/>
      <c r="T233" s="12"/>
      <c r="U233" s="12">
        <f t="shared" si="24"/>
        <v>0</v>
      </c>
      <c r="V233" s="12"/>
      <c r="W233" s="12"/>
      <c r="X233" s="12">
        <f t="shared" si="25"/>
        <v>0</v>
      </c>
      <c r="Y233" s="12"/>
      <c r="Z233" s="12"/>
      <c r="AA233" s="13">
        <f t="shared" si="27"/>
        <v>1345900</v>
      </c>
      <c r="AB233" s="14"/>
    </row>
    <row r="234" spans="1:28" ht="15.75" hidden="1" x14ac:dyDescent="0.25">
      <c r="A234" s="28">
        <v>46048</v>
      </c>
      <c r="B234" s="10" t="s">
        <v>208</v>
      </c>
      <c r="C234" s="10"/>
      <c r="D234" s="10" t="s">
        <v>32</v>
      </c>
      <c r="E234" s="10" t="s">
        <v>92</v>
      </c>
      <c r="F234" s="10">
        <v>34</v>
      </c>
      <c r="G234" s="10" t="s">
        <v>36</v>
      </c>
      <c r="H234" s="10">
        <v>43000</v>
      </c>
      <c r="I234" s="10">
        <f t="shared" si="26"/>
        <v>1462000</v>
      </c>
      <c r="J234" s="52" t="s">
        <v>30</v>
      </c>
      <c r="K234" s="87"/>
      <c r="L234" s="12">
        <f t="shared" si="21"/>
        <v>0</v>
      </c>
      <c r="M234" s="12"/>
      <c r="N234" s="12"/>
      <c r="O234" s="12">
        <f t="shared" si="22"/>
        <v>0</v>
      </c>
      <c r="P234" s="12"/>
      <c r="Q234" s="12"/>
      <c r="R234" s="12">
        <f t="shared" si="23"/>
        <v>0</v>
      </c>
      <c r="S234" s="12"/>
      <c r="T234" s="12"/>
      <c r="U234" s="12">
        <f t="shared" si="24"/>
        <v>1437000</v>
      </c>
      <c r="V234" s="12">
        <v>1437000</v>
      </c>
      <c r="W234" s="12"/>
      <c r="X234" s="12">
        <f t="shared" si="25"/>
        <v>0</v>
      </c>
      <c r="Y234" s="12"/>
      <c r="Z234" s="12"/>
      <c r="AA234" s="13">
        <f t="shared" si="27"/>
        <v>25000</v>
      </c>
      <c r="AB234" s="14">
        <v>46055</v>
      </c>
    </row>
    <row r="235" spans="1:28" ht="15.75" hidden="1" x14ac:dyDescent="0.25">
      <c r="A235" s="28">
        <v>46048</v>
      </c>
      <c r="B235" s="10" t="s">
        <v>200</v>
      </c>
      <c r="C235" s="10"/>
      <c r="D235" s="10" t="s">
        <v>383</v>
      </c>
      <c r="E235" s="10" t="s">
        <v>201</v>
      </c>
      <c r="F235" s="10">
        <v>500</v>
      </c>
      <c r="G235" s="10" t="s">
        <v>39</v>
      </c>
      <c r="H235" s="10">
        <v>42500</v>
      </c>
      <c r="I235" s="10">
        <f t="shared" si="26"/>
        <v>21250000</v>
      </c>
      <c r="J235" s="29" t="s">
        <v>113</v>
      </c>
      <c r="K235" s="10"/>
      <c r="L235" s="12">
        <f t="shared" si="21"/>
        <v>21250000</v>
      </c>
      <c r="M235" s="12">
        <v>20190000</v>
      </c>
      <c r="N235" s="12">
        <v>1060000</v>
      </c>
      <c r="O235" s="12">
        <f t="shared" si="22"/>
        <v>0</v>
      </c>
      <c r="P235" s="12"/>
      <c r="Q235" s="12"/>
      <c r="R235" s="12">
        <f t="shared" si="23"/>
        <v>0</v>
      </c>
      <c r="S235" s="12"/>
      <c r="T235" s="12"/>
      <c r="U235" s="12">
        <f t="shared" si="24"/>
        <v>0</v>
      </c>
      <c r="V235" s="12"/>
      <c r="W235" s="12"/>
      <c r="X235" s="12">
        <f t="shared" si="25"/>
        <v>0</v>
      </c>
      <c r="Y235" s="12"/>
      <c r="Z235" s="12"/>
      <c r="AA235" s="13">
        <f t="shared" si="27"/>
        <v>0</v>
      </c>
      <c r="AB235" s="14">
        <v>46063</v>
      </c>
    </row>
    <row r="236" spans="1:28" ht="15.75" hidden="1" x14ac:dyDescent="0.25">
      <c r="A236" s="28">
        <v>46048</v>
      </c>
      <c r="B236" s="10" t="s">
        <v>200</v>
      </c>
      <c r="C236" s="10"/>
      <c r="D236" s="10" t="s">
        <v>383</v>
      </c>
      <c r="E236" s="10" t="s">
        <v>130</v>
      </c>
      <c r="F236" s="10">
        <v>20</v>
      </c>
      <c r="G236" s="10" t="s">
        <v>67</v>
      </c>
      <c r="H236" s="10">
        <v>50000</v>
      </c>
      <c r="I236" s="10">
        <f t="shared" si="26"/>
        <v>1000000</v>
      </c>
      <c r="J236" s="52" t="s">
        <v>90</v>
      </c>
      <c r="K236" s="10"/>
      <c r="L236" s="12">
        <f t="shared" si="21"/>
        <v>0</v>
      </c>
      <c r="M236" s="12"/>
      <c r="N236" s="12"/>
      <c r="O236" s="12">
        <f t="shared" si="22"/>
        <v>0</v>
      </c>
      <c r="P236" s="12"/>
      <c r="Q236" s="12"/>
      <c r="R236" s="12">
        <f t="shared" si="23"/>
        <v>0</v>
      </c>
      <c r="S236" s="12"/>
      <c r="T236" s="12"/>
      <c r="U236" s="12">
        <f t="shared" si="24"/>
        <v>0</v>
      </c>
      <c r="V236" s="12"/>
      <c r="W236" s="12"/>
      <c r="X236" s="12">
        <f t="shared" si="25"/>
        <v>0</v>
      </c>
      <c r="Y236" s="12"/>
      <c r="Z236" s="12"/>
      <c r="AA236" s="13">
        <f t="shared" si="27"/>
        <v>1000000</v>
      </c>
      <c r="AB236" s="14"/>
    </row>
    <row r="237" spans="1:28" ht="15.75" hidden="1" x14ac:dyDescent="0.25">
      <c r="A237" s="28">
        <v>46048</v>
      </c>
      <c r="B237" s="10" t="s">
        <v>200</v>
      </c>
      <c r="C237" s="10"/>
      <c r="D237" s="10" t="s">
        <v>383</v>
      </c>
      <c r="E237" s="10" t="s">
        <v>114</v>
      </c>
      <c r="F237" s="10">
        <v>20</v>
      </c>
      <c r="G237" s="10" t="s">
        <v>67</v>
      </c>
      <c r="H237" s="10">
        <v>50000</v>
      </c>
      <c r="I237" s="10">
        <f t="shared" si="26"/>
        <v>1000000</v>
      </c>
      <c r="J237" s="52" t="s">
        <v>90</v>
      </c>
      <c r="K237" s="10"/>
      <c r="L237" s="12">
        <f t="shared" si="21"/>
        <v>0</v>
      </c>
      <c r="M237" s="12"/>
      <c r="N237" s="12"/>
      <c r="O237" s="12">
        <f t="shared" si="22"/>
        <v>0</v>
      </c>
      <c r="P237" s="12"/>
      <c r="Q237" s="12"/>
      <c r="R237" s="12">
        <f t="shared" si="23"/>
        <v>0</v>
      </c>
      <c r="S237" s="12"/>
      <c r="T237" s="12"/>
      <c r="U237" s="12">
        <f t="shared" si="24"/>
        <v>0</v>
      </c>
      <c r="V237" s="12"/>
      <c r="W237" s="12"/>
      <c r="X237" s="12">
        <f t="shared" si="25"/>
        <v>0</v>
      </c>
      <c r="Y237" s="12"/>
      <c r="Z237" s="12"/>
      <c r="AA237" s="13">
        <f t="shared" si="27"/>
        <v>1000000</v>
      </c>
      <c r="AB237" s="14"/>
    </row>
    <row r="238" spans="1:28" ht="15.75" hidden="1" x14ac:dyDescent="0.25">
      <c r="A238" s="28">
        <v>46048</v>
      </c>
      <c r="B238" s="10" t="s">
        <v>200</v>
      </c>
      <c r="C238" s="10"/>
      <c r="D238" s="10" t="s">
        <v>383</v>
      </c>
      <c r="E238" s="10" t="s">
        <v>116</v>
      </c>
      <c r="F238" s="10">
        <v>20</v>
      </c>
      <c r="G238" s="10" t="s">
        <v>67</v>
      </c>
      <c r="H238" s="10">
        <v>65000</v>
      </c>
      <c r="I238" s="10">
        <f t="shared" si="26"/>
        <v>1300000</v>
      </c>
      <c r="J238" s="52" t="s">
        <v>90</v>
      </c>
      <c r="K238" s="10"/>
      <c r="L238" s="12">
        <f t="shared" si="21"/>
        <v>0</v>
      </c>
      <c r="M238" s="12"/>
      <c r="N238" s="12"/>
      <c r="O238" s="12">
        <f t="shared" si="22"/>
        <v>0</v>
      </c>
      <c r="P238" s="12"/>
      <c r="Q238" s="12"/>
      <c r="R238" s="12">
        <f t="shared" si="23"/>
        <v>0</v>
      </c>
      <c r="S238" s="12"/>
      <c r="T238" s="12"/>
      <c r="U238" s="12">
        <f t="shared" si="24"/>
        <v>0</v>
      </c>
      <c r="V238" s="12"/>
      <c r="W238" s="12"/>
      <c r="X238" s="12">
        <f t="shared" si="25"/>
        <v>0</v>
      </c>
      <c r="Y238" s="12"/>
      <c r="Z238" s="12"/>
      <c r="AA238" s="13">
        <f t="shared" si="27"/>
        <v>1300000</v>
      </c>
      <c r="AB238" s="14"/>
    </row>
    <row r="239" spans="1:28" ht="15.75" hidden="1" x14ac:dyDescent="0.25">
      <c r="A239" s="28">
        <v>46048</v>
      </c>
      <c r="B239" s="10" t="s">
        <v>176</v>
      </c>
      <c r="C239" s="10"/>
      <c r="D239" s="10" t="s">
        <v>383</v>
      </c>
      <c r="E239" s="10" t="s">
        <v>175</v>
      </c>
      <c r="F239" s="10">
        <v>6000</v>
      </c>
      <c r="G239" s="10" t="s">
        <v>26</v>
      </c>
      <c r="H239" s="10">
        <v>875</v>
      </c>
      <c r="I239" s="10">
        <f t="shared" si="26"/>
        <v>5250000</v>
      </c>
      <c r="J239" s="52" t="s">
        <v>30</v>
      </c>
      <c r="K239" s="10"/>
      <c r="L239" s="12">
        <f t="shared" si="21"/>
        <v>0</v>
      </c>
      <c r="M239" s="12"/>
      <c r="N239" s="12"/>
      <c r="O239" s="12">
        <f t="shared" si="22"/>
        <v>0</v>
      </c>
      <c r="P239" s="12"/>
      <c r="Q239" s="12"/>
      <c r="R239" s="12">
        <f t="shared" si="23"/>
        <v>0</v>
      </c>
      <c r="S239" s="12"/>
      <c r="T239" s="12"/>
      <c r="U239" s="12">
        <f t="shared" si="24"/>
        <v>0</v>
      </c>
      <c r="V239" s="12"/>
      <c r="W239" s="12"/>
      <c r="X239" s="12">
        <f t="shared" si="25"/>
        <v>0</v>
      </c>
      <c r="Y239" s="12"/>
      <c r="Z239" s="12"/>
      <c r="AA239" s="13">
        <f t="shared" si="27"/>
        <v>5250000</v>
      </c>
      <c r="AB239" s="14"/>
    </row>
    <row r="240" spans="1:28" ht="15.75" hidden="1" x14ac:dyDescent="0.25">
      <c r="A240" s="28">
        <v>46049</v>
      </c>
      <c r="B240" s="10" t="s">
        <v>234</v>
      </c>
      <c r="C240" s="10"/>
      <c r="D240" s="10" t="s">
        <v>32</v>
      </c>
      <c r="E240" s="10" t="s">
        <v>205</v>
      </c>
      <c r="F240" s="10">
        <v>25</v>
      </c>
      <c r="G240" s="10" t="s">
        <v>36</v>
      </c>
      <c r="H240" s="10">
        <v>55000</v>
      </c>
      <c r="I240" s="10">
        <f t="shared" si="26"/>
        <v>1375000</v>
      </c>
      <c r="J240" s="29" t="s">
        <v>110</v>
      </c>
      <c r="K240" s="10"/>
      <c r="L240" s="12">
        <f t="shared" si="21"/>
        <v>0</v>
      </c>
      <c r="M240" s="12"/>
      <c r="N240" s="12"/>
      <c r="O240" s="12">
        <f t="shared" si="22"/>
        <v>1375000</v>
      </c>
      <c r="P240" s="12">
        <v>1375000</v>
      </c>
      <c r="Q240" s="12"/>
      <c r="R240" s="12">
        <f t="shared" si="23"/>
        <v>0</v>
      </c>
      <c r="S240" s="12"/>
      <c r="T240" s="12"/>
      <c r="U240" s="12">
        <f t="shared" si="24"/>
        <v>0</v>
      </c>
      <c r="V240" s="12"/>
      <c r="W240" s="12"/>
      <c r="X240" s="12">
        <f t="shared" si="25"/>
        <v>0</v>
      </c>
      <c r="Y240" s="12"/>
      <c r="Z240" s="12"/>
      <c r="AA240" s="13">
        <f t="shared" si="27"/>
        <v>0</v>
      </c>
      <c r="AB240" s="14">
        <v>46065</v>
      </c>
    </row>
    <row r="241" spans="1:28" ht="15.75" hidden="1" x14ac:dyDescent="0.25">
      <c r="A241" s="28">
        <v>46049</v>
      </c>
      <c r="B241" s="10" t="s">
        <v>284</v>
      </c>
      <c r="C241" s="10"/>
      <c r="D241" s="10" t="s">
        <v>28</v>
      </c>
      <c r="E241" s="10" t="s">
        <v>98</v>
      </c>
      <c r="F241" s="10">
        <v>3000</v>
      </c>
      <c r="G241" s="10" t="s">
        <v>26</v>
      </c>
      <c r="H241" s="10">
        <v>1825</v>
      </c>
      <c r="I241" s="10">
        <f t="shared" si="26"/>
        <v>5475000</v>
      </c>
      <c r="J241" s="29" t="s">
        <v>110</v>
      </c>
      <c r="K241" s="10"/>
      <c r="L241" s="12">
        <f t="shared" si="21"/>
        <v>0</v>
      </c>
      <c r="M241" s="12"/>
      <c r="N241" s="12"/>
      <c r="O241" s="12">
        <f t="shared" si="22"/>
        <v>0</v>
      </c>
      <c r="P241" s="12"/>
      <c r="Q241" s="12"/>
      <c r="R241" s="12">
        <f t="shared" si="23"/>
        <v>5475000</v>
      </c>
      <c r="S241" s="12">
        <v>5475000</v>
      </c>
      <c r="T241" s="12"/>
      <c r="U241" s="12">
        <f t="shared" si="24"/>
        <v>0</v>
      </c>
      <c r="V241" s="12"/>
      <c r="W241" s="12"/>
      <c r="X241" s="12">
        <f t="shared" si="25"/>
        <v>0</v>
      </c>
      <c r="Y241" s="12"/>
      <c r="Z241" s="12"/>
      <c r="AA241" s="13">
        <f t="shared" si="27"/>
        <v>0</v>
      </c>
      <c r="AB241" s="14">
        <v>46046</v>
      </c>
    </row>
    <row r="242" spans="1:28" ht="15.75" hidden="1" x14ac:dyDescent="0.25">
      <c r="A242" s="28">
        <v>46049</v>
      </c>
      <c r="B242" s="10" t="s">
        <v>69</v>
      </c>
      <c r="C242" s="10"/>
      <c r="D242" s="10" t="s">
        <v>383</v>
      </c>
      <c r="E242" s="10" t="s">
        <v>189</v>
      </c>
      <c r="F242" s="10">
        <v>8</v>
      </c>
      <c r="G242" s="10" t="s">
        <v>61</v>
      </c>
      <c r="H242" s="10">
        <v>290000</v>
      </c>
      <c r="I242" s="10">
        <f t="shared" si="26"/>
        <v>2320000</v>
      </c>
      <c r="J242" s="29" t="s">
        <v>110</v>
      </c>
      <c r="K242" s="87"/>
      <c r="L242" s="12">
        <f t="shared" si="21"/>
        <v>0</v>
      </c>
      <c r="M242" s="12"/>
      <c r="N242" s="12"/>
      <c r="O242" s="12">
        <f t="shared" si="22"/>
        <v>2320000</v>
      </c>
      <c r="P242" s="12">
        <v>2320000</v>
      </c>
      <c r="Q242" s="12"/>
      <c r="R242" s="12">
        <f t="shared" si="23"/>
        <v>0</v>
      </c>
      <c r="S242" s="12"/>
      <c r="T242" s="12"/>
      <c r="U242" s="12">
        <f t="shared" si="24"/>
        <v>0</v>
      </c>
      <c r="V242" s="12"/>
      <c r="W242" s="12"/>
      <c r="X242" s="12">
        <f t="shared" si="25"/>
        <v>0</v>
      </c>
      <c r="Y242" s="12"/>
      <c r="Z242" s="12"/>
      <c r="AA242" s="13">
        <f t="shared" si="27"/>
        <v>0</v>
      </c>
      <c r="AB242" s="14">
        <v>46059</v>
      </c>
    </row>
    <row r="243" spans="1:28" ht="15.75" hidden="1" x14ac:dyDescent="0.25">
      <c r="A243" s="28">
        <v>46049</v>
      </c>
      <c r="B243" s="10" t="s">
        <v>69</v>
      </c>
      <c r="C243" s="10"/>
      <c r="D243" s="10" t="s">
        <v>383</v>
      </c>
      <c r="E243" s="10" t="s">
        <v>211</v>
      </c>
      <c r="F243" s="10">
        <v>20</v>
      </c>
      <c r="G243" s="10" t="s">
        <v>36</v>
      </c>
      <c r="H243" s="10">
        <v>100000</v>
      </c>
      <c r="I243" s="10">
        <f t="shared" si="26"/>
        <v>2000000</v>
      </c>
      <c r="J243" s="29" t="s">
        <v>110</v>
      </c>
      <c r="K243" s="87"/>
      <c r="L243" s="12">
        <f t="shared" si="21"/>
        <v>0</v>
      </c>
      <c r="M243" s="12"/>
      <c r="N243" s="12"/>
      <c r="O243" s="12">
        <f t="shared" si="22"/>
        <v>2000000</v>
      </c>
      <c r="P243" s="12">
        <v>2000000</v>
      </c>
      <c r="Q243" s="12"/>
      <c r="R243" s="12">
        <f t="shared" si="23"/>
        <v>0</v>
      </c>
      <c r="S243" s="12"/>
      <c r="T243" s="12"/>
      <c r="U243" s="12">
        <f t="shared" si="24"/>
        <v>0</v>
      </c>
      <c r="V243" s="12"/>
      <c r="W243" s="12"/>
      <c r="X243" s="12">
        <f t="shared" si="25"/>
        <v>0</v>
      </c>
      <c r="Y243" s="12"/>
      <c r="Z243" s="12"/>
      <c r="AA243" s="13">
        <f t="shared" si="27"/>
        <v>0</v>
      </c>
      <c r="AB243" s="14">
        <v>46059</v>
      </c>
    </row>
    <row r="244" spans="1:28" ht="15.75" hidden="1" x14ac:dyDescent="0.25">
      <c r="A244" s="28">
        <v>46049</v>
      </c>
      <c r="B244" s="10" t="s">
        <v>69</v>
      </c>
      <c r="C244" s="10"/>
      <c r="D244" s="10" t="s">
        <v>383</v>
      </c>
      <c r="E244" s="10" t="s">
        <v>130</v>
      </c>
      <c r="F244" s="10">
        <v>20</v>
      </c>
      <c r="G244" s="10" t="s">
        <v>67</v>
      </c>
      <c r="H244" s="10">
        <v>50000</v>
      </c>
      <c r="I244" s="10">
        <f t="shared" si="26"/>
        <v>1000000</v>
      </c>
      <c r="J244" s="29" t="s">
        <v>110</v>
      </c>
      <c r="K244" s="87"/>
      <c r="L244" s="12">
        <f t="shared" si="21"/>
        <v>0</v>
      </c>
      <c r="M244" s="12"/>
      <c r="N244" s="12"/>
      <c r="O244" s="12">
        <f t="shared" si="22"/>
        <v>1000000</v>
      </c>
      <c r="P244" s="12">
        <v>1000000</v>
      </c>
      <c r="Q244" s="12"/>
      <c r="R244" s="12">
        <f t="shared" si="23"/>
        <v>0</v>
      </c>
      <c r="S244" s="12"/>
      <c r="T244" s="12"/>
      <c r="U244" s="12">
        <f t="shared" si="24"/>
        <v>0</v>
      </c>
      <c r="V244" s="12"/>
      <c r="W244" s="12"/>
      <c r="X244" s="12">
        <f t="shared" si="25"/>
        <v>0</v>
      </c>
      <c r="Y244" s="12"/>
      <c r="Z244" s="12"/>
      <c r="AA244" s="13">
        <f t="shared" si="27"/>
        <v>0</v>
      </c>
      <c r="AB244" s="14">
        <v>46059</v>
      </c>
    </row>
    <row r="245" spans="1:28" ht="15.75" hidden="1" x14ac:dyDescent="0.25">
      <c r="A245" s="28">
        <v>46049</v>
      </c>
      <c r="B245" s="10" t="s">
        <v>410</v>
      </c>
      <c r="C245" s="10"/>
      <c r="D245" s="10" t="s">
        <v>195</v>
      </c>
      <c r="E245" s="10" t="s">
        <v>160</v>
      </c>
      <c r="F245" s="10">
        <v>2</v>
      </c>
      <c r="G245" s="10" t="s">
        <v>22</v>
      </c>
      <c r="H245" s="10">
        <v>400000</v>
      </c>
      <c r="I245" s="10">
        <f t="shared" si="26"/>
        <v>800000</v>
      </c>
      <c r="J245" s="29" t="s">
        <v>113</v>
      </c>
      <c r="K245" s="10"/>
      <c r="L245" s="12">
        <f t="shared" si="21"/>
        <v>0</v>
      </c>
      <c r="M245" s="12"/>
      <c r="N245" s="12"/>
      <c r="O245" s="12">
        <f t="shared" si="22"/>
        <v>0</v>
      </c>
      <c r="P245" s="12"/>
      <c r="Q245" s="12"/>
      <c r="R245" s="12">
        <f t="shared" si="23"/>
        <v>0</v>
      </c>
      <c r="S245" s="12"/>
      <c r="T245" s="12"/>
      <c r="U245" s="12">
        <f t="shared" si="24"/>
        <v>800000</v>
      </c>
      <c r="V245" s="12">
        <v>800000</v>
      </c>
      <c r="W245" s="12"/>
      <c r="X245" s="12">
        <f t="shared" si="25"/>
        <v>0</v>
      </c>
      <c r="Y245" s="12"/>
      <c r="Z245" s="12"/>
      <c r="AA245" s="13">
        <f t="shared" si="27"/>
        <v>0</v>
      </c>
      <c r="AB245" s="14">
        <v>46056</v>
      </c>
    </row>
    <row r="246" spans="1:28" ht="15.75" hidden="1" x14ac:dyDescent="0.25">
      <c r="A246" s="28">
        <v>46050</v>
      </c>
      <c r="B246" s="10" t="s">
        <v>297</v>
      </c>
      <c r="C246" s="10"/>
      <c r="D246" s="10" t="s">
        <v>28</v>
      </c>
      <c r="E246" s="10" t="s">
        <v>130</v>
      </c>
      <c r="F246" s="10">
        <v>10</v>
      </c>
      <c r="G246" s="10" t="s">
        <v>67</v>
      </c>
      <c r="H246" s="10">
        <v>50000</v>
      </c>
      <c r="I246" s="10">
        <f t="shared" si="26"/>
        <v>500000</v>
      </c>
      <c r="J246" s="29" t="s">
        <v>113</v>
      </c>
      <c r="K246" s="87"/>
      <c r="L246" s="12">
        <f t="shared" si="21"/>
        <v>0</v>
      </c>
      <c r="M246" s="12"/>
      <c r="N246" s="12"/>
      <c r="O246" s="12">
        <f t="shared" si="22"/>
        <v>0</v>
      </c>
      <c r="P246" s="12"/>
      <c r="Q246" s="12"/>
      <c r="R246" s="12">
        <f t="shared" si="23"/>
        <v>0</v>
      </c>
      <c r="S246" s="12"/>
      <c r="T246" s="12"/>
      <c r="U246" s="12">
        <f t="shared" si="24"/>
        <v>500000</v>
      </c>
      <c r="V246" s="12"/>
      <c r="W246" s="12">
        <v>500000</v>
      </c>
      <c r="X246" s="12">
        <f t="shared" si="25"/>
        <v>0</v>
      </c>
      <c r="Y246" s="12"/>
      <c r="Z246" s="12"/>
      <c r="AA246" s="13">
        <f t="shared" si="27"/>
        <v>0</v>
      </c>
      <c r="AB246" s="14">
        <v>46057</v>
      </c>
    </row>
    <row r="247" spans="1:28" ht="15.75" hidden="1" x14ac:dyDescent="0.25">
      <c r="A247" s="28">
        <v>46050</v>
      </c>
      <c r="B247" s="10" t="s">
        <v>297</v>
      </c>
      <c r="C247" s="10"/>
      <c r="D247" s="10" t="s">
        <v>28</v>
      </c>
      <c r="E247" s="10" t="s">
        <v>117</v>
      </c>
      <c r="F247" s="10">
        <v>10</v>
      </c>
      <c r="G247" s="10" t="s">
        <v>36</v>
      </c>
      <c r="H247" s="10">
        <v>70000</v>
      </c>
      <c r="I247" s="10">
        <f t="shared" si="26"/>
        <v>700000</v>
      </c>
      <c r="J247" s="29" t="s">
        <v>113</v>
      </c>
      <c r="K247" s="87"/>
      <c r="L247" s="12">
        <f t="shared" si="21"/>
        <v>0</v>
      </c>
      <c r="M247" s="12"/>
      <c r="N247" s="12"/>
      <c r="O247" s="12">
        <f t="shared" si="22"/>
        <v>0</v>
      </c>
      <c r="P247" s="12"/>
      <c r="Q247" s="12"/>
      <c r="R247" s="12">
        <f t="shared" si="23"/>
        <v>0</v>
      </c>
      <c r="S247" s="12"/>
      <c r="T247" s="12"/>
      <c r="U247" s="12">
        <f t="shared" si="24"/>
        <v>700000</v>
      </c>
      <c r="V247" s="12"/>
      <c r="W247" s="12">
        <v>700000</v>
      </c>
      <c r="X247" s="12">
        <f t="shared" si="25"/>
        <v>0</v>
      </c>
      <c r="Y247" s="12"/>
      <c r="Z247" s="12"/>
      <c r="AA247" s="13">
        <f t="shared" si="27"/>
        <v>0</v>
      </c>
      <c r="AB247" s="14">
        <v>46057</v>
      </c>
    </row>
    <row r="248" spans="1:28" ht="15.75" hidden="1" x14ac:dyDescent="0.25">
      <c r="A248" s="28">
        <v>46050</v>
      </c>
      <c r="B248" s="10" t="s">
        <v>297</v>
      </c>
      <c r="C248" s="10"/>
      <c r="D248" s="10" t="s">
        <v>28</v>
      </c>
      <c r="E248" s="10" t="s">
        <v>418</v>
      </c>
      <c r="F248" s="10">
        <v>2</v>
      </c>
      <c r="G248" s="10" t="s">
        <v>39</v>
      </c>
      <c r="H248" s="10">
        <v>700000</v>
      </c>
      <c r="I248" s="10">
        <f t="shared" si="26"/>
        <v>1400000</v>
      </c>
      <c r="J248" s="29" t="s">
        <v>113</v>
      </c>
      <c r="K248" s="87"/>
      <c r="L248" s="12">
        <f t="shared" si="21"/>
        <v>0</v>
      </c>
      <c r="M248" s="12"/>
      <c r="N248" s="12"/>
      <c r="O248" s="12">
        <f t="shared" si="22"/>
        <v>0</v>
      </c>
      <c r="P248" s="12"/>
      <c r="Q248" s="12"/>
      <c r="R248" s="12">
        <f t="shared" si="23"/>
        <v>0</v>
      </c>
      <c r="S248" s="12"/>
      <c r="T248" s="12"/>
      <c r="U248" s="12">
        <f t="shared" si="24"/>
        <v>1400000</v>
      </c>
      <c r="V248" s="12">
        <v>955000</v>
      </c>
      <c r="W248" s="12">
        <v>445000</v>
      </c>
      <c r="X248" s="12">
        <f t="shared" si="25"/>
        <v>0</v>
      </c>
      <c r="Y248" s="12"/>
      <c r="Z248" s="12"/>
      <c r="AA248" s="13">
        <f t="shared" si="27"/>
        <v>0</v>
      </c>
      <c r="AB248" s="14">
        <v>46057</v>
      </c>
    </row>
    <row r="249" spans="1:28" ht="15.75" hidden="1" x14ac:dyDescent="0.25">
      <c r="A249" s="28">
        <v>46050</v>
      </c>
      <c r="B249" s="10" t="s">
        <v>334</v>
      </c>
      <c r="C249" s="10"/>
      <c r="D249" s="10" t="s">
        <v>383</v>
      </c>
      <c r="E249" s="10" t="s">
        <v>116</v>
      </c>
      <c r="F249" s="10">
        <v>8</v>
      </c>
      <c r="G249" s="10" t="s">
        <v>67</v>
      </c>
      <c r="H249" s="10">
        <v>65000</v>
      </c>
      <c r="I249" s="10">
        <f t="shared" si="26"/>
        <v>520000</v>
      </c>
      <c r="J249" s="52" t="s">
        <v>30</v>
      </c>
      <c r="K249" s="87"/>
      <c r="L249" s="12">
        <f t="shared" si="21"/>
        <v>0</v>
      </c>
      <c r="M249" s="12"/>
      <c r="N249" s="12"/>
      <c r="O249" s="12">
        <f t="shared" si="22"/>
        <v>515000</v>
      </c>
      <c r="P249" s="12">
        <v>515000</v>
      </c>
      <c r="Q249" s="12"/>
      <c r="R249" s="12">
        <f t="shared" si="23"/>
        <v>0</v>
      </c>
      <c r="S249" s="12"/>
      <c r="T249" s="12"/>
      <c r="U249" s="12">
        <f t="shared" si="24"/>
        <v>0</v>
      </c>
      <c r="V249" s="12"/>
      <c r="W249" s="12"/>
      <c r="X249" s="12">
        <f t="shared" si="25"/>
        <v>0</v>
      </c>
      <c r="Y249" s="12"/>
      <c r="Z249" s="12"/>
      <c r="AA249" s="13">
        <f t="shared" si="27"/>
        <v>5000</v>
      </c>
      <c r="AB249" s="14">
        <v>46076</v>
      </c>
    </row>
    <row r="250" spans="1:28" ht="15.75" hidden="1" x14ac:dyDescent="0.25">
      <c r="A250" s="28">
        <v>46050</v>
      </c>
      <c r="B250" s="10" t="s">
        <v>334</v>
      </c>
      <c r="C250" s="10"/>
      <c r="D250" s="10" t="s">
        <v>383</v>
      </c>
      <c r="E250" s="10" t="s">
        <v>114</v>
      </c>
      <c r="F250" s="10">
        <v>10</v>
      </c>
      <c r="G250" s="10" t="s">
        <v>67</v>
      </c>
      <c r="H250" s="10">
        <v>50000</v>
      </c>
      <c r="I250" s="10">
        <f t="shared" si="26"/>
        <v>500000</v>
      </c>
      <c r="J250" s="29" t="s">
        <v>113</v>
      </c>
      <c r="K250" s="87"/>
      <c r="L250" s="12">
        <f t="shared" si="21"/>
        <v>0</v>
      </c>
      <c r="M250" s="12"/>
      <c r="N250" s="12"/>
      <c r="O250" s="12">
        <f t="shared" si="22"/>
        <v>500000</v>
      </c>
      <c r="P250" s="12">
        <v>500000</v>
      </c>
      <c r="Q250" s="12"/>
      <c r="R250" s="12">
        <f t="shared" si="23"/>
        <v>0</v>
      </c>
      <c r="S250" s="12"/>
      <c r="T250" s="12"/>
      <c r="U250" s="12">
        <f t="shared" si="24"/>
        <v>0</v>
      </c>
      <c r="V250" s="12"/>
      <c r="W250" s="12"/>
      <c r="X250" s="12">
        <f t="shared" si="25"/>
        <v>0</v>
      </c>
      <c r="Y250" s="12"/>
      <c r="Z250" s="12"/>
      <c r="AA250" s="13">
        <f t="shared" si="27"/>
        <v>0</v>
      </c>
      <c r="AB250" s="14">
        <v>46076</v>
      </c>
    </row>
    <row r="251" spans="1:28" ht="15.75" hidden="1" x14ac:dyDescent="0.25">
      <c r="A251" s="28">
        <v>46050</v>
      </c>
      <c r="B251" s="10" t="s">
        <v>55</v>
      </c>
      <c r="C251" s="10"/>
      <c r="D251" s="10" t="s">
        <v>383</v>
      </c>
      <c r="E251" s="10" t="s">
        <v>65</v>
      </c>
      <c r="F251" s="10">
        <v>4000</v>
      </c>
      <c r="G251" s="10" t="s">
        <v>26</v>
      </c>
      <c r="H251" s="10">
        <v>3800</v>
      </c>
      <c r="I251" s="10">
        <f t="shared" si="26"/>
        <v>15200000</v>
      </c>
      <c r="J251" s="29" t="s">
        <v>110</v>
      </c>
      <c r="K251" s="10"/>
      <c r="L251" s="12">
        <f t="shared" si="21"/>
        <v>0</v>
      </c>
      <c r="M251" s="12"/>
      <c r="N251" s="12"/>
      <c r="O251" s="12">
        <f t="shared" si="22"/>
        <v>15200000</v>
      </c>
      <c r="P251" s="12">
        <v>15200000</v>
      </c>
      <c r="Q251" s="12"/>
      <c r="R251" s="12">
        <f t="shared" si="23"/>
        <v>0</v>
      </c>
      <c r="S251" s="12"/>
      <c r="T251" s="12"/>
      <c r="U251" s="12">
        <f t="shared" si="24"/>
        <v>0</v>
      </c>
      <c r="V251" s="12"/>
      <c r="W251" s="12"/>
      <c r="X251" s="12">
        <f t="shared" si="25"/>
        <v>0</v>
      </c>
      <c r="Y251" s="12"/>
      <c r="Z251" s="12"/>
      <c r="AA251" s="13">
        <f t="shared" si="27"/>
        <v>0</v>
      </c>
      <c r="AB251" s="14">
        <v>46069</v>
      </c>
    </row>
    <row r="252" spans="1:28" ht="15.75" x14ac:dyDescent="0.25">
      <c r="A252" s="28">
        <v>46050</v>
      </c>
      <c r="B252" s="10" t="s">
        <v>272</v>
      </c>
      <c r="C252" s="10"/>
      <c r="D252" s="10"/>
      <c r="E252" s="10" t="s">
        <v>315</v>
      </c>
      <c r="F252" s="10">
        <v>133.5</v>
      </c>
      <c r="G252" s="10" t="s">
        <v>36</v>
      </c>
      <c r="H252" s="10">
        <v>43000</v>
      </c>
      <c r="I252" s="10">
        <f t="shared" si="26"/>
        <v>5740500</v>
      </c>
      <c r="J252" s="115" t="s">
        <v>90</v>
      </c>
      <c r="K252" s="10"/>
      <c r="L252" s="12">
        <f t="shared" si="21"/>
        <v>0</v>
      </c>
      <c r="M252" s="12"/>
      <c r="N252" s="12"/>
      <c r="O252" s="12">
        <f t="shared" si="22"/>
        <v>0</v>
      </c>
      <c r="P252" s="12"/>
      <c r="Q252" s="12"/>
      <c r="R252" s="12">
        <f t="shared" si="23"/>
        <v>0</v>
      </c>
      <c r="S252" s="12"/>
      <c r="T252" s="12"/>
      <c r="U252" s="12">
        <f t="shared" si="24"/>
        <v>0</v>
      </c>
      <c r="V252" s="12"/>
      <c r="W252" s="12"/>
      <c r="X252" s="12">
        <f t="shared" si="25"/>
        <v>0</v>
      </c>
      <c r="Y252" s="12"/>
      <c r="Z252" s="12"/>
      <c r="AA252" s="13">
        <f t="shared" si="27"/>
        <v>5740500</v>
      </c>
      <c r="AB252" s="14"/>
    </row>
    <row r="253" spans="1:28" ht="15.75" x14ac:dyDescent="0.25">
      <c r="A253" s="28">
        <v>46050</v>
      </c>
      <c r="B253" s="10" t="s">
        <v>272</v>
      </c>
      <c r="C253" s="10"/>
      <c r="D253" s="10"/>
      <c r="E253" s="10" t="s">
        <v>315</v>
      </c>
      <c r="F253" s="10">
        <v>54</v>
      </c>
      <c r="G253" s="10" t="s">
        <v>36</v>
      </c>
      <c r="H253" s="10">
        <v>43000</v>
      </c>
      <c r="I253" s="10">
        <f t="shared" si="26"/>
        <v>2322000</v>
      </c>
      <c r="J253" s="86" t="s">
        <v>30</v>
      </c>
      <c r="K253" s="10"/>
      <c r="L253" s="12">
        <f t="shared" si="21"/>
        <v>0</v>
      </c>
      <c r="M253" s="12"/>
      <c r="N253" s="12"/>
      <c r="O253" s="12">
        <f t="shared" si="22"/>
        <v>0</v>
      </c>
      <c r="P253" s="12"/>
      <c r="Q253" s="12"/>
      <c r="R253" s="12">
        <f t="shared" si="23"/>
        <v>0</v>
      </c>
      <c r="S253" s="12"/>
      <c r="T253" s="12"/>
      <c r="U253" s="12">
        <f t="shared" si="24"/>
        <v>0</v>
      </c>
      <c r="V253" s="12"/>
      <c r="W253" s="12"/>
      <c r="X253" s="12">
        <f t="shared" si="25"/>
        <v>0</v>
      </c>
      <c r="Y253" s="12"/>
      <c r="Z253" s="12"/>
      <c r="AA253" s="13">
        <f t="shared" si="27"/>
        <v>2322000</v>
      </c>
      <c r="AB253" s="14"/>
    </row>
    <row r="254" spans="1:28" ht="15.75" x14ac:dyDescent="0.25">
      <c r="A254" s="28">
        <v>46050</v>
      </c>
      <c r="B254" s="10" t="s">
        <v>272</v>
      </c>
      <c r="C254" s="10"/>
      <c r="D254" s="10"/>
      <c r="E254" s="10" t="s">
        <v>80</v>
      </c>
      <c r="F254" s="10">
        <v>67.099999999999994</v>
      </c>
      <c r="G254" s="10" t="s">
        <v>36</v>
      </c>
      <c r="H254" s="10">
        <v>43000</v>
      </c>
      <c r="I254" s="10">
        <f t="shared" si="26"/>
        <v>2885299.9999999995</v>
      </c>
      <c r="J254" s="86" t="s">
        <v>30</v>
      </c>
      <c r="K254" s="10"/>
      <c r="L254" s="12">
        <f t="shared" si="21"/>
        <v>0</v>
      </c>
      <c r="M254" s="12"/>
      <c r="N254" s="12"/>
      <c r="O254" s="12">
        <f t="shared" si="22"/>
        <v>0</v>
      </c>
      <c r="P254" s="12"/>
      <c r="Q254" s="12"/>
      <c r="R254" s="12">
        <f t="shared" si="23"/>
        <v>0</v>
      </c>
      <c r="S254" s="12"/>
      <c r="T254" s="12"/>
      <c r="U254" s="12">
        <f t="shared" si="24"/>
        <v>0</v>
      </c>
      <c r="V254" s="12"/>
      <c r="W254" s="12"/>
      <c r="X254" s="12">
        <f t="shared" si="25"/>
        <v>0</v>
      </c>
      <c r="Y254" s="12"/>
      <c r="Z254" s="12"/>
      <c r="AA254" s="13">
        <f t="shared" si="27"/>
        <v>2885299.9999999995</v>
      </c>
      <c r="AB254" s="14"/>
    </row>
    <row r="255" spans="1:28" ht="15.75" x14ac:dyDescent="0.25">
      <c r="A255" s="28">
        <v>46050</v>
      </c>
      <c r="B255" s="10" t="s">
        <v>272</v>
      </c>
      <c r="C255" s="10"/>
      <c r="D255" s="10"/>
      <c r="E255" s="10" t="s">
        <v>307</v>
      </c>
      <c r="F255" s="10">
        <v>55.2</v>
      </c>
      <c r="G255" s="10" t="s">
        <v>36</v>
      </c>
      <c r="H255" s="10">
        <v>43000</v>
      </c>
      <c r="I255" s="10">
        <f t="shared" si="26"/>
        <v>2373600</v>
      </c>
      <c r="J255" s="115" t="s">
        <v>90</v>
      </c>
      <c r="K255" s="10"/>
      <c r="L255" s="12">
        <f t="shared" si="21"/>
        <v>0</v>
      </c>
      <c r="M255" s="12"/>
      <c r="N255" s="12"/>
      <c r="O255" s="12">
        <f t="shared" si="22"/>
        <v>0</v>
      </c>
      <c r="P255" s="12"/>
      <c r="Q255" s="12"/>
      <c r="R255" s="12">
        <f t="shared" si="23"/>
        <v>0</v>
      </c>
      <c r="S255" s="12"/>
      <c r="T255" s="12"/>
      <c r="U255" s="12">
        <f t="shared" si="24"/>
        <v>0</v>
      </c>
      <c r="V255" s="12"/>
      <c r="W255" s="12"/>
      <c r="X255" s="12">
        <f t="shared" si="25"/>
        <v>0</v>
      </c>
      <c r="Y255" s="12"/>
      <c r="Z255" s="12"/>
      <c r="AA255" s="13">
        <f t="shared" si="27"/>
        <v>2373600</v>
      </c>
      <c r="AB255" s="14"/>
    </row>
    <row r="256" spans="1:28" ht="15.75" x14ac:dyDescent="0.25">
      <c r="A256" s="28">
        <v>46050</v>
      </c>
      <c r="B256" s="10" t="s">
        <v>272</v>
      </c>
      <c r="C256" s="10"/>
      <c r="D256" s="10"/>
      <c r="E256" s="10" t="s">
        <v>168</v>
      </c>
      <c r="F256" s="10">
        <v>157.1</v>
      </c>
      <c r="G256" s="10" t="s">
        <v>36</v>
      </c>
      <c r="H256" s="10">
        <v>43000</v>
      </c>
      <c r="I256" s="10">
        <f t="shared" si="26"/>
        <v>6755300</v>
      </c>
      <c r="J256" s="115" t="s">
        <v>90</v>
      </c>
      <c r="K256" s="10"/>
      <c r="L256" s="12">
        <f t="shared" si="21"/>
        <v>0</v>
      </c>
      <c r="M256" s="12"/>
      <c r="N256" s="12"/>
      <c r="O256" s="12">
        <f t="shared" si="22"/>
        <v>0</v>
      </c>
      <c r="P256" s="12"/>
      <c r="Q256" s="12"/>
      <c r="R256" s="12">
        <f t="shared" si="23"/>
        <v>0</v>
      </c>
      <c r="S256" s="12"/>
      <c r="T256" s="12"/>
      <c r="U256" s="12">
        <f t="shared" si="24"/>
        <v>0</v>
      </c>
      <c r="V256" s="12"/>
      <c r="W256" s="12"/>
      <c r="X256" s="12">
        <f t="shared" si="25"/>
        <v>0</v>
      </c>
      <c r="Y256" s="12"/>
      <c r="Z256" s="12"/>
      <c r="AA256" s="13">
        <f t="shared" si="27"/>
        <v>6755300</v>
      </c>
      <c r="AB256" s="14"/>
    </row>
    <row r="257" spans="1:28" ht="15.75" x14ac:dyDescent="0.25">
      <c r="A257" s="28">
        <v>46050</v>
      </c>
      <c r="B257" s="10" t="s">
        <v>272</v>
      </c>
      <c r="C257" s="10"/>
      <c r="D257" s="10"/>
      <c r="E257" s="10" t="s">
        <v>92</v>
      </c>
      <c r="F257" s="10">
        <v>34.200000000000003</v>
      </c>
      <c r="G257" s="10" t="s">
        <v>36</v>
      </c>
      <c r="H257" s="10">
        <v>43000</v>
      </c>
      <c r="I257" s="10">
        <f t="shared" si="26"/>
        <v>1470600.0000000002</v>
      </c>
      <c r="J257" s="86" t="s">
        <v>30</v>
      </c>
      <c r="K257" s="10"/>
      <c r="L257" s="12">
        <f t="shared" si="21"/>
        <v>0</v>
      </c>
      <c r="M257" s="12"/>
      <c r="N257" s="12"/>
      <c r="O257" s="12">
        <f>P257+Q257</f>
        <v>0</v>
      </c>
      <c r="P257" s="12"/>
      <c r="Q257" s="12"/>
      <c r="R257" s="12">
        <f t="shared" si="23"/>
        <v>0</v>
      </c>
      <c r="S257" s="12"/>
      <c r="T257" s="12"/>
      <c r="U257" s="12">
        <f t="shared" si="24"/>
        <v>0</v>
      </c>
      <c r="V257" s="12"/>
      <c r="W257" s="12"/>
      <c r="X257" s="12">
        <f t="shared" si="25"/>
        <v>0</v>
      </c>
      <c r="Y257" s="12"/>
      <c r="Z257" s="12"/>
      <c r="AA257" s="13">
        <f t="shared" si="27"/>
        <v>1470600.0000000002</v>
      </c>
      <c r="AB257" s="14"/>
    </row>
    <row r="258" spans="1:28" ht="15.75" x14ac:dyDescent="0.25">
      <c r="A258" s="28">
        <v>46050</v>
      </c>
      <c r="B258" s="10" t="s">
        <v>272</v>
      </c>
      <c r="C258" s="10"/>
      <c r="D258" s="10"/>
      <c r="E258" s="10" t="s">
        <v>92</v>
      </c>
      <c r="F258" s="10">
        <v>34.4</v>
      </c>
      <c r="G258" s="10" t="s">
        <v>36</v>
      </c>
      <c r="H258" s="10">
        <v>43000</v>
      </c>
      <c r="I258" s="10">
        <f t="shared" si="26"/>
        <v>1479200</v>
      </c>
      <c r="J258" s="86" t="s">
        <v>30</v>
      </c>
      <c r="K258" s="10"/>
      <c r="L258" s="12">
        <f t="shared" si="21"/>
        <v>0</v>
      </c>
      <c r="M258" s="12"/>
      <c r="N258" s="12"/>
      <c r="O258" s="12">
        <f>P258+Q258</f>
        <v>0</v>
      </c>
      <c r="P258" s="12"/>
      <c r="Q258" s="12"/>
      <c r="R258" s="12">
        <f t="shared" si="23"/>
        <v>0</v>
      </c>
      <c r="S258" s="12"/>
      <c r="T258" s="12"/>
      <c r="U258" s="12">
        <f t="shared" si="24"/>
        <v>0</v>
      </c>
      <c r="V258" s="12"/>
      <c r="W258" s="12"/>
      <c r="X258" s="12">
        <f t="shared" si="25"/>
        <v>0</v>
      </c>
      <c r="Y258" s="12"/>
      <c r="Z258" s="12"/>
      <c r="AA258" s="13">
        <f t="shared" si="27"/>
        <v>1479200</v>
      </c>
      <c r="AB258" s="14"/>
    </row>
    <row r="259" spans="1:28" ht="15.75" x14ac:dyDescent="0.25">
      <c r="A259" s="28">
        <v>46050</v>
      </c>
      <c r="B259" s="10" t="s">
        <v>272</v>
      </c>
      <c r="C259" s="10"/>
      <c r="D259" s="10"/>
      <c r="E259" s="10" t="s">
        <v>423</v>
      </c>
      <c r="F259" s="10">
        <v>35.4</v>
      </c>
      <c r="G259" s="10" t="s">
        <v>36</v>
      </c>
      <c r="H259" s="10">
        <v>43000</v>
      </c>
      <c r="I259" s="10">
        <f t="shared" si="26"/>
        <v>1522200</v>
      </c>
      <c r="J259" s="115" t="s">
        <v>90</v>
      </c>
      <c r="K259" s="10"/>
      <c r="L259" s="12">
        <f t="shared" si="21"/>
        <v>0</v>
      </c>
      <c r="M259" s="12"/>
      <c r="N259" s="12"/>
      <c r="O259" s="12">
        <f t="shared" si="22"/>
        <v>0</v>
      </c>
      <c r="P259" s="12"/>
      <c r="Q259" s="12"/>
      <c r="R259" s="12">
        <f t="shared" si="23"/>
        <v>0</v>
      </c>
      <c r="S259" s="12"/>
      <c r="T259" s="12"/>
      <c r="U259" s="12">
        <f t="shared" si="24"/>
        <v>0</v>
      </c>
      <c r="V259" s="12"/>
      <c r="W259" s="12"/>
      <c r="X259" s="12">
        <f t="shared" si="25"/>
        <v>0</v>
      </c>
      <c r="Y259" s="12"/>
      <c r="Z259" s="12"/>
      <c r="AA259" s="13">
        <f t="shared" si="27"/>
        <v>1522200</v>
      </c>
      <c r="AB259" s="14"/>
    </row>
    <row r="260" spans="1:28" ht="15.75" x14ac:dyDescent="0.25">
      <c r="A260" s="28">
        <v>46050</v>
      </c>
      <c r="B260" s="10" t="s">
        <v>272</v>
      </c>
      <c r="C260" s="10"/>
      <c r="D260" s="10"/>
      <c r="E260" s="10" t="s">
        <v>86</v>
      </c>
      <c r="F260" s="10">
        <v>85.6</v>
      </c>
      <c r="G260" s="10" t="s">
        <v>36</v>
      </c>
      <c r="H260" s="10">
        <v>43000</v>
      </c>
      <c r="I260" s="10">
        <f t="shared" si="26"/>
        <v>3680799.9999999995</v>
      </c>
      <c r="J260" s="86" t="s">
        <v>30</v>
      </c>
      <c r="K260" s="10"/>
      <c r="L260" s="12">
        <f t="shared" ref="L260:L304" si="28">M260+N260</f>
        <v>0</v>
      </c>
      <c r="M260" s="12"/>
      <c r="N260" s="12"/>
      <c r="O260" s="12">
        <f t="shared" ref="O260:O304" si="29">P260+Q260</f>
        <v>0</v>
      </c>
      <c r="P260" s="12"/>
      <c r="Q260" s="12"/>
      <c r="R260" s="12">
        <f t="shared" ref="R260:R304" si="30">S260+T260</f>
        <v>0</v>
      </c>
      <c r="S260" s="12"/>
      <c r="T260" s="12"/>
      <c r="U260" s="12">
        <f t="shared" ref="U260:U304" si="31">V260+W260</f>
        <v>0</v>
      </c>
      <c r="V260" s="12"/>
      <c r="W260" s="12"/>
      <c r="X260" s="12">
        <f t="shared" ref="X260:X304" si="32">Y260+Z260</f>
        <v>0</v>
      </c>
      <c r="Y260" s="12"/>
      <c r="Z260" s="12"/>
      <c r="AA260" s="13">
        <f t="shared" ref="AA260:AA323" si="33">C260+I260-L260-O260-U260-X260-R260</f>
        <v>3680799.9999999995</v>
      </c>
      <c r="AB260" s="14"/>
    </row>
    <row r="261" spans="1:28" ht="15.75" x14ac:dyDescent="0.25">
      <c r="A261" s="28">
        <v>46050</v>
      </c>
      <c r="B261" s="10" t="s">
        <v>272</v>
      </c>
      <c r="C261" s="10"/>
      <c r="D261" s="10"/>
      <c r="E261" s="10" t="s">
        <v>86</v>
      </c>
      <c r="F261" s="10">
        <v>29.3</v>
      </c>
      <c r="G261" s="10" t="s">
        <v>36</v>
      </c>
      <c r="H261" s="10">
        <v>43000</v>
      </c>
      <c r="I261" s="10">
        <f t="shared" ref="I261:I322" si="34">F261*H261</f>
        <v>1259900</v>
      </c>
      <c r="J261" s="86" t="s">
        <v>30</v>
      </c>
      <c r="K261" s="10"/>
      <c r="L261" s="12">
        <f t="shared" si="28"/>
        <v>0</v>
      </c>
      <c r="M261" s="12"/>
      <c r="N261" s="12"/>
      <c r="O261" s="12">
        <f t="shared" si="29"/>
        <v>0</v>
      </c>
      <c r="P261" s="12"/>
      <c r="Q261" s="12"/>
      <c r="R261" s="12">
        <f t="shared" si="30"/>
        <v>0</v>
      </c>
      <c r="S261" s="12"/>
      <c r="T261" s="12"/>
      <c r="U261" s="12">
        <f t="shared" si="31"/>
        <v>0</v>
      </c>
      <c r="V261" s="12"/>
      <c r="W261" s="12"/>
      <c r="X261" s="12">
        <f t="shared" si="32"/>
        <v>0</v>
      </c>
      <c r="Y261" s="12"/>
      <c r="Z261" s="12"/>
      <c r="AA261" s="13">
        <f t="shared" si="33"/>
        <v>1259900</v>
      </c>
      <c r="AB261" s="14"/>
    </row>
    <row r="262" spans="1:28" ht="15.75" x14ac:dyDescent="0.25">
      <c r="A262" s="28">
        <v>46050</v>
      </c>
      <c r="B262" s="10" t="s">
        <v>272</v>
      </c>
      <c r="C262" s="10"/>
      <c r="D262" s="10"/>
      <c r="E262" s="10" t="s">
        <v>136</v>
      </c>
      <c r="F262" s="10">
        <v>24.6</v>
      </c>
      <c r="G262" s="10" t="s">
        <v>36</v>
      </c>
      <c r="H262" s="10">
        <v>43000</v>
      </c>
      <c r="I262" s="10">
        <f t="shared" si="34"/>
        <v>1057800</v>
      </c>
      <c r="J262" s="86" t="s">
        <v>30</v>
      </c>
      <c r="K262" s="10"/>
      <c r="L262" s="12">
        <f t="shared" si="28"/>
        <v>0</v>
      </c>
      <c r="M262" s="12"/>
      <c r="N262" s="12"/>
      <c r="O262" s="12">
        <f t="shared" si="29"/>
        <v>0</v>
      </c>
      <c r="P262" s="12"/>
      <c r="Q262" s="12"/>
      <c r="R262" s="12">
        <f t="shared" si="30"/>
        <v>0</v>
      </c>
      <c r="S262" s="12"/>
      <c r="T262" s="12"/>
      <c r="U262" s="12">
        <f t="shared" si="31"/>
        <v>0</v>
      </c>
      <c r="V262" s="12"/>
      <c r="W262" s="12"/>
      <c r="X262" s="12">
        <f t="shared" si="32"/>
        <v>0</v>
      </c>
      <c r="Y262" s="12"/>
      <c r="Z262" s="12"/>
      <c r="AA262" s="13">
        <f t="shared" si="33"/>
        <v>1057800</v>
      </c>
      <c r="AB262" s="14"/>
    </row>
    <row r="263" spans="1:28" ht="15.75" hidden="1" x14ac:dyDescent="0.25">
      <c r="A263" s="28">
        <v>46050</v>
      </c>
      <c r="B263" s="10" t="s">
        <v>273</v>
      </c>
      <c r="C263" s="10"/>
      <c r="D263" s="10"/>
      <c r="E263" s="10" t="s">
        <v>424</v>
      </c>
      <c r="F263" s="10">
        <v>1</v>
      </c>
      <c r="G263" s="10" t="s">
        <v>22</v>
      </c>
      <c r="H263" s="10"/>
      <c r="I263" s="10">
        <f t="shared" si="34"/>
        <v>0</v>
      </c>
      <c r="J263" s="86" t="s">
        <v>76</v>
      </c>
      <c r="K263" s="10"/>
      <c r="L263" s="12">
        <f t="shared" si="28"/>
        <v>0</v>
      </c>
      <c r="M263" s="12"/>
      <c r="N263" s="12"/>
      <c r="O263" s="12">
        <f t="shared" si="29"/>
        <v>0</v>
      </c>
      <c r="P263" s="12"/>
      <c r="Q263" s="12"/>
      <c r="R263" s="12">
        <f t="shared" si="30"/>
        <v>0</v>
      </c>
      <c r="S263" s="12"/>
      <c r="T263" s="12"/>
      <c r="U263" s="12">
        <f t="shared" si="31"/>
        <v>0</v>
      </c>
      <c r="V263" s="12"/>
      <c r="W263" s="12"/>
      <c r="X263" s="12">
        <f t="shared" si="32"/>
        <v>0</v>
      </c>
      <c r="Y263" s="12"/>
      <c r="Z263" s="12"/>
      <c r="AA263" s="13">
        <f t="shared" si="33"/>
        <v>0</v>
      </c>
      <c r="AB263" s="14"/>
    </row>
    <row r="264" spans="1:28" ht="15.75" hidden="1" x14ac:dyDescent="0.25">
      <c r="A264" s="28">
        <v>46050</v>
      </c>
      <c r="B264" s="10" t="s">
        <v>274</v>
      </c>
      <c r="C264" s="10"/>
      <c r="D264" s="10" t="s">
        <v>383</v>
      </c>
      <c r="E264" s="10" t="s">
        <v>78</v>
      </c>
      <c r="F264" s="10">
        <v>10</v>
      </c>
      <c r="G264" s="10" t="s">
        <v>61</v>
      </c>
      <c r="H264" s="10">
        <v>240000</v>
      </c>
      <c r="I264" s="10">
        <f t="shared" si="34"/>
        <v>2400000</v>
      </c>
      <c r="J264" s="29" t="s">
        <v>113</v>
      </c>
      <c r="K264" s="10"/>
      <c r="L264" s="12">
        <f t="shared" si="28"/>
        <v>2400000</v>
      </c>
      <c r="M264" s="12">
        <v>2310000</v>
      </c>
      <c r="N264" s="12">
        <v>90000</v>
      </c>
      <c r="O264" s="12">
        <f t="shared" si="29"/>
        <v>0</v>
      </c>
      <c r="P264" s="12"/>
      <c r="Q264" s="12"/>
      <c r="R264" s="12">
        <f t="shared" si="30"/>
        <v>0</v>
      </c>
      <c r="S264" s="12"/>
      <c r="T264" s="12"/>
      <c r="U264" s="12">
        <f t="shared" si="31"/>
        <v>0</v>
      </c>
      <c r="V264" s="12"/>
      <c r="W264" s="12"/>
      <c r="X264" s="12">
        <f t="shared" si="32"/>
        <v>0</v>
      </c>
      <c r="Y264" s="12"/>
      <c r="Z264" s="12"/>
      <c r="AA264" s="13">
        <f t="shared" si="33"/>
        <v>0</v>
      </c>
      <c r="AB264" s="14">
        <v>46050</v>
      </c>
    </row>
    <row r="265" spans="1:28" ht="15.75" hidden="1" x14ac:dyDescent="0.25">
      <c r="A265" s="28">
        <v>46051</v>
      </c>
      <c r="B265" s="10" t="s">
        <v>230</v>
      </c>
      <c r="C265" s="10"/>
      <c r="D265" s="10" t="s">
        <v>383</v>
      </c>
      <c r="E265" s="10" t="s">
        <v>98</v>
      </c>
      <c r="F265" s="10">
        <v>2000</v>
      </c>
      <c r="G265" s="10" t="s">
        <v>26</v>
      </c>
      <c r="H265" s="10">
        <v>1900</v>
      </c>
      <c r="I265" s="10">
        <f t="shared" si="34"/>
        <v>3800000</v>
      </c>
      <c r="J265" s="29" t="s">
        <v>113</v>
      </c>
      <c r="K265" s="87"/>
      <c r="L265" s="12">
        <f t="shared" si="28"/>
        <v>0</v>
      </c>
      <c r="M265" s="12"/>
      <c r="N265" s="12"/>
      <c r="O265" s="12">
        <f t="shared" si="29"/>
        <v>0</v>
      </c>
      <c r="P265" s="12"/>
      <c r="Q265" s="12"/>
      <c r="R265" s="12">
        <f t="shared" si="30"/>
        <v>0</v>
      </c>
      <c r="S265" s="12"/>
      <c r="T265" s="12"/>
      <c r="U265" s="12">
        <f t="shared" si="31"/>
        <v>3800000</v>
      </c>
      <c r="V265" s="12">
        <v>3800000</v>
      </c>
      <c r="W265" s="12"/>
      <c r="X265" s="12">
        <f t="shared" si="32"/>
        <v>0</v>
      </c>
      <c r="Y265" s="12"/>
      <c r="Z265" s="12"/>
      <c r="AA265" s="13">
        <f t="shared" si="33"/>
        <v>0</v>
      </c>
      <c r="AB265" s="14">
        <v>46071</v>
      </c>
    </row>
    <row r="266" spans="1:28" ht="15.75" hidden="1" x14ac:dyDescent="0.25">
      <c r="A266" s="28">
        <v>46051</v>
      </c>
      <c r="B266" s="10" t="s">
        <v>53</v>
      </c>
      <c r="C266" s="10"/>
      <c r="D266" s="10" t="s">
        <v>383</v>
      </c>
      <c r="E266" s="10" t="s">
        <v>184</v>
      </c>
      <c r="F266" s="10">
        <v>294.7</v>
      </c>
      <c r="G266" s="10" t="s">
        <v>36</v>
      </c>
      <c r="H266" s="10">
        <v>43000</v>
      </c>
      <c r="I266" s="10">
        <f t="shared" si="34"/>
        <v>12672100</v>
      </c>
      <c r="J266" s="29" t="s">
        <v>110</v>
      </c>
      <c r="K266" s="10"/>
      <c r="L266" s="12">
        <f t="shared" si="28"/>
        <v>0</v>
      </c>
      <c r="M266" s="12"/>
      <c r="N266" s="12"/>
      <c r="O266" s="12">
        <f t="shared" si="29"/>
        <v>12672100</v>
      </c>
      <c r="P266" s="12">
        <v>12672100</v>
      </c>
      <c r="Q266" s="12"/>
      <c r="R266" s="12">
        <f t="shared" si="30"/>
        <v>0</v>
      </c>
      <c r="S266" s="12"/>
      <c r="T266" s="12"/>
      <c r="U266" s="12">
        <f t="shared" si="31"/>
        <v>0</v>
      </c>
      <c r="V266" s="12"/>
      <c r="W266" s="12"/>
      <c r="X266" s="12">
        <f t="shared" si="32"/>
        <v>0</v>
      </c>
      <c r="Y266" s="12"/>
      <c r="Z266" s="12"/>
      <c r="AA266" s="13">
        <f t="shared" si="33"/>
        <v>0</v>
      </c>
      <c r="AB266" s="14">
        <v>46063</v>
      </c>
    </row>
    <row r="267" spans="1:28" ht="15.75" hidden="1" x14ac:dyDescent="0.25">
      <c r="A267" s="28">
        <v>46051</v>
      </c>
      <c r="B267" s="10" t="s">
        <v>53</v>
      </c>
      <c r="C267" s="10"/>
      <c r="D267" s="10" t="s">
        <v>383</v>
      </c>
      <c r="E267" s="10" t="s">
        <v>136</v>
      </c>
      <c r="F267" s="10">
        <v>239.6</v>
      </c>
      <c r="G267" s="10" t="s">
        <v>36</v>
      </c>
      <c r="H267" s="10">
        <v>43000</v>
      </c>
      <c r="I267" s="10">
        <f t="shared" si="34"/>
        <v>10302800</v>
      </c>
      <c r="J267" s="29" t="s">
        <v>110</v>
      </c>
      <c r="K267" s="10"/>
      <c r="L267" s="12">
        <f t="shared" si="28"/>
        <v>0</v>
      </c>
      <c r="M267" s="12"/>
      <c r="N267" s="12"/>
      <c r="O267" s="12">
        <f t="shared" si="29"/>
        <v>10302800</v>
      </c>
      <c r="P267" s="12">
        <v>10302800</v>
      </c>
      <c r="Q267" s="12"/>
      <c r="R267" s="12">
        <f t="shared" si="30"/>
        <v>0</v>
      </c>
      <c r="S267" s="12"/>
      <c r="T267" s="12"/>
      <c r="U267" s="12">
        <f t="shared" si="31"/>
        <v>0</v>
      </c>
      <c r="V267" s="12"/>
      <c r="W267" s="12"/>
      <c r="X267" s="12">
        <f t="shared" si="32"/>
        <v>0</v>
      </c>
      <c r="Y267" s="12"/>
      <c r="Z267" s="12"/>
      <c r="AA267" s="13">
        <f t="shared" si="33"/>
        <v>0</v>
      </c>
      <c r="AB267" s="14">
        <v>46063</v>
      </c>
    </row>
    <row r="268" spans="1:28" ht="15.75" hidden="1" x14ac:dyDescent="0.25">
      <c r="A268" s="28">
        <v>46051</v>
      </c>
      <c r="B268" s="10" t="s">
        <v>53</v>
      </c>
      <c r="C268" s="10"/>
      <c r="D268" s="10" t="s">
        <v>383</v>
      </c>
      <c r="E268" s="10" t="s">
        <v>307</v>
      </c>
      <c r="F268" s="10">
        <v>144.19999999999999</v>
      </c>
      <c r="G268" s="10" t="s">
        <v>36</v>
      </c>
      <c r="H268" s="10">
        <v>43000</v>
      </c>
      <c r="I268" s="10">
        <f t="shared" si="34"/>
        <v>6200599.9999999991</v>
      </c>
      <c r="J268" s="29" t="s">
        <v>110</v>
      </c>
      <c r="K268" s="10"/>
      <c r="L268" s="12">
        <f t="shared" si="28"/>
        <v>0</v>
      </c>
      <c r="M268" s="12"/>
      <c r="N268" s="12"/>
      <c r="O268" s="12">
        <f t="shared" si="29"/>
        <v>6200600</v>
      </c>
      <c r="P268" s="12">
        <v>2025100</v>
      </c>
      <c r="Q268" s="12">
        <v>4175500</v>
      </c>
      <c r="R268" s="12">
        <f t="shared" si="30"/>
        <v>0</v>
      </c>
      <c r="S268" s="12"/>
      <c r="T268" s="12"/>
      <c r="U268" s="12">
        <f t="shared" si="31"/>
        <v>0</v>
      </c>
      <c r="V268" s="12"/>
      <c r="W268" s="12"/>
      <c r="X268" s="12">
        <f t="shared" si="32"/>
        <v>0</v>
      </c>
      <c r="Y268" s="12"/>
      <c r="Z268" s="12"/>
      <c r="AA268" s="13">
        <f t="shared" si="33"/>
        <v>-9.3132257461547852E-10</v>
      </c>
      <c r="AB268" s="14">
        <v>46063</v>
      </c>
    </row>
    <row r="269" spans="1:28" ht="15.75" hidden="1" x14ac:dyDescent="0.25">
      <c r="A269" s="28">
        <v>46051</v>
      </c>
      <c r="B269" s="10" t="s">
        <v>53</v>
      </c>
      <c r="C269" s="10"/>
      <c r="D269" s="10" t="s">
        <v>383</v>
      </c>
      <c r="E269" s="10" t="s">
        <v>198</v>
      </c>
      <c r="F269" s="10">
        <v>162</v>
      </c>
      <c r="G269" s="10" t="s">
        <v>36</v>
      </c>
      <c r="H269" s="10">
        <v>43000</v>
      </c>
      <c r="I269" s="10">
        <f t="shared" si="34"/>
        <v>6966000</v>
      </c>
      <c r="J269" s="52" t="s">
        <v>90</v>
      </c>
      <c r="K269" s="10"/>
      <c r="L269" s="12">
        <f t="shared" si="28"/>
        <v>0</v>
      </c>
      <c r="M269" s="12"/>
      <c r="N269" s="12"/>
      <c r="O269" s="12">
        <f t="shared" si="29"/>
        <v>5824500</v>
      </c>
      <c r="P269" s="12"/>
      <c r="Q269" s="12">
        <v>5824500</v>
      </c>
      <c r="R269" s="12">
        <f t="shared" si="30"/>
        <v>0</v>
      </c>
      <c r="S269" s="12"/>
      <c r="T269" s="12"/>
      <c r="U269" s="12">
        <f t="shared" si="31"/>
        <v>0</v>
      </c>
      <c r="V269" s="12"/>
      <c r="W269" s="12"/>
      <c r="X269" s="12">
        <f t="shared" si="32"/>
        <v>0</v>
      </c>
      <c r="Y269" s="12"/>
      <c r="Z269" s="12"/>
      <c r="AA269" s="13">
        <f t="shared" si="33"/>
        <v>1141500</v>
      </c>
      <c r="AB269" s="14">
        <v>46069</v>
      </c>
    </row>
    <row r="270" spans="1:28" ht="15.75" hidden="1" x14ac:dyDescent="0.25">
      <c r="A270" s="28">
        <v>46051</v>
      </c>
      <c r="B270" s="10" t="s">
        <v>53</v>
      </c>
      <c r="C270" s="10"/>
      <c r="D270" s="10" t="s">
        <v>383</v>
      </c>
      <c r="E270" s="10" t="s">
        <v>244</v>
      </c>
      <c r="F270" s="10">
        <v>20</v>
      </c>
      <c r="G270" s="10" t="s">
        <v>22</v>
      </c>
      <c r="H270" s="10">
        <v>375000</v>
      </c>
      <c r="I270" s="10">
        <f t="shared" si="34"/>
        <v>7500000</v>
      </c>
      <c r="J270" s="52" t="s">
        <v>90</v>
      </c>
      <c r="K270" s="10"/>
      <c r="L270" s="12">
        <f t="shared" si="28"/>
        <v>0</v>
      </c>
      <c r="M270" s="12"/>
      <c r="N270" s="12"/>
      <c r="O270" s="12">
        <f t="shared" si="29"/>
        <v>0</v>
      </c>
      <c r="P270" s="12"/>
      <c r="Q270" s="12"/>
      <c r="R270" s="12">
        <f t="shared" si="30"/>
        <v>0</v>
      </c>
      <c r="S270" s="12"/>
      <c r="T270" s="12"/>
      <c r="U270" s="12">
        <f t="shared" si="31"/>
        <v>0</v>
      </c>
      <c r="V270" s="12"/>
      <c r="W270" s="12"/>
      <c r="X270" s="12">
        <f t="shared" si="32"/>
        <v>0</v>
      </c>
      <c r="Y270" s="12"/>
      <c r="Z270" s="12"/>
      <c r="AA270" s="13">
        <f t="shared" si="33"/>
        <v>7500000</v>
      </c>
      <c r="AB270" s="14"/>
    </row>
    <row r="271" spans="1:28" ht="15.75" hidden="1" x14ac:dyDescent="0.25">
      <c r="A271" s="28">
        <v>46051</v>
      </c>
      <c r="B271" s="10" t="s">
        <v>197</v>
      </c>
      <c r="C271" s="10"/>
      <c r="D271" s="10" t="s">
        <v>28</v>
      </c>
      <c r="E271" s="10" t="s">
        <v>114</v>
      </c>
      <c r="F271" s="10">
        <v>100</v>
      </c>
      <c r="G271" s="10" t="s">
        <v>67</v>
      </c>
      <c r="H271" s="10">
        <v>50000</v>
      </c>
      <c r="I271" s="10">
        <f t="shared" si="34"/>
        <v>5000000</v>
      </c>
      <c r="J271" s="29" t="s">
        <v>110</v>
      </c>
      <c r="K271" s="95" t="s">
        <v>546</v>
      </c>
      <c r="L271" s="12">
        <f t="shared" si="28"/>
        <v>0</v>
      </c>
      <c r="M271" s="12"/>
      <c r="N271" s="12"/>
      <c r="O271" s="12">
        <f t="shared" si="29"/>
        <v>5000000</v>
      </c>
      <c r="P271" s="12">
        <v>1200000</v>
      </c>
      <c r="Q271" s="12">
        <v>3800000</v>
      </c>
      <c r="R271" s="12">
        <f t="shared" si="30"/>
        <v>0</v>
      </c>
      <c r="S271" s="12"/>
      <c r="T271" s="12"/>
      <c r="U271" s="12">
        <f t="shared" si="31"/>
        <v>0</v>
      </c>
      <c r="V271" s="12"/>
      <c r="W271" s="12"/>
      <c r="X271" s="12">
        <f t="shared" si="32"/>
        <v>0</v>
      </c>
      <c r="Y271" s="12"/>
      <c r="Z271" s="12"/>
      <c r="AA271" s="13">
        <f t="shared" si="33"/>
        <v>0</v>
      </c>
      <c r="AB271" s="14">
        <v>46077</v>
      </c>
    </row>
    <row r="272" spans="1:28" ht="15.75" x14ac:dyDescent="0.25">
      <c r="A272" s="28">
        <v>46051</v>
      </c>
      <c r="B272" s="10" t="s">
        <v>272</v>
      </c>
      <c r="C272" s="10"/>
      <c r="D272" s="10"/>
      <c r="E272" s="10" t="s">
        <v>86</v>
      </c>
      <c r="F272" s="10">
        <v>58</v>
      </c>
      <c r="G272" s="10" t="s">
        <v>36</v>
      </c>
      <c r="H272" s="10">
        <v>43000</v>
      </c>
      <c r="I272" s="10">
        <f t="shared" si="34"/>
        <v>2494000</v>
      </c>
      <c r="J272" s="86" t="s">
        <v>30</v>
      </c>
      <c r="K272" s="10"/>
      <c r="L272" s="12">
        <f t="shared" si="28"/>
        <v>0</v>
      </c>
      <c r="M272" s="12"/>
      <c r="N272" s="12"/>
      <c r="O272" s="12">
        <f t="shared" si="29"/>
        <v>0</v>
      </c>
      <c r="P272" s="12"/>
      <c r="Q272" s="12"/>
      <c r="R272" s="12">
        <f t="shared" si="30"/>
        <v>0</v>
      </c>
      <c r="S272" s="12"/>
      <c r="T272" s="12"/>
      <c r="U272" s="12">
        <f t="shared" si="31"/>
        <v>0</v>
      </c>
      <c r="V272" s="12"/>
      <c r="W272" s="12"/>
      <c r="X272" s="12">
        <f t="shared" si="32"/>
        <v>0</v>
      </c>
      <c r="Y272" s="12"/>
      <c r="Z272" s="12"/>
      <c r="AA272" s="13">
        <f t="shared" si="33"/>
        <v>2494000</v>
      </c>
      <c r="AB272" s="14"/>
    </row>
    <row r="273" spans="1:28" ht="15.75" x14ac:dyDescent="0.25">
      <c r="A273" s="28">
        <v>46051</v>
      </c>
      <c r="B273" s="10" t="s">
        <v>272</v>
      </c>
      <c r="C273" s="10"/>
      <c r="D273" s="10"/>
      <c r="E273" s="10" t="s">
        <v>80</v>
      </c>
      <c r="F273" s="10">
        <v>45.5</v>
      </c>
      <c r="G273" s="10" t="s">
        <v>36</v>
      </c>
      <c r="H273" s="10">
        <v>43000</v>
      </c>
      <c r="I273" s="10">
        <f t="shared" si="34"/>
        <v>1956500</v>
      </c>
      <c r="J273" s="86" t="s">
        <v>30</v>
      </c>
      <c r="K273" s="10"/>
      <c r="L273" s="12">
        <f t="shared" si="28"/>
        <v>0</v>
      </c>
      <c r="M273" s="12"/>
      <c r="N273" s="12"/>
      <c r="O273" s="12">
        <f t="shared" si="29"/>
        <v>0</v>
      </c>
      <c r="P273" s="12"/>
      <c r="Q273" s="12"/>
      <c r="R273" s="12">
        <f t="shared" si="30"/>
        <v>0</v>
      </c>
      <c r="S273" s="12"/>
      <c r="T273" s="12"/>
      <c r="U273" s="12">
        <f t="shared" si="31"/>
        <v>0</v>
      </c>
      <c r="V273" s="12"/>
      <c r="W273" s="12"/>
      <c r="X273" s="12">
        <f t="shared" si="32"/>
        <v>0</v>
      </c>
      <c r="Y273" s="12"/>
      <c r="Z273" s="12"/>
      <c r="AA273" s="13">
        <f t="shared" si="33"/>
        <v>1956500</v>
      </c>
      <c r="AB273" s="14"/>
    </row>
    <row r="274" spans="1:28" ht="15.75" x14ac:dyDescent="0.25">
      <c r="A274" s="28">
        <v>46051</v>
      </c>
      <c r="B274" s="10" t="s">
        <v>272</v>
      </c>
      <c r="C274" s="10"/>
      <c r="D274" s="10"/>
      <c r="E274" s="10" t="s">
        <v>307</v>
      </c>
      <c r="F274" s="10">
        <v>27</v>
      </c>
      <c r="G274" s="10" t="s">
        <v>36</v>
      </c>
      <c r="H274" s="10">
        <v>43000</v>
      </c>
      <c r="I274" s="10">
        <f t="shared" si="34"/>
        <v>1161000</v>
      </c>
      <c r="J274" s="86" t="s">
        <v>30</v>
      </c>
      <c r="K274" s="10"/>
      <c r="L274" s="12">
        <f t="shared" si="28"/>
        <v>0</v>
      </c>
      <c r="M274" s="12"/>
      <c r="N274" s="12"/>
      <c r="O274" s="12">
        <f t="shared" si="29"/>
        <v>0</v>
      </c>
      <c r="P274" s="12"/>
      <c r="Q274" s="12"/>
      <c r="R274" s="12">
        <f t="shared" si="30"/>
        <v>0</v>
      </c>
      <c r="S274" s="12"/>
      <c r="T274" s="12"/>
      <c r="U274" s="12">
        <f t="shared" si="31"/>
        <v>0</v>
      </c>
      <c r="V274" s="12"/>
      <c r="W274" s="12"/>
      <c r="X274" s="12">
        <f t="shared" si="32"/>
        <v>0</v>
      </c>
      <c r="Y274" s="12"/>
      <c r="Z274" s="12"/>
      <c r="AA274" s="13">
        <f t="shared" si="33"/>
        <v>1161000</v>
      </c>
      <c r="AB274" s="14"/>
    </row>
    <row r="275" spans="1:28" ht="15.75" x14ac:dyDescent="0.25">
      <c r="A275" s="28">
        <v>46051</v>
      </c>
      <c r="B275" s="10" t="s">
        <v>272</v>
      </c>
      <c r="C275" s="10"/>
      <c r="D275" s="10"/>
      <c r="E275" s="10" t="s">
        <v>315</v>
      </c>
      <c r="F275" s="10">
        <v>27</v>
      </c>
      <c r="G275" s="10" t="s">
        <v>36</v>
      </c>
      <c r="H275" s="10">
        <v>43000</v>
      </c>
      <c r="I275" s="10">
        <f t="shared" si="34"/>
        <v>1161000</v>
      </c>
      <c r="J275" s="115" t="s">
        <v>90</v>
      </c>
      <c r="K275" s="10"/>
      <c r="L275" s="12">
        <f t="shared" si="28"/>
        <v>0</v>
      </c>
      <c r="M275" s="12"/>
      <c r="N275" s="12"/>
      <c r="O275" s="12">
        <f t="shared" si="29"/>
        <v>0</v>
      </c>
      <c r="P275" s="12"/>
      <c r="Q275" s="12"/>
      <c r="R275" s="12">
        <f t="shared" si="30"/>
        <v>0</v>
      </c>
      <c r="S275" s="12"/>
      <c r="T275" s="12"/>
      <c r="U275" s="12">
        <f t="shared" si="31"/>
        <v>0</v>
      </c>
      <c r="V275" s="12"/>
      <c r="W275" s="12"/>
      <c r="X275" s="12">
        <f t="shared" si="32"/>
        <v>0</v>
      </c>
      <c r="Y275" s="12"/>
      <c r="Z275" s="12"/>
      <c r="AA275" s="13">
        <f t="shared" si="33"/>
        <v>1161000</v>
      </c>
      <c r="AB275" s="14"/>
    </row>
    <row r="276" spans="1:28" ht="15.75" x14ac:dyDescent="0.25">
      <c r="A276" s="28">
        <v>46051</v>
      </c>
      <c r="B276" s="10" t="s">
        <v>272</v>
      </c>
      <c r="C276" s="10"/>
      <c r="D276" s="10"/>
      <c r="E276" s="10" t="s">
        <v>168</v>
      </c>
      <c r="F276" s="10">
        <v>31.9</v>
      </c>
      <c r="G276" s="10" t="s">
        <v>36</v>
      </c>
      <c r="H276" s="10">
        <v>43000</v>
      </c>
      <c r="I276" s="10">
        <f t="shared" si="34"/>
        <v>1371700</v>
      </c>
      <c r="J276" s="86" t="s">
        <v>30</v>
      </c>
      <c r="K276" s="10"/>
      <c r="L276" s="12">
        <f t="shared" si="28"/>
        <v>0</v>
      </c>
      <c r="M276" s="12"/>
      <c r="N276" s="12"/>
      <c r="O276" s="12">
        <f t="shared" si="29"/>
        <v>0</v>
      </c>
      <c r="P276" s="12"/>
      <c r="Q276" s="12"/>
      <c r="R276" s="12">
        <f t="shared" si="30"/>
        <v>0</v>
      </c>
      <c r="S276" s="12"/>
      <c r="T276" s="12"/>
      <c r="U276" s="12">
        <f t="shared" si="31"/>
        <v>0</v>
      </c>
      <c r="V276" s="12"/>
      <c r="W276" s="12"/>
      <c r="X276" s="12">
        <f t="shared" si="32"/>
        <v>0</v>
      </c>
      <c r="Y276" s="12"/>
      <c r="Z276" s="12"/>
      <c r="AA276" s="13">
        <f t="shared" si="33"/>
        <v>1371700</v>
      </c>
      <c r="AB276" s="14"/>
    </row>
    <row r="277" spans="1:28" ht="15.75" hidden="1" x14ac:dyDescent="0.25">
      <c r="A277" s="28">
        <v>46052</v>
      </c>
      <c r="B277" s="10" t="s">
        <v>246</v>
      </c>
      <c r="C277" s="10"/>
      <c r="D277" s="10" t="s">
        <v>28</v>
      </c>
      <c r="E277" s="10" t="s">
        <v>65</v>
      </c>
      <c r="F277" s="10">
        <v>1500</v>
      </c>
      <c r="G277" s="10" t="s">
        <v>26</v>
      </c>
      <c r="H277" s="10">
        <v>3950</v>
      </c>
      <c r="I277" s="10">
        <f t="shared" si="34"/>
        <v>5925000</v>
      </c>
      <c r="J277" s="29" t="s">
        <v>110</v>
      </c>
      <c r="K277" s="10"/>
      <c r="L277" s="12">
        <f t="shared" si="28"/>
        <v>0</v>
      </c>
      <c r="M277" s="12"/>
      <c r="N277" s="12"/>
      <c r="O277" s="12">
        <f t="shared" si="29"/>
        <v>5925000</v>
      </c>
      <c r="P277" s="12">
        <f>3500000</f>
        <v>3500000</v>
      </c>
      <c r="Q277" s="12">
        <v>2425000</v>
      </c>
      <c r="R277" s="12">
        <f t="shared" si="30"/>
        <v>0</v>
      </c>
      <c r="S277" s="12"/>
      <c r="T277" s="12"/>
      <c r="U277" s="12">
        <f t="shared" si="31"/>
        <v>0</v>
      </c>
      <c r="V277" s="12"/>
      <c r="W277" s="12"/>
      <c r="X277" s="12">
        <f t="shared" si="32"/>
        <v>0</v>
      </c>
      <c r="Y277" s="12"/>
      <c r="Z277" s="12"/>
      <c r="AA277" s="13">
        <f t="shared" si="33"/>
        <v>0</v>
      </c>
      <c r="AB277" s="14">
        <v>46066</v>
      </c>
    </row>
    <row r="278" spans="1:28" ht="15.75" hidden="1" x14ac:dyDescent="0.25">
      <c r="A278" s="28">
        <v>46052</v>
      </c>
      <c r="B278" s="10" t="s">
        <v>246</v>
      </c>
      <c r="C278" s="10"/>
      <c r="D278" s="10" t="s">
        <v>28</v>
      </c>
      <c r="E278" s="10" t="s">
        <v>119</v>
      </c>
      <c r="F278" s="10">
        <v>25</v>
      </c>
      <c r="G278" s="10" t="s">
        <v>36</v>
      </c>
      <c r="H278" s="10">
        <v>165000</v>
      </c>
      <c r="I278" s="10">
        <f t="shared" si="34"/>
        <v>4125000</v>
      </c>
      <c r="J278" s="29" t="s">
        <v>110</v>
      </c>
      <c r="K278" s="10"/>
      <c r="L278" s="12">
        <f t="shared" si="28"/>
        <v>0</v>
      </c>
      <c r="M278" s="12"/>
      <c r="N278" s="12"/>
      <c r="O278" s="12">
        <f t="shared" si="29"/>
        <v>4125000</v>
      </c>
      <c r="P278" s="12"/>
      <c r="Q278" s="12">
        <v>4125000</v>
      </c>
      <c r="R278" s="12">
        <f t="shared" si="30"/>
        <v>0</v>
      </c>
      <c r="S278" s="12"/>
      <c r="T278" s="12"/>
      <c r="U278" s="12">
        <f t="shared" si="31"/>
        <v>0</v>
      </c>
      <c r="V278" s="12"/>
      <c r="W278" s="12"/>
      <c r="X278" s="12">
        <f t="shared" si="32"/>
        <v>0</v>
      </c>
      <c r="Y278" s="12"/>
      <c r="Z278" s="12"/>
      <c r="AA278" s="13">
        <f t="shared" si="33"/>
        <v>0</v>
      </c>
      <c r="AB278" s="14">
        <v>46069</v>
      </c>
    </row>
    <row r="279" spans="1:28" ht="15.75" hidden="1" x14ac:dyDescent="0.25">
      <c r="A279" s="28">
        <v>46052</v>
      </c>
      <c r="B279" s="10" t="s">
        <v>246</v>
      </c>
      <c r="C279" s="10"/>
      <c r="D279" s="10" t="s">
        <v>28</v>
      </c>
      <c r="E279" s="10" t="s">
        <v>137</v>
      </c>
      <c r="F279" s="10">
        <v>10</v>
      </c>
      <c r="G279" s="10" t="s">
        <v>36</v>
      </c>
      <c r="H279" s="10">
        <v>170000</v>
      </c>
      <c r="I279" s="10">
        <f t="shared" si="34"/>
        <v>1700000</v>
      </c>
      <c r="J279" s="29" t="s">
        <v>110</v>
      </c>
      <c r="K279" s="10"/>
      <c r="L279" s="12">
        <f t="shared" si="28"/>
        <v>0</v>
      </c>
      <c r="M279" s="12"/>
      <c r="N279" s="12"/>
      <c r="O279" s="12">
        <f t="shared" si="29"/>
        <v>1700000</v>
      </c>
      <c r="P279" s="12">
        <v>1700000</v>
      </c>
      <c r="Q279" s="12"/>
      <c r="R279" s="12">
        <f t="shared" si="30"/>
        <v>0</v>
      </c>
      <c r="S279" s="12"/>
      <c r="T279" s="12"/>
      <c r="U279" s="12">
        <f t="shared" si="31"/>
        <v>0</v>
      </c>
      <c r="V279" s="12"/>
      <c r="W279" s="12"/>
      <c r="X279" s="12">
        <f t="shared" si="32"/>
        <v>0</v>
      </c>
      <c r="Y279" s="12"/>
      <c r="Z279" s="12"/>
      <c r="AA279" s="13">
        <f t="shared" si="33"/>
        <v>0</v>
      </c>
      <c r="AB279" s="14">
        <v>46077</v>
      </c>
    </row>
    <row r="280" spans="1:28" ht="15.75" hidden="1" x14ac:dyDescent="0.25">
      <c r="A280" s="28">
        <v>46052</v>
      </c>
      <c r="B280" s="10" t="s">
        <v>232</v>
      </c>
      <c r="C280" s="10"/>
      <c r="D280" s="10" t="s">
        <v>383</v>
      </c>
      <c r="E280" s="10" t="s">
        <v>78</v>
      </c>
      <c r="F280" s="10">
        <v>10</v>
      </c>
      <c r="G280" s="10" t="s">
        <v>61</v>
      </c>
      <c r="H280" s="10">
        <v>230000</v>
      </c>
      <c r="I280" s="10">
        <f t="shared" si="34"/>
        <v>2300000</v>
      </c>
      <c r="J280" s="52" t="s">
        <v>30</v>
      </c>
      <c r="K280" s="10"/>
      <c r="L280" s="12">
        <f t="shared" si="28"/>
        <v>0</v>
      </c>
      <c r="M280" s="12"/>
      <c r="N280" s="12"/>
      <c r="O280" s="12">
        <f t="shared" si="29"/>
        <v>0</v>
      </c>
      <c r="P280" s="12"/>
      <c r="Q280" s="12"/>
      <c r="R280" s="12">
        <f t="shared" si="30"/>
        <v>0</v>
      </c>
      <c r="S280" s="12"/>
      <c r="T280" s="12"/>
      <c r="U280" s="12">
        <f t="shared" si="31"/>
        <v>0</v>
      </c>
      <c r="V280" s="12"/>
      <c r="W280" s="12"/>
      <c r="X280" s="12">
        <f t="shared" si="32"/>
        <v>0</v>
      </c>
      <c r="Y280" s="12"/>
      <c r="Z280" s="12"/>
      <c r="AA280" s="13">
        <f t="shared" si="33"/>
        <v>2300000</v>
      </c>
      <c r="AB280" s="14"/>
    </row>
    <row r="281" spans="1:28" ht="15.75" hidden="1" x14ac:dyDescent="0.25">
      <c r="A281" s="28">
        <v>46052</v>
      </c>
      <c r="B281" s="10" t="s">
        <v>232</v>
      </c>
      <c r="C281" s="10"/>
      <c r="D281" s="10" t="s">
        <v>383</v>
      </c>
      <c r="E281" s="10" t="s">
        <v>104</v>
      </c>
      <c r="F281" s="10">
        <v>10000</v>
      </c>
      <c r="G281" s="10" t="s">
        <v>26</v>
      </c>
      <c r="H281" s="10">
        <v>1900</v>
      </c>
      <c r="I281" s="10">
        <f t="shared" si="34"/>
        <v>19000000</v>
      </c>
      <c r="J281" s="52" t="s">
        <v>30</v>
      </c>
      <c r="K281" s="10"/>
      <c r="L281" s="12">
        <f t="shared" si="28"/>
        <v>0</v>
      </c>
      <c r="M281" s="12"/>
      <c r="N281" s="12"/>
      <c r="O281" s="12">
        <f t="shared" si="29"/>
        <v>0</v>
      </c>
      <c r="P281" s="12"/>
      <c r="Q281" s="12"/>
      <c r="R281" s="12">
        <f t="shared" si="30"/>
        <v>0</v>
      </c>
      <c r="S281" s="12"/>
      <c r="T281" s="12"/>
      <c r="U281" s="12">
        <f t="shared" si="31"/>
        <v>0</v>
      </c>
      <c r="V281" s="12"/>
      <c r="W281" s="12"/>
      <c r="X281" s="12">
        <f t="shared" si="32"/>
        <v>0</v>
      </c>
      <c r="Y281" s="12"/>
      <c r="Z281" s="12"/>
      <c r="AA281" s="13">
        <f t="shared" si="33"/>
        <v>19000000</v>
      </c>
      <c r="AB281" s="14"/>
    </row>
    <row r="282" spans="1:28" ht="15.75" hidden="1" x14ac:dyDescent="0.25">
      <c r="A282" s="28">
        <v>46052</v>
      </c>
      <c r="B282" s="10" t="s">
        <v>101</v>
      </c>
      <c r="C282" s="10"/>
      <c r="D282" s="10" t="s">
        <v>383</v>
      </c>
      <c r="E282" s="10" t="s">
        <v>88</v>
      </c>
      <c r="F282" s="10">
        <v>50</v>
      </c>
      <c r="G282" s="10" t="s">
        <v>36</v>
      </c>
      <c r="H282" s="10">
        <v>125000</v>
      </c>
      <c r="I282" s="10">
        <f t="shared" si="34"/>
        <v>6250000</v>
      </c>
      <c r="J282" s="52" t="s">
        <v>90</v>
      </c>
      <c r="K282" s="10"/>
      <c r="L282" s="12">
        <f t="shared" si="28"/>
        <v>0</v>
      </c>
      <c r="M282" s="12"/>
      <c r="N282" s="12"/>
      <c r="O282" s="12">
        <f t="shared" si="29"/>
        <v>0</v>
      </c>
      <c r="P282" s="12"/>
      <c r="Q282" s="12"/>
      <c r="R282" s="12">
        <f t="shared" si="30"/>
        <v>0</v>
      </c>
      <c r="S282" s="12"/>
      <c r="T282" s="12"/>
      <c r="U282" s="12">
        <f t="shared" si="31"/>
        <v>0</v>
      </c>
      <c r="V282" s="12"/>
      <c r="W282" s="12"/>
      <c r="X282" s="12">
        <f t="shared" si="32"/>
        <v>0</v>
      </c>
      <c r="Y282" s="12"/>
      <c r="Z282" s="12"/>
      <c r="AA282" s="13">
        <f t="shared" si="33"/>
        <v>6250000</v>
      </c>
      <c r="AB282" s="14"/>
    </row>
    <row r="283" spans="1:28" ht="15.75" hidden="1" x14ac:dyDescent="0.25">
      <c r="A283" s="28">
        <v>46052</v>
      </c>
      <c r="B283" s="10" t="s">
        <v>101</v>
      </c>
      <c r="C283" s="10"/>
      <c r="D283" s="10" t="s">
        <v>383</v>
      </c>
      <c r="E283" s="10" t="s">
        <v>290</v>
      </c>
      <c r="F283" s="10">
        <v>10</v>
      </c>
      <c r="G283" s="10" t="s">
        <v>36</v>
      </c>
      <c r="H283" s="10">
        <v>25000</v>
      </c>
      <c r="I283" s="10">
        <f t="shared" si="34"/>
        <v>250000</v>
      </c>
      <c r="J283" s="52" t="s">
        <v>90</v>
      </c>
      <c r="K283" s="10"/>
      <c r="L283" s="12">
        <f t="shared" si="28"/>
        <v>0</v>
      </c>
      <c r="M283" s="12"/>
      <c r="N283" s="12"/>
      <c r="O283" s="12">
        <f t="shared" si="29"/>
        <v>0</v>
      </c>
      <c r="P283" s="12"/>
      <c r="Q283" s="12"/>
      <c r="R283" s="12">
        <f t="shared" si="30"/>
        <v>0</v>
      </c>
      <c r="S283" s="12"/>
      <c r="T283" s="12"/>
      <c r="U283" s="12">
        <f t="shared" si="31"/>
        <v>0</v>
      </c>
      <c r="V283" s="12"/>
      <c r="W283" s="12"/>
      <c r="X283" s="12">
        <f t="shared" si="32"/>
        <v>0</v>
      </c>
      <c r="Y283" s="12"/>
      <c r="Z283" s="12"/>
      <c r="AA283" s="13">
        <f t="shared" si="33"/>
        <v>250000</v>
      </c>
      <c r="AB283" s="14"/>
    </row>
    <row r="284" spans="1:28" ht="15.75" hidden="1" x14ac:dyDescent="0.25">
      <c r="A284" s="28">
        <v>46052</v>
      </c>
      <c r="B284" s="10" t="s">
        <v>176</v>
      </c>
      <c r="C284" s="10"/>
      <c r="D284" s="10" t="s">
        <v>383</v>
      </c>
      <c r="E284" s="10" t="s">
        <v>164</v>
      </c>
      <c r="F284" s="10">
        <v>17</v>
      </c>
      <c r="G284" s="10" t="s">
        <v>36</v>
      </c>
      <c r="H284" s="10">
        <v>43000</v>
      </c>
      <c r="I284" s="10">
        <f t="shared" si="34"/>
        <v>731000</v>
      </c>
      <c r="J284" s="52" t="s">
        <v>30</v>
      </c>
      <c r="K284" s="10"/>
      <c r="L284" s="12">
        <f t="shared" si="28"/>
        <v>0</v>
      </c>
      <c r="M284" s="12"/>
      <c r="N284" s="12"/>
      <c r="O284" s="12">
        <f t="shared" si="29"/>
        <v>0</v>
      </c>
      <c r="P284" s="12"/>
      <c r="Q284" s="12"/>
      <c r="R284" s="12">
        <f t="shared" si="30"/>
        <v>0</v>
      </c>
      <c r="S284" s="12"/>
      <c r="T284" s="12"/>
      <c r="U284" s="12">
        <f t="shared" si="31"/>
        <v>0</v>
      </c>
      <c r="V284" s="12"/>
      <c r="W284" s="12"/>
      <c r="X284" s="12">
        <f t="shared" si="32"/>
        <v>0</v>
      </c>
      <c r="Y284" s="12"/>
      <c r="Z284" s="12"/>
      <c r="AA284" s="13">
        <f t="shared" si="33"/>
        <v>731000</v>
      </c>
      <c r="AB284" s="14"/>
    </row>
    <row r="285" spans="1:28" ht="15.75" x14ac:dyDescent="0.25">
      <c r="A285" s="28">
        <v>46052</v>
      </c>
      <c r="B285" s="10" t="s">
        <v>272</v>
      </c>
      <c r="C285" s="10"/>
      <c r="D285" s="10"/>
      <c r="E285" s="10" t="s">
        <v>92</v>
      </c>
      <c r="F285" s="10">
        <v>68.400000000000006</v>
      </c>
      <c r="G285" s="10" t="s">
        <v>36</v>
      </c>
      <c r="H285" s="10">
        <v>43000</v>
      </c>
      <c r="I285" s="10">
        <f t="shared" si="34"/>
        <v>2941200.0000000005</v>
      </c>
      <c r="J285" s="86" t="s">
        <v>30</v>
      </c>
      <c r="K285" s="10"/>
      <c r="L285" s="12">
        <f t="shared" si="28"/>
        <v>0</v>
      </c>
      <c r="M285" s="12"/>
      <c r="N285" s="12"/>
      <c r="O285" s="12">
        <f t="shared" si="29"/>
        <v>0</v>
      </c>
      <c r="P285" s="12"/>
      <c r="Q285" s="12"/>
      <c r="R285" s="12">
        <f t="shared" si="30"/>
        <v>0</v>
      </c>
      <c r="S285" s="12"/>
      <c r="T285" s="12"/>
      <c r="U285" s="12">
        <f t="shared" si="31"/>
        <v>0</v>
      </c>
      <c r="V285" s="12"/>
      <c r="W285" s="12"/>
      <c r="X285" s="12">
        <f t="shared" si="32"/>
        <v>0</v>
      </c>
      <c r="Y285" s="12"/>
      <c r="Z285" s="12"/>
      <c r="AA285" s="13">
        <f t="shared" si="33"/>
        <v>2941200.0000000005</v>
      </c>
      <c r="AB285" s="14"/>
    </row>
    <row r="286" spans="1:28" ht="15.75" x14ac:dyDescent="0.25">
      <c r="A286" s="28">
        <v>46052</v>
      </c>
      <c r="B286" s="10" t="s">
        <v>272</v>
      </c>
      <c r="C286" s="10"/>
      <c r="D286" s="10"/>
      <c r="E286" s="10" t="s">
        <v>436</v>
      </c>
      <c r="F286" s="10">
        <v>33.200000000000003</v>
      </c>
      <c r="G286" s="10" t="s">
        <v>36</v>
      </c>
      <c r="H286" s="10">
        <v>43000</v>
      </c>
      <c r="I286" s="10">
        <f t="shared" si="34"/>
        <v>1427600.0000000002</v>
      </c>
      <c r="J286" s="86" t="s">
        <v>30</v>
      </c>
      <c r="K286" s="10"/>
      <c r="L286" s="12">
        <f t="shared" si="28"/>
        <v>0</v>
      </c>
      <c r="M286" s="12"/>
      <c r="N286" s="12"/>
      <c r="O286" s="12">
        <f t="shared" si="29"/>
        <v>0</v>
      </c>
      <c r="P286" s="12"/>
      <c r="Q286" s="12"/>
      <c r="R286" s="12">
        <f t="shared" si="30"/>
        <v>0</v>
      </c>
      <c r="S286" s="12"/>
      <c r="T286" s="12"/>
      <c r="U286" s="12">
        <f t="shared" si="31"/>
        <v>0</v>
      </c>
      <c r="V286" s="12"/>
      <c r="W286" s="12"/>
      <c r="X286" s="12">
        <f t="shared" si="32"/>
        <v>0</v>
      </c>
      <c r="Y286" s="12"/>
      <c r="Z286" s="12"/>
      <c r="AA286" s="13">
        <f t="shared" si="33"/>
        <v>1427600.0000000002</v>
      </c>
      <c r="AB286" s="14"/>
    </row>
    <row r="287" spans="1:28" ht="15.75" x14ac:dyDescent="0.25">
      <c r="A287" s="28">
        <v>46052</v>
      </c>
      <c r="B287" s="10" t="s">
        <v>272</v>
      </c>
      <c r="C287" s="10"/>
      <c r="D287" s="10"/>
      <c r="E287" s="10" t="s">
        <v>136</v>
      </c>
      <c r="F287" s="10">
        <v>23.7</v>
      </c>
      <c r="G287" s="10" t="s">
        <v>36</v>
      </c>
      <c r="H287" s="10">
        <v>43000</v>
      </c>
      <c r="I287" s="10">
        <f t="shared" si="34"/>
        <v>1019100</v>
      </c>
      <c r="J287" s="86" t="s">
        <v>30</v>
      </c>
      <c r="K287" s="10"/>
      <c r="L287" s="12">
        <f t="shared" si="28"/>
        <v>0</v>
      </c>
      <c r="M287" s="12"/>
      <c r="N287" s="12"/>
      <c r="O287" s="12">
        <f t="shared" si="29"/>
        <v>0</v>
      </c>
      <c r="P287" s="12"/>
      <c r="Q287" s="12"/>
      <c r="R287" s="12">
        <f t="shared" si="30"/>
        <v>0</v>
      </c>
      <c r="S287" s="12"/>
      <c r="T287" s="12"/>
      <c r="U287" s="12">
        <f t="shared" si="31"/>
        <v>0</v>
      </c>
      <c r="V287" s="12"/>
      <c r="W287" s="12"/>
      <c r="X287" s="12">
        <f t="shared" si="32"/>
        <v>0</v>
      </c>
      <c r="Y287" s="12"/>
      <c r="Z287" s="12"/>
      <c r="AA287" s="13">
        <f t="shared" si="33"/>
        <v>1019100</v>
      </c>
      <c r="AB287" s="14"/>
    </row>
    <row r="288" spans="1:28" ht="15.75" x14ac:dyDescent="0.25">
      <c r="A288" s="28">
        <v>46052</v>
      </c>
      <c r="B288" s="10" t="s">
        <v>272</v>
      </c>
      <c r="C288" s="10"/>
      <c r="D288" s="10"/>
      <c r="E288" s="10" t="s">
        <v>80</v>
      </c>
      <c r="F288" s="10">
        <v>23</v>
      </c>
      <c r="G288" s="10" t="s">
        <v>36</v>
      </c>
      <c r="H288" s="10">
        <v>43000</v>
      </c>
      <c r="I288" s="10">
        <f t="shared" si="34"/>
        <v>989000</v>
      </c>
      <c r="J288" s="86" t="s">
        <v>30</v>
      </c>
      <c r="K288" s="10"/>
      <c r="L288" s="12">
        <f t="shared" si="28"/>
        <v>0</v>
      </c>
      <c r="M288" s="12"/>
      <c r="N288" s="12"/>
      <c r="O288" s="12">
        <f t="shared" si="29"/>
        <v>0</v>
      </c>
      <c r="P288" s="12"/>
      <c r="Q288" s="12"/>
      <c r="R288" s="12">
        <f t="shared" si="30"/>
        <v>0</v>
      </c>
      <c r="S288" s="12"/>
      <c r="T288" s="12"/>
      <c r="U288" s="12">
        <f t="shared" si="31"/>
        <v>0</v>
      </c>
      <c r="V288" s="12"/>
      <c r="W288" s="12"/>
      <c r="X288" s="12">
        <f t="shared" si="32"/>
        <v>0</v>
      </c>
      <c r="Y288" s="12"/>
      <c r="Z288" s="12"/>
      <c r="AA288" s="13">
        <f t="shared" si="33"/>
        <v>989000</v>
      </c>
      <c r="AB288" s="14"/>
    </row>
    <row r="289" spans="1:28" ht="15.75" x14ac:dyDescent="0.25">
      <c r="A289" s="28">
        <v>46052</v>
      </c>
      <c r="B289" s="10" t="s">
        <v>272</v>
      </c>
      <c r="C289" s="10"/>
      <c r="D289" s="10"/>
      <c r="E289" s="10" t="s">
        <v>168</v>
      </c>
      <c r="F289" s="10">
        <v>31.3</v>
      </c>
      <c r="G289" s="10" t="s">
        <v>36</v>
      </c>
      <c r="H289" s="10">
        <v>43000</v>
      </c>
      <c r="I289" s="10">
        <f t="shared" si="34"/>
        <v>1345900</v>
      </c>
      <c r="J289" s="115" t="s">
        <v>90</v>
      </c>
      <c r="K289" s="10"/>
      <c r="L289" s="12">
        <f t="shared" si="28"/>
        <v>0</v>
      </c>
      <c r="M289" s="12"/>
      <c r="N289" s="12"/>
      <c r="O289" s="12">
        <f t="shared" si="29"/>
        <v>0</v>
      </c>
      <c r="P289" s="12"/>
      <c r="Q289" s="12"/>
      <c r="R289" s="12">
        <f t="shared" si="30"/>
        <v>0</v>
      </c>
      <c r="S289" s="12"/>
      <c r="T289" s="12"/>
      <c r="U289" s="12">
        <f t="shared" si="31"/>
        <v>0</v>
      </c>
      <c r="V289" s="12"/>
      <c r="W289" s="12"/>
      <c r="X289" s="12">
        <f t="shared" si="32"/>
        <v>0</v>
      </c>
      <c r="Y289" s="12"/>
      <c r="Z289" s="12"/>
      <c r="AA289" s="13">
        <f t="shared" si="33"/>
        <v>1345900</v>
      </c>
      <c r="AB289" s="14"/>
    </row>
    <row r="290" spans="1:28" ht="15.75" x14ac:dyDescent="0.25">
      <c r="A290" s="28">
        <v>46052</v>
      </c>
      <c r="B290" s="10" t="s">
        <v>272</v>
      </c>
      <c r="C290" s="10"/>
      <c r="D290" s="10"/>
      <c r="E290" s="10" t="s">
        <v>92</v>
      </c>
      <c r="F290" s="10">
        <v>34</v>
      </c>
      <c r="G290" s="10" t="s">
        <v>36</v>
      </c>
      <c r="H290" s="10">
        <v>43000</v>
      </c>
      <c r="I290" s="10">
        <f t="shared" si="34"/>
        <v>1462000</v>
      </c>
      <c r="J290" s="86" t="s">
        <v>30</v>
      </c>
      <c r="K290" s="10"/>
      <c r="L290" s="12">
        <f t="shared" si="28"/>
        <v>0</v>
      </c>
      <c r="M290" s="12"/>
      <c r="N290" s="12"/>
      <c r="O290" s="12">
        <f t="shared" si="29"/>
        <v>0</v>
      </c>
      <c r="P290" s="12"/>
      <c r="Q290" s="12"/>
      <c r="R290" s="12">
        <f t="shared" si="30"/>
        <v>0</v>
      </c>
      <c r="S290" s="12"/>
      <c r="T290" s="12"/>
      <c r="U290" s="12">
        <f t="shared" si="31"/>
        <v>0</v>
      </c>
      <c r="V290" s="12"/>
      <c r="W290" s="12"/>
      <c r="X290" s="12">
        <f t="shared" si="32"/>
        <v>0</v>
      </c>
      <c r="Y290" s="12"/>
      <c r="Z290" s="12"/>
      <c r="AA290" s="13">
        <f t="shared" si="33"/>
        <v>1462000</v>
      </c>
      <c r="AB290" s="14"/>
    </row>
    <row r="291" spans="1:28" ht="15.75" hidden="1" x14ac:dyDescent="0.25">
      <c r="A291" s="28">
        <v>46053</v>
      </c>
      <c r="B291" s="10" t="s">
        <v>122</v>
      </c>
      <c r="C291" s="10"/>
      <c r="D291" s="10" t="s">
        <v>383</v>
      </c>
      <c r="E291" s="10" t="s">
        <v>65</v>
      </c>
      <c r="F291" s="10">
        <v>10400</v>
      </c>
      <c r="G291" s="10" t="s">
        <v>26</v>
      </c>
      <c r="H291" s="10">
        <v>3800</v>
      </c>
      <c r="I291" s="10">
        <f t="shared" si="34"/>
        <v>39520000</v>
      </c>
      <c r="J291" s="52" t="s">
        <v>30</v>
      </c>
      <c r="K291" s="10"/>
      <c r="L291" s="12">
        <f t="shared" si="28"/>
        <v>0</v>
      </c>
      <c r="M291" s="12"/>
      <c r="N291" s="12"/>
      <c r="O291" s="12">
        <f t="shared" si="29"/>
        <v>0</v>
      </c>
      <c r="P291" s="12"/>
      <c r="Q291" s="12"/>
      <c r="R291" s="12">
        <f t="shared" si="30"/>
        <v>0</v>
      </c>
      <c r="S291" s="12"/>
      <c r="T291" s="12"/>
      <c r="U291" s="12">
        <f t="shared" si="31"/>
        <v>0</v>
      </c>
      <c r="V291" s="12"/>
      <c r="W291" s="12"/>
      <c r="X291" s="12">
        <f t="shared" si="32"/>
        <v>0</v>
      </c>
      <c r="Y291" s="12"/>
      <c r="Z291" s="12"/>
      <c r="AA291" s="13">
        <f t="shared" si="33"/>
        <v>39520000</v>
      </c>
      <c r="AB291" s="14"/>
    </row>
    <row r="292" spans="1:28" ht="15.75" hidden="1" x14ac:dyDescent="0.25">
      <c r="A292" s="28">
        <v>46053</v>
      </c>
      <c r="B292" s="10" t="s">
        <v>106</v>
      </c>
      <c r="C292" s="10"/>
      <c r="D292" s="10" t="s">
        <v>383</v>
      </c>
      <c r="E292" s="10" t="s">
        <v>164</v>
      </c>
      <c r="F292" s="10">
        <v>17</v>
      </c>
      <c r="G292" s="10" t="s">
        <v>36</v>
      </c>
      <c r="H292" s="10">
        <v>43000</v>
      </c>
      <c r="I292" s="10">
        <f t="shared" si="34"/>
        <v>731000</v>
      </c>
      <c r="J292" s="29" t="s">
        <v>110</v>
      </c>
      <c r="K292" s="10"/>
      <c r="L292" s="12">
        <f t="shared" si="28"/>
        <v>0</v>
      </c>
      <c r="M292" s="12"/>
      <c r="N292" s="12"/>
      <c r="O292" s="12">
        <f t="shared" si="29"/>
        <v>731000</v>
      </c>
      <c r="P292" s="12">
        <v>731000</v>
      </c>
      <c r="Q292" s="12"/>
      <c r="R292" s="12">
        <f t="shared" si="30"/>
        <v>0</v>
      </c>
      <c r="S292" s="12"/>
      <c r="T292" s="12"/>
      <c r="U292" s="12">
        <f t="shared" si="31"/>
        <v>0</v>
      </c>
      <c r="V292" s="12"/>
      <c r="W292" s="12"/>
      <c r="X292" s="12">
        <f t="shared" si="32"/>
        <v>0</v>
      </c>
      <c r="Y292" s="12"/>
      <c r="Z292" s="12"/>
      <c r="AA292" s="13">
        <f t="shared" si="33"/>
        <v>0</v>
      </c>
      <c r="AB292" s="14">
        <v>46058</v>
      </c>
    </row>
    <row r="293" spans="1:28" ht="15.75" hidden="1" x14ac:dyDescent="0.25">
      <c r="A293" s="28">
        <v>46053</v>
      </c>
      <c r="B293" s="10" t="s">
        <v>437</v>
      </c>
      <c r="C293" s="10"/>
      <c r="D293" s="10" t="s">
        <v>28</v>
      </c>
      <c r="E293" s="10" t="s">
        <v>228</v>
      </c>
      <c r="F293" s="10">
        <v>5</v>
      </c>
      <c r="G293" s="10" t="s">
        <v>36</v>
      </c>
      <c r="H293" s="10">
        <v>290000</v>
      </c>
      <c r="I293" s="10">
        <f t="shared" si="34"/>
        <v>1450000</v>
      </c>
      <c r="J293" s="29" t="s">
        <v>110</v>
      </c>
      <c r="K293" s="10"/>
      <c r="L293" s="12">
        <f t="shared" si="28"/>
        <v>0</v>
      </c>
      <c r="M293" s="12"/>
      <c r="N293" s="12"/>
      <c r="O293" s="12">
        <f t="shared" si="29"/>
        <v>1450000</v>
      </c>
      <c r="P293" s="12">
        <v>1450000</v>
      </c>
      <c r="Q293" s="12"/>
      <c r="R293" s="12">
        <f t="shared" si="30"/>
        <v>0</v>
      </c>
      <c r="S293" s="12"/>
      <c r="T293" s="12"/>
      <c r="U293" s="12">
        <f t="shared" si="31"/>
        <v>0</v>
      </c>
      <c r="V293" s="12"/>
      <c r="W293" s="12"/>
      <c r="X293" s="12">
        <f t="shared" si="32"/>
        <v>0</v>
      </c>
      <c r="Y293" s="12"/>
      <c r="Z293" s="12"/>
      <c r="AA293" s="13">
        <f t="shared" si="33"/>
        <v>0</v>
      </c>
      <c r="AB293" s="14">
        <v>46055</v>
      </c>
    </row>
    <row r="294" spans="1:28" ht="15.75" hidden="1" x14ac:dyDescent="0.25">
      <c r="A294" s="28">
        <v>46053</v>
      </c>
      <c r="B294" s="10" t="s">
        <v>437</v>
      </c>
      <c r="C294" s="10"/>
      <c r="D294" s="10" t="s">
        <v>28</v>
      </c>
      <c r="E294" s="10" t="s">
        <v>271</v>
      </c>
      <c r="F294" s="10">
        <v>5</v>
      </c>
      <c r="G294" s="10" t="s">
        <v>36</v>
      </c>
      <c r="H294" s="10">
        <v>165000</v>
      </c>
      <c r="I294" s="10">
        <f t="shared" si="34"/>
        <v>825000</v>
      </c>
      <c r="J294" s="29" t="s">
        <v>110</v>
      </c>
      <c r="K294" s="10"/>
      <c r="L294" s="12">
        <f t="shared" si="28"/>
        <v>0</v>
      </c>
      <c r="M294" s="12"/>
      <c r="N294" s="12"/>
      <c r="O294" s="12">
        <f t="shared" si="29"/>
        <v>825000</v>
      </c>
      <c r="P294" s="12">
        <v>825000</v>
      </c>
      <c r="Q294" s="12"/>
      <c r="R294" s="12">
        <f t="shared" si="30"/>
        <v>0</v>
      </c>
      <c r="S294" s="12"/>
      <c r="T294" s="12"/>
      <c r="U294" s="12">
        <f t="shared" si="31"/>
        <v>0</v>
      </c>
      <c r="V294" s="12"/>
      <c r="W294" s="12"/>
      <c r="X294" s="12">
        <f t="shared" si="32"/>
        <v>0</v>
      </c>
      <c r="Y294" s="12"/>
      <c r="Z294" s="12"/>
      <c r="AA294" s="13">
        <f t="shared" si="33"/>
        <v>0</v>
      </c>
      <c r="AB294" s="14">
        <v>46055</v>
      </c>
    </row>
    <row r="295" spans="1:28" ht="15.75" hidden="1" x14ac:dyDescent="0.25">
      <c r="A295" s="28">
        <v>46053</v>
      </c>
      <c r="B295" s="10" t="s">
        <v>438</v>
      </c>
      <c r="C295" s="10"/>
      <c r="D295" s="10" t="s">
        <v>28</v>
      </c>
      <c r="E295" s="10" t="s">
        <v>439</v>
      </c>
      <c r="F295" s="10">
        <v>2060</v>
      </c>
      <c r="G295" s="10" t="s">
        <v>407</v>
      </c>
      <c r="H295" s="10">
        <v>4000</v>
      </c>
      <c r="I295" s="10">
        <f t="shared" si="34"/>
        <v>8240000</v>
      </c>
      <c r="J295" s="29" t="s">
        <v>110</v>
      </c>
      <c r="K295" s="10"/>
      <c r="L295" s="12">
        <f t="shared" si="28"/>
        <v>0</v>
      </c>
      <c r="M295" s="12"/>
      <c r="N295" s="12"/>
      <c r="O295" s="12">
        <f t="shared" si="29"/>
        <v>0</v>
      </c>
      <c r="P295" s="12"/>
      <c r="Q295" s="12"/>
      <c r="R295" s="12">
        <f t="shared" si="30"/>
        <v>8240000</v>
      </c>
      <c r="S295" s="12">
        <v>7600000</v>
      </c>
      <c r="T295" s="12">
        <v>640000</v>
      </c>
      <c r="U295" s="12">
        <f t="shared" si="31"/>
        <v>0</v>
      </c>
      <c r="V295" s="12"/>
      <c r="W295" s="12"/>
      <c r="X295" s="12">
        <f t="shared" si="32"/>
        <v>0</v>
      </c>
      <c r="Y295" s="12"/>
      <c r="Z295" s="12"/>
      <c r="AA295" s="13">
        <f t="shared" si="33"/>
        <v>0</v>
      </c>
      <c r="AB295" s="14">
        <v>46053</v>
      </c>
    </row>
    <row r="296" spans="1:28" ht="15.75" hidden="1" x14ac:dyDescent="0.25">
      <c r="A296" s="28">
        <v>46053</v>
      </c>
      <c r="B296" s="10" t="s">
        <v>440</v>
      </c>
      <c r="C296" s="10"/>
      <c r="D296" s="10" t="s">
        <v>383</v>
      </c>
      <c r="E296" s="10" t="s">
        <v>421</v>
      </c>
      <c r="F296" s="10">
        <v>1</v>
      </c>
      <c r="G296" s="10" t="s">
        <v>22</v>
      </c>
      <c r="H296" s="10">
        <v>400000</v>
      </c>
      <c r="I296" s="10">
        <f t="shared" si="34"/>
        <v>400000</v>
      </c>
      <c r="J296" s="29" t="s">
        <v>113</v>
      </c>
      <c r="K296" s="10"/>
      <c r="L296" s="12">
        <f t="shared" si="28"/>
        <v>0</v>
      </c>
      <c r="M296" s="12"/>
      <c r="N296" s="12"/>
      <c r="O296" s="12">
        <f t="shared" si="29"/>
        <v>0</v>
      </c>
      <c r="P296" s="12"/>
      <c r="Q296" s="12"/>
      <c r="R296" s="12">
        <f t="shared" si="30"/>
        <v>0</v>
      </c>
      <c r="S296" s="12"/>
      <c r="T296" s="12"/>
      <c r="U296" s="12">
        <f t="shared" si="31"/>
        <v>400000</v>
      </c>
      <c r="V296" s="12">
        <v>400000</v>
      </c>
      <c r="W296" s="12"/>
      <c r="X296" s="12">
        <f t="shared" si="32"/>
        <v>0</v>
      </c>
      <c r="Y296" s="12"/>
      <c r="Z296" s="12"/>
      <c r="AA296" s="13">
        <f t="shared" si="33"/>
        <v>0</v>
      </c>
      <c r="AB296" s="14">
        <v>46062</v>
      </c>
    </row>
    <row r="297" spans="1:28" ht="15.75" hidden="1" x14ac:dyDescent="0.25">
      <c r="A297" s="28">
        <v>46053</v>
      </c>
      <c r="B297" s="10" t="s">
        <v>440</v>
      </c>
      <c r="C297" s="10"/>
      <c r="D297" s="10" t="s">
        <v>383</v>
      </c>
      <c r="E297" s="10" t="s">
        <v>314</v>
      </c>
      <c r="F297" s="10">
        <v>1</v>
      </c>
      <c r="G297" s="10" t="s">
        <v>22</v>
      </c>
      <c r="H297" s="10">
        <v>400000</v>
      </c>
      <c r="I297" s="10">
        <f t="shared" si="34"/>
        <v>400000</v>
      </c>
      <c r="J297" s="29" t="s">
        <v>113</v>
      </c>
      <c r="K297" s="10"/>
      <c r="L297" s="12">
        <f t="shared" si="28"/>
        <v>0</v>
      </c>
      <c r="M297" s="12"/>
      <c r="N297" s="12"/>
      <c r="O297" s="12">
        <f t="shared" si="29"/>
        <v>0</v>
      </c>
      <c r="P297" s="12"/>
      <c r="Q297" s="12"/>
      <c r="R297" s="12">
        <f t="shared" si="30"/>
        <v>0</v>
      </c>
      <c r="S297" s="12"/>
      <c r="T297" s="12"/>
      <c r="U297" s="12">
        <f t="shared" si="31"/>
        <v>400000</v>
      </c>
      <c r="V297" s="12">
        <v>400000</v>
      </c>
      <c r="W297" s="12"/>
      <c r="X297" s="12">
        <f t="shared" si="32"/>
        <v>0</v>
      </c>
      <c r="Y297" s="12"/>
      <c r="Z297" s="12"/>
      <c r="AA297" s="13">
        <f t="shared" si="33"/>
        <v>0</v>
      </c>
      <c r="AB297" s="14">
        <v>46062</v>
      </c>
    </row>
    <row r="298" spans="1:28" ht="15.75" hidden="1" x14ac:dyDescent="0.25">
      <c r="A298" s="65">
        <v>46053</v>
      </c>
      <c r="B298" s="10" t="s">
        <v>274</v>
      </c>
      <c r="C298" s="10"/>
      <c r="D298" s="10" t="s">
        <v>383</v>
      </c>
      <c r="E298" s="10" t="s">
        <v>86</v>
      </c>
      <c r="F298" s="10">
        <v>29.9</v>
      </c>
      <c r="G298" s="10" t="s">
        <v>36</v>
      </c>
      <c r="H298" s="10">
        <v>43000</v>
      </c>
      <c r="I298" s="10">
        <f t="shared" si="34"/>
        <v>1285700</v>
      </c>
      <c r="J298" s="29" t="s">
        <v>113</v>
      </c>
      <c r="K298" s="10"/>
      <c r="L298" s="12">
        <f t="shared" si="28"/>
        <v>1285700</v>
      </c>
      <c r="M298" s="12">
        <v>1285700</v>
      </c>
      <c r="N298" s="12"/>
      <c r="O298" s="12">
        <f t="shared" si="29"/>
        <v>0</v>
      </c>
      <c r="P298" s="12"/>
      <c r="Q298" s="12"/>
      <c r="R298" s="12">
        <f t="shared" si="30"/>
        <v>0</v>
      </c>
      <c r="S298" s="12"/>
      <c r="T298" s="12"/>
      <c r="U298" s="12">
        <f t="shared" si="31"/>
        <v>0</v>
      </c>
      <c r="V298" s="12"/>
      <c r="W298" s="12"/>
      <c r="X298" s="12">
        <f t="shared" si="32"/>
        <v>0</v>
      </c>
      <c r="Y298" s="12"/>
      <c r="Z298" s="12"/>
      <c r="AA298" s="13">
        <f t="shared" si="33"/>
        <v>0</v>
      </c>
      <c r="AB298" s="14">
        <v>46053</v>
      </c>
    </row>
    <row r="299" spans="1:28" ht="15.75" hidden="1" x14ac:dyDescent="0.25">
      <c r="A299" s="65">
        <v>46053</v>
      </c>
      <c r="B299" s="10" t="s">
        <v>274</v>
      </c>
      <c r="C299" s="10"/>
      <c r="D299" s="10" t="s">
        <v>383</v>
      </c>
      <c r="E299" s="10" t="s">
        <v>168</v>
      </c>
      <c r="F299" s="10">
        <v>31.9</v>
      </c>
      <c r="G299" s="10" t="s">
        <v>36</v>
      </c>
      <c r="H299" s="10">
        <v>43000</v>
      </c>
      <c r="I299" s="10">
        <f t="shared" si="34"/>
        <v>1371700</v>
      </c>
      <c r="J299" s="29" t="s">
        <v>113</v>
      </c>
      <c r="K299" s="10"/>
      <c r="L299" s="12">
        <f t="shared" si="28"/>
        <v>1371700</v>
      </c>
      <c r="M299" s="12">
        <v>1244300</v>
      </c>
      <c r="N299" s="12">
        <v>127400</v>
      </c>
      <c r="O299" s="12">
        <f t="shared" si="29"/>
        <v>0</v>
      </c>
      <c r="P299" s="12"/>
      <c r="Q299" s="12"/>
      <c r="R299" s="12">
        <f t="shared" si="30"/>
        <v>0</v>
      </c>
      <c r="S299" s="12"/>
      <c r="T299" s="12"/>
      <c r="U299" s="12">
        <f t="shared" si="31"/>
        <v>0</v>
      </c>
      <c r="V299" s="12"/>
      <c r="W299" s="12"/>
      <c r="X299" s="12">
        <f t="shared" si="32"/>
        <v>0</v>
      </c>
      <c r="Y299" s="12"/>
      <c r="Z299" s="12"/>
      <c r="AA299" s="13">
        <f t="shared" si="33"/>
        <v>0</v>
      </c>
      <c r="AB299" s="14">
        <v>46053</v>
      </c>
    </row>
    <row r="300" spans="1:28" ht="15.75" hidden="1" x14ac:dyDescent="0.25">
      <c r="A300" s="28">
        <v>46053</v>
      </c>
      <c r="B300" s="10" t="s">
        <v>442</v>
      </c>
      <c r="C300" s="10"/>
      <c r="D300" s="10" t="s">
        <v>195</v>
      </c>
      <c r="E300" s="10" t="s">
        <v>116</v>
      </c>
      <c r="F300" s="10">
        <v>24</v>
      </c>
      <c r="G300" s="10" t="s">
        <v>67</v>
      </c>
      <c r="H300" s="10">
        <v>65000</v>
      </c>
      <c r="I300" s="10">
        <f t="shared" si="34"/>
        <v>1560000</v>
      </c>
      <c r="J300" s="29" t="s">
        <v>110</v>
      </c>
      <c r="K300" s="10"/>
      <c r="L300" s="12">
        <f t="shared" si="28"/>
        <v>0</v>
      </c>
      <c r="M300" s="12"/>
      <c r="N300" s="12"/>
      <c r="O300" s="12">
        <f t="shared" si="29"/>
        <v>1560000</v>
      </c>
      <c r="P300" s="12">
        <v>1560000</v>
      </c>
      <c r="Q300" s="12"/>
      <c r="R300" s="12">
        <f t="shared" si="30"/>
        <v>0</v>
      </c>
      <c r="S300" s="12"/>
      <c r="T300" s="12"/>
      <c r="U300" s="12">
        <f t="shared" si="31"/>
        <v>0</v>
      </c>
      <c r="V300" s="12"/>
      <c r="W300" s="12"/>
      <c r="X300" s="12">
        <f t="shared" si="32"/>
        <v>0</v>
      </c>
      <c r="Y300" s="12"/>
      <c r="Z300" s="12"/>
      <c r="AA300" s="13">
        <f t="shared" si="33"/>
        <v>0</v>
      </c>
      <c r="AB300" s="14">
        <v>46055</v>
      </c>
    </row>
    <row r="301" spans="1:28" ht="15.75" x14ac:dyDescent="0.25">
      <c r="A301" s="28">
        <v>46053</v>
      </c>
      <c r="B301" s="10" t="s">
        <v>272</v>
      </c>
      <c r="C301" s="10"/>
      <c r="D301" s="10"/>
      <c r="E301" s="10" t="s">
        <v>80</v>
      </c>
      <c r="F301" s="10">
        <v>66.5</v>
      </c>
      <c r="G301" s="10" t="s">
        <v>36</v>
      </c>
      <c r="H301" s="10">
        <v>43000</v>
      </c>
      <c r="I301" s="10">
        <f t="shared" si="34"/>
        <v>2859500</v>
      </c>
      <c r="J301" s="86" t="s">
        <v>30</v>
      </c>
      <c r="K301" s="10"/>
      <c r="L301" s="12">
        <f t="shared" si="28"/>
        <v>0</v>
      </c>
      <c r="M301" s="12"/>
      <c r="N301" s="12"/>
      <c r="O301" s="12">
        <f t="shared" si="29"/>
        <v>0</v>
      </c>
      <c r="P301" s="12"/>
      <c r="Q301" s="12"/>
      <c r="R301" s="12">
        <f t="shared" si="30"/>
        <v>0</v>
      </c>
      <c r="S301" s="12"/>
      <c r="T301" s="12"/>
      <c r="U301" s="12">
        <f t="shared" si="31"/>
        <v>0</v>
      </c>
      <c r="V301" s="12"/>
      <c r="W301" s="12"/>
      <c r="X301" s="12">
        <f t="shared" si="32"/>
        <v>0</v>
      </c>
      <c r="Y301" s="12"/>
      <c r="Z301" s="12"/>
      <c r="AA301" s="13">
        <f t="shared" si="33"/>
        <v>2859500</v>
      </c>
      <c r="AB301" s="14"/>
    </row>
    <row r="302" spans="1:28" ht="15.75" x14ac:dyDescent="0.25">
      <c r="A302" s="28">
        <v>46053</v>
      </c>
      <c r="B302" s="10" t="s">
        <v>272</v>
      </c>
      <c r="C302" s="10"/>
      <c r="D302" s="10"/>
      <c r="E302" s="10" t="s">
        <v>307</v>
      </c>
      <c r="F302" s="10">
        <v>27.5</v>
      </c>
      <c r="G302" s="10" t="s">
        <v>36</v>
      </c>
      <c r="H302" s="10">
        <v>43000</v>
      </c>
      <c r="I302" s="10">
        <f t="shared" si="34"/>
        <v>1182500</v>
      </c>
      <c r="J302" s="86" t="s">
        <v>30</v>
      </c>
      <c r="K302" s="10"/>
      <c r="L302" s="12">
        <f t="shared" si="28"/>
        <v>0</v>
      </c>
      <c r="M302" s="12"/>
      <c r="N302" s="12"/>
      <c r="O302" s="12">
        <f t="shared" si="29"/>
        <v>0</v>
      </c>
      <c r="P302" s="12"/>
      <c r="Q302" s="12"/>
      <c r="R302" s="12">
        <f t="shared" si="30"/>
        <v>0</v>
      </c>
      <c r="S302" s="12"/>
      <c r="T302" s="12"/>
      <c r="U302" s="12">
        <f t="shared" si="31"/>
        <v>0</v>
      </c>
      <c r="V302" s="12"/>
      <c r="W302" s="12"/>
      <c r="X302" s="12">
        <f t="shared" si="32"/>
        <v>0</v>
      </c>
      <c r="Y302" s="12"/>
      <c r="Z302" s="12"/>
      <c r="AA302" s="13">
        <f t="shared" si="33"/>
        <v>1182500</v>
      </c>
      <c r="AB302" s="14"/>
    </row>
    <row r="303" spans="1:28" ht="15.75" x14ac:dyDescent="0.25">
      <c r="A303" s="28">
        <v>46053</v>
      </c>
      <c r="B303" s="10" t="s">
        <v>272</v>
      </c>
      <c r="C303" s="10"/>
      <c r="D303" s="10"/>
      <c r="E303" s="10" t="s">
        <v>86</v>
      </c>
      <c r="F303" s="10">
        <v>29</v>
      </c>
      <c r="G303" s="10" t="s">
        <v>36</v>
      </c>
      <c r="H303" s="10">
        <v>43000</v>
      </c>
      <c r="I303" s="10">
        <f t="shared" si="34"/>
        <v>1247000</v>
      </c>
      <c r="J303" s="86" t="s">
        <v>30</v>
      </c>
      <c r="K303" s="10"/>
      <c r="L303" s="12">
        <f t="shared" si="28"/>
        <v>0</v>
      </c>
      <c r="M303" s="12"/>
      <c r="N303" s="12"/>
      <c r="O303" s="12">
        <f t="shared" si="29"/>
        <v>0</v>
      </c>
      <c r="P303" s="12"/>
      <c r="Q303" s="12"/>
      <c r="R303" s="12">
        <f t="shared" si="30"/>
        <v>0</v>
      </c>
      <c r="S303" s="12"/>
      <c r="T303" s="12"/>
      <c r="U303" s="12">
        <f t="shared" si="31"/>
        <v>0</v>
      </c>
      <c r="V303" s="12"/>
      <c r="W303" s="12"/>
      <c r="X303" s="12">
        <f t="shared" si="32"/>
        <v>0</v>
      </c>
      <c r="Y303" s="12"/>
      <c r="Z303" s="12"/>
      <c r="AA303" s="13">
        <f t="shared" si="33"/>
        <v>1247000</v>
      </c>
      <c r="AB303" s="14"/>
    </row>
    <row r="304" spans="1:28" ht="16.5" thickBot="1" x14ac:dyDescent="0.3">
      <c r="A304" s="30">
        <v>46053</v>
      </c>
      <c r="B304" s="31" t="s">
        <v>272</v>
      </c>
      <c r="C304" s="31"/>
      <c r="D304" s="31"/>
      <c r="E304" s="31" t="s">
        <v>443</v>
      </c>
      <c r="F304" s="31">
        <v>79</v>
      </c>
      <c r="G304" s="31" t="s">
        <v>36</v>
      </c>
      <c r="H304" s="31">
        <v>43000</v>
      </c>
      <c r="I304" s="31">
        <f t="shared" si="34"/>
        <v>3397000</v>
      </c>
      <c r="J304" s="103" t="s">
        <v>30</v>
      </c>
      <c r="K304" s="31"/>
      <c r="L304" s="34">
        <f t="shared" si="28"/>
        <v>0</v>
      </c>
      <c r="M304" s="34"/>
      <c r="N304" s="34"/>
      <c r="O304" s="34">
        <f t="shared" si="29"/>
        <v>0</v>
      </c>
      <c r="P304" s="34"/>
      <c r="Q304" s="34"/>
      <c r="R304" s="34">
        <f t="shared" si="30"/>
        <v>0</v>
      </c>
      <c r="S304" s="34"/>
      <c r="T304" s="34"/>
      <c r="U304" s="34">
        <f t="shared" si="31"/>
        <v>0</v>
      </c>
      <c r="V304" s="34"/>
      <c r="W304" s="34"/>
      <c r="X304" s="34">
        <f t="shared" si="32"/>
        <v>0</v>
      </c>
      <c r="Y304" s="34"/>
      <c r="Z304" s="34"/>
      <c r="AA304" s="35">
        <f t="shared" si="33"/>
        <v>3397000</v>
      </c>
      <c r="AB304" s="36"/>
    </row>
    <row r="305" spans="1:28" ht="15.75" hidden="1" x14ac:dyDescent="0.25">
      <c r="A305" s="28">
        <v>46055</v>
      </c>
      <c r="B305" s="10" t="s">
        <v>446</v>
      </c>
      <c r="C305" s="10"/>
      <c r="D305" s="10" t="s">
        <v>195</v>
      </c>
      <c r="E305" s="10" t="s">
        <v>65</v>
      </c>
      <c r="F305" s="10">
        <v>1000</v>
      </c>
      <c r="G305" s="10" t="s">
        <v>26</v>
      </c>
      <c r="H305" s="10">
        <v>4000</v>
      </c>
      <c r="I305" s="10">
        <f t="shared" si="34"/>
        <v>4000000</v>
      </c>
      <c r="J305" s="29" t="s">
        <v>110</v>
      </c>
      <c r="K305" s="10"/>
      <c r="L305" s="12">
        <f t="shared" ref="L305" si="35">M305+N305</f>
        <v>0</v>
      </c>
      <c r="M305" s="12"/>
      <c r="N305" s="12"/>
      <c r="O305" s="12">
        <f t="shared" ref="O305" si="36">P305+Q305</f>
        <v>4000000</v>
      </c>
      <c r="P305" s="12">
        <v>4000000</v>
      </c>
      <c r="Q305" s="12"/>
      <c r="R305" s="12">
        <f t="shared" ref="R305" si="37">S305+T305</f>
        <v>0</v>
      </c>
      <c r="S305" s="12"/>
      <c r="T305" s="12"/>
      <c r="U305" s="12">
        <f t="shared" ref="U305" si="38">V305+W305</f>
        <v>0</v>
      </c>
      <c r="V305" s="12"/>
      <c r="W305" s="12"/>
      <c r="X305" s="12">
        <f t="shared" ref="X305" si="39">Y305+Z305</f>
        <v>0</v>
      </c>
      <c r="Y305" s="12"/>
      <c r="Z305" s="12"/>
      <c r="AA305" s="13">
        <f t="shared" si="33"/>
        <v>0</v>
      </c>
      <c r="AB305" s="14">
        <v>46055</v>
      </c>
    </row>
    <row r="306" spans="1:28" ht="15.75" hidden="1" x14ac:dyDescent="0.25">
      <c r="A306" s="28">
        <v>46055</v>
      </c>
      <c r="B306" s="10" t="s">
        <v>447</v>
      </c>
      <c r="C306" s="10"/>
      <c r="D306" s="10" t="s">
        <v>32</v>
      </c>
      <c r="E306" s="10" t="s">
        <v>60</v>
      </c>
      <c r="F306" s="10">
        <v>1</v>
      </c>
      <c r="G306" s="10" t="s">
        <v>61</v>
      </c>
      <c r="H306" s="10">
        <v>150000</v>
      </c>
      <c r="I306" s="10">
        <f t="shared" si="34"/>
        <v>150000</v>
      </c>
      <c r="J306" s="29" t="s">
        <v>113</v>
      </c>
      <c r="K306" s="10"/>
      <c r="L306" s="12">
        <f t="shared" ref="L306:L338" si="40">M306+N306</f>
        <v>150000</v>
      </c>
      <c r="M306" s="12">
        <v>150000</v>
      </c>
      <c r="N306" s="12"/>
      <c r="O306" s="12">
        <f t="shared" ref="O306:O338" si="41">P306+Q306</f>
        <v>0</v>
      </c>
      <c r="P306" s="12"/>
      <c r="Q306" s="12"/>
      <c r="R306" s="12">
        <f t="shared" ref="R306:R338" si="42">S306+T306</f>
        <v>0</v>
      </c>
      <c r="S306" s="12"/>
      <c r="T306" s="12"/>
      <c r="U306" s="12">
        <f t="shared" ref="U306:U338" si="43">V306+W306</f>
        <v>0</v>
      </c>
      <c r="V306" s="12"/>
      <c r="W306" s="12"/>
      <c r="X306" s="12">
        <f t="shared" ref="X306:X338" si="44">Y306+Z306</f>
        <v>0</v>
      </c>
      <c r="Y306" s="12"/>
      <c r="Z306" s="12"/>
      <c r="AA306" s="13">
        <f t="shared" si="33"/>
        <v>0</v>
      </c>
      <c r="AB306" s="14">
        <v>46055</v>
      </c>
    </row>
    <row r="307" spans="1:28" ht="15.75" hidden="1" x14ac:dyDescent="0.25">
      <c r="A307" s="28">
        <v>46055</v>
      </c>
      <c r="B307" s="10" t="s">
        <v>448</v>
      </c>
      <c r="C307" s="10"/>
      <c r="D307" s="10" t="s">
        <v>383</v>
      </c>
      <c r="E307" s="10" t="s">
        <v>60</v>
      </c>
      <c r="F307" s="10">
        <v>1</v>
      </c>
      <c r="G307" s="10" t="s">
        <v>61</v>
      </c>
      <c r="H307" s="10">
        <v>145000</v>
      </c>
      <c r="I307" s="10">
        <f t="shared" si="34"/>
        <v>145000</v>
      </c>
      <c r="J307" s="29" t="s">
        <v>113</v>
      </c>
      <c r="K307" s="10"/>
      <c r="L307" s="12">
        <f t="shared" si="40"/>
        <v>145000</v>
      </c>
      <c r="M307" s="12">
        <v>145000</v>
      </c>
      <c r="N307" s="12"/>
      <c r="O307" s="12">
        <f t="shared" si="41"/>
        <v>0</v>
      </c>
      <c r="P307" s="12"/>
      <c r="Q307" s="12"/>
      <c r="R307" s="12">
        <f t="shared" si="42"/>
        <v>0</v>
      </c>
      <c r="S307" s="12"/>
      <c r="T307" s="12"/>
      <c r="U307" s="12">
        <f t="shared" si="43"/>
        <v>0</v>
      </c>
      <c r="V307" s="12"/>
      <c r="W307" s="12"/>
      <c r="X307" s="12">
        <f t="shared" si="44"/>
        <v>0</v>
      </c>
      <c r="Y307" s="12"/>
      <c r="Z307" s="12"/>
      <c r="AA307" s="13">
        <f t="shared" si="33"/>
        <v>0</v>
      </c>
      <c r="AB307" s="14">
        <v>46055</v>
      </c>
    </row>
    <row r="308" spans="1:28" ht="15.75" hidden="1" x14ac:dyDescent="0.25">
      <c r="A308" s="28">
        <v>46055</v>
      </c>
      <c r="B308" s="10" t="s">
        <v>449</v>
      </c>
      <c r="C308" s="10"/>
      <c r="D308" s="10" t="s">
        <v>383</v>
      </c>
      <c r="E308" s="10" t="s">
        <v>114</v>
      </c>
      <c r="F308" s="10">
        <v>20</v>
      </c>
      <c r="G308" s="10" t="s">
        <v>67</v>
      </c>
      <c r="H308" s="10">
        <v>50000</v>
      </c>
      <c r="I308" s="10">
        <f t="shared" si="34"/>
        <v>1000000</v>
      </c>
      <c r="J308" s="29" t="s">
        <v>113</v>
      </c>
      <c r="K308" s="10"/>
      <c r="L308" s="12">
        <f t="shared" si="40"/>
        <v>1000000</v>
      </c>
      <c r="M308" s="12">
        <v>1000000</v>
      </c>
      <c r="N308" s="12"/>
      <c r="O308" s="12">
        <f t="shared" si="41"/>
        <v>0</v>
      </c>
      <c r="P308" s="12"/>
      <c r="Q308" s="12"/>
      <c r="R308" s="12">
        <f t="shared" si="42"/>
        <v>0</v>
      </c>
      <c r="S308" s="12"/>
      <c r="T308" s="12"/>
      <c r="U308" s="12">
        <f t="shared" si="43"/>
        <v>0</v>
      </c>
      <c r="V308" s="12"/>
      <c r="W308" s="12"/>
      <c r="X308" s="12">
        <f t="shared" si="44"/>
        <v>0</v>
      </c>
      <c r="Y308" s="12"/>
      <c r="Z308" s="12"/>
      <c r="AA308" s="13">
        <f t="shared" si="33"/>
        <v>0</v>
      </c>
      <c r="AB308" s="14">
        <v>46055</v>
      </c>
    </row>
    <row r="309" spans="1:28" ht="15.75" hidden="1" x14ac:dyDescent="0.25">
      <c r="A309" s="28">
        <v>46055</v>
      </c>
      <c r="B309" s="10" t="s">
        <v>450</v>
      </c>
      <c r="C309" s="10"/>
      <c r="D309" s="10" t="s">
        <v>195</v>
      </c>
      <c r="E309" s="10" t="s">
        <v>186</v>
      </c>
      <c r="F309" s="10">
        <v>1</v>
      </c>
      <c r="G309" s="10" t="s">
        <v>22</v>
      </c>
      <c r="H309" s="10">
        <v>1200000</v>
      </c>
      <c r="I309" s="10">
        <f t="shared" si="34"/>
        <v>1200000</v>
      </c>
      <c r="J309" s="29" t="s">
        <v>110</v>
      </c>
      <c r="K309" s="10"/>
      <c r="L309" s="12">
        <f t="shared" si="40"/>
        <v>0</v>
      </c>
      <c r="M309" s="12"/>
      <c r="N309" s="12"/>
      <c r="O309" s="12">
        <f t="shared" si="41"/>
        <v>1200000</v>
      </c>
      <c r="P309" s="12">
        <v>1200000</v>
      </c>
      <c r="Q309" s="12"/>
      <c r="R309" s="12">
        <f t="shared" si="42"/>
        <v>0</v>
      </c>
      <c r="S309" s="12"/>
      <c r="T309" s="12"/>
      <c r="U309" s="12">
        <f t="shared" si="43"/>
        <v>0</v>
      </c>
      <c r="V309" s="12"/>
      <c r="W309" s="12"/>
      <c r="X309" s="12">
        <f t="shared" si="44"/>
        <v>0</v>
      </c>
      <c r="Y309" s="12"/>
      <c r="Z309" s="12"/>
      <c r="AA309" s="13">
        <f t="shared" si="33"/>
        <v>0</v>
      </c>
      <c r="AB309" s="14">
        <v>46055</v>
      </c>
    </row>
    <row r="310" spans="1:28" ht="15.75" hidden="1" x14ac:dyDescent="0.25">
      <c r="A310" s="28">
        <v>46055</v>
      </c>
      <c r="B310" s="10" t="s">
        <v>243</v>
      </c>
      <c r="C310" s="10"/>
      <c r="D310" s="10" t="s">
        <v>383</v>
      </c>
      <c r="E310" s="10" t="s">
        <v>265</v>
      </c>
      <c r="F310" s="10">
        <v>22</v>
      </c>
      <c r="G310" s="10" t="s">
        <v>36</v>
      </c>
      <c r="H310" s="10">
        <v>43000</v>
      </c>
      <c r="I310" s="10">
        <f t="shared" si="34"/>
        <v>946000</v>
      </c>
      <c r="J310" s="29" t="s">
        <v>110</v>
      </c>
      <c r="K310" s="10"/>
      <c r="L310" s="12">
        <f t="shared" si="40"/>
        <v>0</v>
      </c>
      <c r="M310" s="12"/>
      <c r="N310" s="12"/>
      <c r="O310" s="12">
        <f t="shared" si="41"/>
        <v>0</v>
      </c>
      <c r="P310" s="12"/>
      <c r="Q310" s="12"/>
      <c r="R310" s="12">
        <f t="shared" si="42"/>
        <v>946000</v>
      </c>
      <c r="S310" s="12">
        <v>946000</v>
      </c>
      <c r="T310" s="12"/>
      <c r="U310" s="12">
        <f t="shared" si="43"/>
        <v>0</v>
      </c>
      <c r="V310" s="12"/>
      <c r="W310" s="12"/>
      <c r="X310" s="12">
        <f t="shared" si="44"/>
        <v>0</v>
      </c>
      <c r="Y310" s="12"/>
      <c r="Z310" s="12"/>
      <c r="AA310" s="13">
        <f t="shared" si="33"/>
        <v>0</v>
      </c>
      <c r="AB310" s="14">
        <v>46065</v>
      </c>
    </row>
    <row r="311" spans="1:28" ht="15.75" x14ac:dyDescent="0.25">
      <c r="A311" s="28">
        <v>46055</v>
      </c>
      <c r="B311" s="10" t="s">
        <v>272</v>
      </c>
      <c r="C311" s="10"/>
      <c r="D311" s="10"/>
      <c r="E311" s="10" t="s">
        <v>80</v>
      </c>
      <c r="F311" s="10">
        <v>44.9</v>
      </c>
      <c r="G311" s="10" t="s">
        <v>36</v>
      </c>
      <c r="H311" s="10">
        <v>43000</v>
      </c>
      <c r="I311" s="10">
        <f t="shared" si="34"/>
        <v>1930700</v>
      </c>
      <c r="J311" s="86" t="s">
        <v>30</v>
      </c>
      <c r="K311" s="10"/>
      <c r="L311" s="12">
        <f t="shared" si="40"/>
        <v>0</v>
      </c>
      <c r="M311" s="12"/>
      <c r="N311" s="12"/>
      <c r="O311" s="12">
        <f t="shared" si="41"/>
        <v>0</v>
      </c>
      <c r="P311" s="12"/>
      <c r="Q311" s="12"/>
      <c r="R311" s="12">
        <f t="shared" si="42"/>
        <v>0</v>
      </c>
      <c r="S311" s="12"/>
      <c r="T311" s="12"/>
      <c r="U311" s="12">
        <f t="shared" si="43"/>
        <v>0</v>
      </c>
      <c r="V311" s="12"/>
      <c r="W311" s="12"/>
      <c r="X311" s="12">
        <f t="shared" si="44"/>
        <v>0</v>
      </c>
      <c r="Y311" s="12"/>
      <c r="Z311" s="12"/>
      <c r="AA311" s="13">
        <f t="shared" si="33"/>
        <v>1930700</v>
      </c>
      <c r="AB311" s="14"/>
    </row>
    <row r="312" spans="1:28" ht="15.75" x14ac:dyDescent="0.25">
      <c r="A312" s="28">
        <v>46055</v>
      </c>
      <c r="B312" s="10" t="s">
        <v>272</v>
      </c>
      <c r="C312" s="10"/>
      <c r="D312" s="10"/>
      <c r="E312" s="10" t="s">
        <v>168</v>
      </c>
      <c r="F312" s="10">
        <v>31</v>
      </c>
      <c r="G312" s="10" t="s">
        <v>36</v>
      </c>
      <c r="H312" s="10">
        <v>43000</v>
      </c>
      <c r="I312" s="10">
        <f t="shared" si="34"/>
        <v>1333000</v>
      </c>
      <c r="J312" s="115" t="s">
        <v>90</v>
      </c>
      <c r="K312" s="10"/>
      <c r="L312" s="12">
        <f t="shared" si="40"/>
        <v>0</v>
      </c>
      <c r="M312" s="12"/>
      <c r="N312" s="12"/>
      <c r="O312" s="12">
        <f t="shared" si="41"/>
        <v>0</v>
      </c>
      <c r="P312" s="12"/>
      <c r="Q312" s="12"/>
      <c r="R312" s="12">
        <f t="shared" si="42"/>
        <v>0</v>
      </c>
      <c r="S312" s="12"/>
      <c r="T312" s="12"/>
      <c r="U312" s="12">
        <f t="shared" si="43"/>
        <v>0</v>
      </c>
      <c r="V312" s="12"/>
      <c r="W312" s="12"/>
      <c r="X312" s="12">
        <f t="shared" si="44"/>
        <v>0</v>
      </c>
      <c r="Y312" s="12"/>
      <c r="Z312" s="12"/>
      <c r="AA312" s="13">
        <f t="shared" si="33"/>
        <v>1333000</v>
      </c>
      <c r="AB312" s="14"/>
    </row>
    <row r="313" spans="1:28" ht="15.75" x14ac:dyDescent="0.25">
      <c r="A313" s="28">
        <v>46055</v>
      </c>
      <c r="B313" s="10" t="s">
        <v>272</v>
      </c>
      <c r="C313" s="10"/>
      <c r="D313" s="10"/>
      <c r="E313" s="10" t="s">
        <v>80</v>
      </c>
      <c r="F313" s="10">
        <v>22.1</v>
      </c>
      <c r="G313" s="10" t="s">
        <v>36</v>
      </c>
      <c r="H313" s="10">
        <v>43000</v>
      </c>
      <c r="I313" s="10">
        <f t="shared" si="34"/>
        <v>950300.00000000012</v>
      </c>
      <c r="J313" s="86" t="s">
        <v>30</v>
      </c>
      <c r="K313" s="10"/>
      <c r="L313" s="12">
        <f t="shared" si="40"/>
        <v>0</v>
      </c>
      <c r="M313" s="12"/>
      <c r="N313" s="12"/>
      <c r="O313" s="12">
        <f t="shared" si="41"/>
        <v>0</v>
      </c>
      <c r="P313" s="12"/>
      <c r="Q313" s="12"/>
      <c r="R313" s="12">
        <f t="shared" si="42"/>
        <v>0</v>
      </c>
      <c r="S313" s="12"/>
      <c r="T313" s="12"/>
      <c r="U313" s="12">
        <f t="shared" si="43"/>
        <v>0</v>
      </c>
      <c r="V313" s="12"/>
      <c r="W313" s="12"/>
      <c r="X313" s="12">
        <f t="shared" si="44"/>
        <v>0</v>
      </c>
      <c r="Y313" s="12"/>
      <c r="Z313" s="12"/>
      <c r="AA313" s="13">
        <f t="shared" si="33"/>
        <v>950300.00000000012</v>
      </c>
      <c r="AB313" s="14"/>
    </row>
    <row r="314" spans="1:28" ht="15.75" hidden="1" x14ac:dyDescent="0.25">
      <c r="A314" s="28">
        <v>46055</v>
      </c>
      <c r="B314" s="10" t="s">
        <v>176</v>
      </c>
      <c r="C314" s="10"/>
      <c r="D314" s="10" t="s">
        <v>383</v>
      </c>
      <c r="E314" s="10" t="s">
        <v>60</v>
      </c>
      <c r="F314" s="10">
        <v>10</v>
      </c>
      <c r="G314" s="10" t="s">
        <v>61</v>
      </c>
      <c r="H314" s="10">
        <v>150000</v>
      </c>
      <c r="I314" s="10">
        <f t="shared" si="34"/>
        <v>1500000</v>
      </c>
      <c r="J314" s="52" t="s">
        <v>30</v>
      </c>
      <c r="K314" s="10"/>
      <c r="L314" s="12">
        <f t="shared" si="40"/>
        <v>0</v>
      </c>
      <c r="M314" s="12"/>
      <c r="N314" s="12"/>
      <c r="O314" s="12">
        <f t="shared" si="41"/>
        <v>0</v>
      </c>
      <c r="P314" s="12"/>
      <c r="Q314" s="12"/>
      <c r="R314" s="12">
        <f t="shared" si="42"/>
        <v>0</v>
      </c>
      <c r="S314" s="12"/>
      <c r="T314" s="12"/>
      <c r="U314" s="12">
        <f t="shared" si="43"/>
        <v>0</v>
      </c>
      <c r="V314" s="12"/>
      <c r="W314" s="12"/>
      <c r="X314" s="12">
        <f t="shared" si="44"/>
        <v>0</v>
      </c>
      <c r="Y314" s="12"/>
      <c r="Z314" s="12"/>
      <c r="AA314" s="13">
        <f t="shared" si="33"/>
        <v>1500000</v>
      </c>
      <c r="AB314" s="14"/>
    </row>
    <row r="315" spans="1:28" ht="15.75" hidden="1" x14ac:dyDescent="0.25">
      <c r="A315" s="28">
        <v>46055</v>
      </c>
      <c r="B315" s="10" t="s">
        <v>176</v>
      </c>
      <c r="C315" s="10"/>
      <c r="D315" s="10" t="s">
        <v>383</v>
      </c>
      <c r="E315" s="10" t="s">
        <v>114</v>
      </c>
      <c r="F315" s="10">
        <v>10</v>
      </c>
      <c r="G315" s="10" t="s">
        <v>61</v>
      </c>
      <c r="H315" s="10">
        <v>50000</v>
      </c>
      <c r="I315" s="10">
        <f t="shared" si="34"/>
        <v>500000</v>
      </c>
      <c r="J315" s="52" t="s">
        <v>30</v>
      </c>
      <c r="K315" s="10"/>
      <c r="L315" s="12">
        <f t="shared" si="40"/>
        <v>0</v>
      </c>
      <c r="M315" s="12"/>
      <c r="N315" s="12"/>
      <c r="O315" s="12">
        <f t="shared" si="41"/>
        <v>0</v>
      </c>
      <c r="P315" s="12"/>
      <c r="Q315" s="12"/>
      <c r="R315" s="12">
        <f t="shared" si="42"/>
        <v>0</v>
      </c>
      <c r="S315" s="12"/>
      <c r="T315" s="12"/>
      <c r="U315" s="12">
        <f t="shared" si="43"/>
        <v>0</v>
      </c>
      <c r="V315" s="12"/>
      <c r="W315" s="12"/>
      <c r="X315" s="12">
        <f t="shared" si="44"/>
        <v>0</v>
      </c>
      <c r="Y315" s="12"/>
      <c r="Z315" s="12"/>
      <c r="AA315" s="13">
        <f t="shared" si="33"/>
        <v>500000</v>
      </c>
      <c r="AB315" s="14"/>
    </row>
    <row r="316" spans="1:28" ht="16.5" hidden="1" thickBot="1" x14ac:dyDescent="0.3">
      <c r="A316" s="30">
        <v>46055</v>
      </c>
      <c r="B316" s="31" t="s">
        <v>176</v>
      </c>
      <c r="C316" s="31"/>
      <c r="D316" s="31" t="s">
        <v>383</v>
      </c>
      <c r="E316" s="31" t="s">
        <v>80</v>
      </c>
      <c r="F316" s="31">
        <v>22.7</v>
      </c>
      <c r="G316" s="31" t="s">
        <v>36</v>
      </c>
      <c r="H316" s="31">
        <v>43000</v>
      </c>
      <c r="I316" s="31">
        <f t="shared" si="34"/>
        <v>976100</v>
      </c>
      <c r="J316" s="64" t="s">
        <v>30</v>
      </c>
      <c r="K316" s="31"/>
      <c r="L316" s="34">
        <f t="shared" si="40"/>
        <v>0</v>
      </c>
      <c r="M316" s="34"/>
      <c r="N316" s="34"/>
      <c r="O316" s="34">
        <f t="shared" si="41"/>
        <v>0</v>
      </c>
      <c r="P316" s="34"/>
      <c r="Q316" s="34"/>
      <c r="R316" s="34">
        <f t="shared" si="42"/>
        <v>0</v>
      </c>
      <c r="S316" s="34"/>
      <c r="T316" s="34"/>
      <c r="U316" s="34">
        <f t="shared" si="43"/>
        <v>0</v>
      </c>
      <c r="V316" s="34"/>
      <c r="W316" s="34"/>
      <c r="X316" s="34">
        <f t="shared" si="44"/>
        <v>0</v>
      </c>
      <c r="Y316" s="34"/>
      <c r="Z316" s="34"/>
      <c r="AA316" s="35">
        <f t="shared" si="33"/>
        <v>976100</v>
      </c>
      <c r="AB316" s="36"/>
    </row>
    <row r="317" spans="1:28" ht="15.75" hidden="1" x14ac:dyDescent="0.25">
      <c r="A317" s="65">
        <v>46056</v>
      </c>
      <c r="B317" s="66" t="s">
        <v>196</v>
      </c>
      <c r="C317" s="66"/>
      <c r="D317" s="66" t="s">
        <v>28</v>
      </c>
      <c r="E317" s="66" t="s">
        <v>189</v>
      </c>
      <c r="F317" s="66">
        <v>5</v>
      </c>
      <c r="G317" s="66" t="s">
        <v>61</v>
      </c>
      <c r="H317" s="66">
        <v>300000</v>
      </c>
      <c r="I317" s="66">
        <f t="shared" si="34"/>
        <v>1500000</v>
      </c>
      <c r="J317" s="84" t="s">
        <v>110</v>
      </c>
      <c r="K317" s="66"/>
      <c r="L317" s="67">
        <f t="shared" si="40"/>
        <v>0</v>
      </c>
      <c r="M317" s="67"/>
      <c r="N317" s="67"/>
      <c r="O317" s="67">
        <f t="shared" si="41"/>
        <v>1500000</v>
      </c>
      <c r="P317" s="67">
        <v>1500000</v>
      </c>
      <c r="Q317" s="67"/>
      <c r="R317" s="67">
        <f t="shared" si="42"/>
        <v>0</v>
      </c>
      <c r="S317" s="67"/>
      <c r="T317" s="67"/>
      <c r="U317" s="67">
        <f t="shared" si="43"/>
        <v>0</v>
      </c>
      <c r="V317" s="67"/>
      <c r="W317" s="67"/>
      <c r="X317" s="67">
        <f t="shared" si="44"/>
        <v>0</v>
      </c>
      <c r="Y317" s="67"/>
      <c r="Z317" s="67"/>
      <c r="AA317" s="68">
        <f t="shared" si="33"/>
        <v>0</v>
      </c>
      <c r="AB317" s="69">
        <v>46062</v>
      </c>
    </row>
    <row r="318" spans="1:28" ht="15.75" hidden="1" x14ac:dyDescent="0.25">
      <c r="A318" s="65">
        <v>46056</v>
      </c>
      <c r="B318" s="10" t="s">
        <v>395</v>
      </c>
      <c r="C318" s="10"/>
      <c r="D318" s="10" t="s">
        <v>195</v>
      </c>
      <c r="E318" s="10" t="s">
        <v>104</v>
      </c>
      <c r="F318" s="10">
        <v>400</v>
      </c>
      <c r="G318" s="10" t="s">
        <v>26</v>
      </c>
      <c r="H318" s="10">
        <v>2000</v>
      </c>
      <c r="I318" s="10">
        <f t="shared" si="34"/>
        <v>800000</v>
      </c>
      <c r="J318" s="29" t="s">
        <v>110</v>
      </c>
      <c r="K318" s="10"/>
      <c r="L318" s="12">
        <f t="shared" si="40"/>
        <v>0</v>
      </c>
      <c r="M318" s="12"/>
      <c r="N318" s="12"/>
      <c r="O318" s="12">
        <f t="shared" si="41"/>
        <v>800000</v>
      </c>
      <c r="P318" s="12">
        <v>800000</v>
      </c>
      <c r="Q318" s="12"/>
      <c r="R318" s="12">
        <f t="shared" si="42"/>
        <v>0</v>
      </c>
      <c r="S318" s="12"/>
      <c r="T318" s="12"/>
      <c r="U318" s="12">
        <f t="shared" si="43"/>
        <v>0</v>
      </c>
      <c r="V318" s="12"/>
      <c r="W318" s="12"/>
      <c r="X318" s="12">
        <f t="shared" si="44"/>
        <v>0</v>
      </c>
      <c r="Y318" s="12"/>
      <c r="Z318" s="12"/>
      <c r="AA318" s="13">
        <f t="shared" si="33"/>
        <v>0</v>
      </c>
      <c r="AB318" s="14">
        <v>46055</v>
      </c>
    </row>
    <row r="319" spans="1:28" ht="15.75" hidden="1" x14ac:dyDescent="0.25">
      <c r="A319" s="65">
        <v>46056</v>
      </c>
      <c r="B319" s="10" t="s">
        <v>395</v>
      </c>
      <c r="C319" s="10"/>
      <c r="D319" s="10" t="s">
        <v>195</v>
      </c>
      <c r="E319" s="10" t="s">
        <v>129</v>
      </c>
      <c r="F319" s="10">
        <v>100</v>
      </c>
      <c r="G319" s="10" t="s">
        <v>26</v>
      </c>
      <c r="H319" s="10">
        <v>4000</v>
      </c>
      <c r="I319" s="10">
        <f t="shared" si="34"/>
        <v>400000</v>
      </c>
      <c r="J319" s="29" t="s">
        <v>110</v>
      </c>
      <c r="K319" s="10"/>
      <c r="L319" s="12">
        <f t="shared" si="40"/>
        <v>0</v>
      </c>
      <c r="M319" s="12"/>
      <c r="N319" s="12"/>
      <c r="O319" s="12">
        <f t="shared" si="41"/>
        <v>400000</v>
      </c>
      <c r="P319" s="12">
        <v>400000</v>
      </c>
      <c r="Q319" s="12"/>
      <c r="R319" s="12">
        <f t="shared" si="42"/>
        <v>0</v>
      </c>
      <c r="S319" s="12"/>
      <c r="T319" s="12"/>
      <c r="U319" s="12">
        <f t="shared" si="43"/>
        <v>0</v>
      </c>
      <c r="V319" s="12"/>
      <c r="W319" s="12"/>
      <c r="X319" s="12">
        <f t="shared" si="44"/>
        <v>0</v>
      </c>
      <c r="Y319" s="12"/>
      <c r="Z319" s="12"/>
      <c r="AA319" s="13">
        <f t="shared" si="33"/>
        <v>0</v>
      </c>
      <c r="AB319" s="14">
        <v>46055</v>
      </c>
    </row>
    <row r="320" spans="1:28" ht="15.75" hidden="1" x14ac:dyDescent="0.25">
      <c r="A320" s="65">
        <v>46056</v>
      </c>
      <c r="B320" s="10" t="s">
        <v>233</v>
      </c>
      <c r="C320" s="10"/>
      <c r="D320" s="10" t="s">
        <v>195</v>
      </c>
      <c r="E320" s="10" t="s">
        <v>129</v>
      </c>
      <c r="F320" s="10">
        <v>300</v>
      </c>
      <c r="G320" s="10" t="s">
        <v>26</v>
      </c>
      <c r="H320" s="10">
        <v>3800</v>
      </c>
      <c r="I320" s="10">
        <f t="shared" si="34"/>
        <v>1140000</v>
      </c>
      <c r="J320" s="29" t="s">
        <v>113</v>
      </c>
      <c r="K320" s="10"/>
      <c r="L320" s="12">
        <f t="shared" si="40"/>
        <v>0</v>
      </c>
      <c r="M320" s="12"/>
      <c r="N320" s="12"/>
      <c r="O320" s="12">
        <f t="shared" si="41"/>
        <v>0</v>
      </c>
      <c r="P320" s="12"/>
      <c r="Q320" s="12"/>
      <c r="R320" s="12">
        <f t="shared" si="42"/>
        <v>0</v>
      </c>
      <c r="S320" s="12"/>
      <c r="T320" s="12"/>
      <c r="U320" s="12">
        <f t="shared" si="43"/>
        <v>1140000</v>
      </c>
      <c r="V320" s="12">
        <v>1140000</v>
      </c>
      <c r="W320" s="12"/>
      <c r="X320" s="12">
        <f t="shared" si="44"/>
        <v>0</v>
      </c>
      <c r="Y320" s="12"/>
      <c r="Z320" s="12"/>
      <c r="AA320" s="13">
        <f t="shared" si="33"/>
        <v>0</v>
      </c>
      <c r="AB320" s="14">
        <v>46055</v>
      </c>
    </row>
    <row r="321" spans="1:28" ht="15.75" hidden="1" x14ac:dyDescent="0.25">
      <c r="A321" s="65">
        <v>46056</v>
      </c>
      <c r="B321" s="10" t="s">
        <v>378</v>
      </c>
      <c r="C321" s="10"/>
      <c r="D321" s="10" t="s">
        <v>28</v>
      </c>
      <c r="E321" s="10" t="s">
        <v>160</v>
      </c>
      <c r="F321" s="10">
        <v>10</v>
      </c>
      <c r="G321" s="10" t="s">
        <v>22</v>
      </c>
      <c r="H321" s="10">
        <v>400000</v>
      </c>
      <c r="I321" s="10">
        <f t="shared" si="34"/>
        <v>4000000</v>
      </c>
      <c r="J321" s="29" t="s">
        <v>113</v>
      </c>
      <c r="K321" s="10"/>
      <c r="L321" s="12">
        <f t="shared" si="40"/>
        <v>0</v>
      </c>
      <c r="M321" s="12"/>
      <c r="N321" s="12"/>
      <c r="O321" s="12">
        <f t="shared" si="41"/>
        <v>0</v>
      </c>
      <c r="P321" s="12"/>
      <c r="Q321" s="12"/>
      <c r="R321" s="12">
        <f t="shared" si="42"/>
        <v>0</v>
      </c>
      <c r="S321" s="12"/>
      <c r="T321" s="12"/>
      <c r="U321" s="12">
        <f t="shared" si="43"/>
        <v>4000000</v>
      </c>
      <c r="V321" s="12">
        <v>2420000</v>
      </c>
      <c r="W321" s="12">
        <v>1580000</v>
      </c>
      <c r="X321" s="12">
        <f t="shared" si="44"/>
        <v>0</v>
      </c>
      <c r="Y321" s="12"/>
      <c r="Z321" s="12"/>
      <c r="AA321" s="13">
        <f t="shared" si="33"/>
        <v>0</v>
      </c>
      <c r="AB321" s="14">
        <v>46055</v>
      </c>
    </row>
    <row r="322" spans="1:28" ht="15.75" hidden="1" x14ac:dyDescent="0.25">
      <c r="A322" s="65">
        <v>46056</v>
      </c>
      <c r="B322" s="10" t="s">
        <v>378</v>
      </c>
      <c r="C322" s="10"/>
      <c r="D322" s="10" t="s">
        <v>28</v>
      </c>
      <c r="E322" s="10" t="s">
        <v>138</v>
      </c>
      <c r="F322" s="10">
        <v>2</v>
      </c>
      <c r="G322" s="10" t="s">
        <v>61</v>
      </c>
      <c r="H322" s="10">
        <v>290000</v>
      </c>
      <c r="I322" s="10">
        <f t="shared" si="34"/>
        <v>580000</v>
      </c>
      <c r="J322" s="29" t="s">
        <v>113</v>
      </c>
      <c r="K322" s="10"/>
      <c r="L322" s="12">
        <f t="shared" si="40"/>
        <v>0</v>
      </c>
      <c r="M322" s="12"/>
      <c r="N322" s="12"/>
      <c r="O322" s="12">
        <f t="shared" si="41"/>
        <v>0</v>
      </c>
      <c r="P322" s="12"/>
      <c r="Q322" s="12"/>
      <c r="R322" s="12">
        <f t="shared" si="42"/>
        <v>0</v>
      </c>
      <c r="S322" s="12"/>
      <c r="T322" s="12"/>
      <c r="U322" s="12">
        <f t="shared" si="43"/>
        <v>580000</v>
      </c>
      <c r="V322" s="12">
        <v>580000</v>
      </c>
      <c r="W322" s="12"/>
      <c r="X322" s="12">
        <f t="shared" si="44"/>
        <v>0</v>
      </c>
      <c r="Y322" s="12"/>
      <c r="Z322" s="12"/>
      <c r="AA322" s="13">
        <f t="shared" si="33"/>
        <v>0</v>
      </c>
      <c r="AB322" s="14">
        <v>46055</v>
      </c>
    </row>
    <row r="323" spans="1:28" ht="15.75" hidden="1" x14ac:dyDescent="0.25">
      <c r="A323" s="65">
        <v>46056</v>
      </c>
      <c r="B323" s="10" t="s">
        <v>55</v>
      </c>
      <c r="C323" s="10"/>
      <c r="D323" s="10" t="s">
        <v>383</v>
      </c>
      <c r="E323" s="10" t="s">
        <v>104</v>
      </c>
      <c r="F323" s="10">
        <v>2000</v>
      </c>
      <c r="G323" s="10" t="s">
        <v>26</v>
      </c>
      <c r="H323" s="10">
        <v>1900</v>
      </c>
      <c r="I323" s="10">
        <f t="shared" ref="I323:I386" si="45">F323*H323</f>
        <v>3800000</v>
      </c>
      <c r="J323" s="29" t="s">
        <v>110</v>
      </c>
      <c r="K323" s="10"/>
      <c r="L323" s="12">
        <f t="shared" si="40"/>
        <v>0</v>
      </c>
      <c r="M323" s="12"/>
      <c r="N323" s="12"/>
      <c r="O323" s="12">
        <f t="shared" si="41"/>
        <v>3800000</v>
      </c>
      <c r="P323" s="12">
        <v>3800000</v>
      </c>
      <c r="Q323" s="12"/>
      <c r="R323" s="12">
        <f t="shared" si="42"/>
        <v>0</v>
      </c>
      <c r="S323" s="12"/>
      <c r="T323" s="12"/>
      <c r="U323" s="12">
        <f t="shared" si="43"/>
        <v>0</v>
      </c>
      <c r="V323" s="12"/>
      <c r="W323" s="12"/>
      <c r="X323" s="12">
        <f t="shared" si="44"/>
        <v>0</v>
      </c>
      <c r="Y323" s="12"/>
      <c r="Z323" s="12"/>
      <c r="AA323" s="13">
        <f t="shared" si="33"/>
        <v>0</v>
      </c>
      <c r="AB323" s="14">
        <v>46062</v>
      </c>
    </row>
    <row r="324" spans="1:28" ht="15.75" hidden="1" x14ac:dyDescent="0.25">
      <c r="A324" s="65">
        <v>46056</v>
      </c>
      <c r="B324" s="10" t="s">
        <v>163</v>
      </c>
      <c r="C324" s="10"/>
      <c r="D324" s="10" t="s">
        <v>28</v>
      </c>
      <c r="E324" s="10" t="s">
        <v>130</v>
      </c>
      <c r="F324" s="10">
        <v>50</v>
      </c>
      <c r="G324" s="10" t="s">
        <v>36</v>
      </c>
      <c r="H324" s="10">
        <v>50000</v>
      </c>
      <c r="I324" s="10">
        <f t="shared" si="45"/>
        <v>2500000</v>
      </c>
      <c r="J324" s="29" t="s">
        <v>110</v>
      </c>
      <c r="K324" s="10" t="s">
        <v>531</v>
      </c>
      <c r="L324" s="12">
        <f t="shared" si="40"/>
        <v>0</v>
      </c>
      <c r="M324" s="12"/>
      <c r="N324" s="12"/>
      <c r="O324" s="12">
        <f t="shared" si="41"/>
        <v>2500000</v>
      </c>
      <c r="P324" s="12">
        <v>2500000</v>
      </c>
      <c r="Q324" s="12"/>
      <c r="R324" s="12">
        <f t="shared" si="42"/>
        <v>0</v>
      </c>
      <c r="S324" s="12"/>
      <c r="T324" s="12"/>
      <c r="U324" s="12">
        <f t="shared" si="43"/>
        <v>0</v>
      </c>
      <c r="V324" s="12"/>
      <c r="W324" s="12"/>
      <c r="X324" s="12">
        <f t="shared" si="44"/>
        <v>0</v>
      </c>
      <c r="Y324" s="12"/>
      <c r="Z324" s="12"/>
      <c r="AA324" s="13">
        <f t="shared" ref="AA324:AA387" si="46">C324+I324-L324-O324-U324-X324-R324</f>
        <v>0</v>
      </c>
      <c r="AB324" s="14">
        <v>46077</v>
      </c>
    </row>
    <row r="325" spans="1:28" ht="15.75" hidden="1" x14ac:dyDescent="0.25">
      <c r="A325" s="65">
        <v>46056</v>
      </c>
      <c r="B325" s="10" t="s">
        <v>163</v>
      </c>
      <c r="C325" s="10"/>
      <c r="D325" s="10" t="s">
        <v>28</v>
      </c>
      <c r="E325" s="10" t="s">
        <v>337</v>
      </c>
      <c r="F325" s="10">
        <v>120</v>
      </c>
      <c r="G325" s="10" t="s">
        <v>36</v>
      </c>
      <c r="H325" s="10">
        <v>42000</v>
      </c>
      <c r="I325" s="10">
        <f t="shared" si="45"/>
        <v>5040000</v>
      </c>
      <c r="J325" s="29" t="s">
        <v>110</v>
      </c>
      <c r="K325" s="10" t="s">
        <v>531</v>
      </c>
      <c r="L325" s="12">
        <f t="shared" si="40"/>
        <v>0</v>
      </c>
      <c r="M325" s="12"/>
      <c r="N325" s="12"/>
      <c r="O325" s="12">
        <f t="shared" si="41"/>
        <v>5040000</v>
      </c>
      <c r="P325" s="12">
        <v>5040000</v>
      </c>
      <c r="Q325" s="12"/>
      <c r="R325" s="12">
        <f t="shared" si="42"/>
        <v>0</v>
      </c>
      <c r="S325" s="12"/>
      <c r="T325" s="12"/>
      <c r="U325" s="12">
        <f t="shared" si="43"/>
        <v>0</v>
      </c>
      <c r="V325" s="12"/>
      <c r="W325" s="12"/>
      <c r="X325" s="12">
        <f t="shared" si="44"/>
        <v>0</v>
      </c>
      <c r="Y325" s="12"/>
      <c r="Z325" s="12"/>
      <c r="AA325" s="13">
        <f t="shared" si="46"/>
        <v>0</v>
      </c>
      <c r="AB325" s="14">
        <v>46077</v>
      </c>
    </row>
    <row r="326" spans="1:28" ht="15.75" hidden="1" x14ac:dyDescent="0.25">
      <c r="A326" s="65">
        <v>46056</v>
      </c>
      <c r="B326" s="10" t="s">
        <v>163</v>
      </c>
      <c r="C326" s="10"/>
      <c r="D326" s="10" t="s">
        <v>28</v>
      </c>
      <c r="E326" s="10" t="s">
        <v>70</v>
      </c>
      <c r="F326" s="10">
        <v>40</v>
      </c>
      <c r="G326" s="10" t="s">
        <v>36</v>
      </c>
      <c r="H326" s="10">
        <v>54000</v>
      </c>
      <c r="I326" s="10">
        <f t="shared" si="45"/>
        <v>2160000</v>
      </c>
      <c r="J326" s="29" t="s">
        <v>110</v>
      </c>
      <c r="K326" s="10" t="s">
        <v>531</v>
      </c>
      <c r="L326" s="12">
        <f t="shared" si="40"/>
        <v>0</v>
      </c>
      <c r="M326" s="12"/>
      <c r="N326" s="12"/>
      <c r="O326" s="12">
        <f t="shared" si="41"/>
        <v>2160000</v>
      </c>
      <c r="P326" s="12">
        <v>2160000</v>
      </c>
      <c r="Q326" s="12"/>
      <c r="R326" s="12">
        <f t="shared" si="42"/>
        <v>0</v>
      </c>
      <c r="S326" s="12"/>
      <c r="T326" s="12"/>
      <c r="U326" s="12">
        <f t="shared" si="43"/>
        <v>0</v>
      </c>
      <c r="V326" s="12"/>
      <c r="W326" s="12"/>
      <c r="X326" s="12">
        <f t="shared" si="44"/>
        <v>0</v>
      </c>
      <c r="Y326" s="12"/>
      <c r="Z326" s="12"/>
      <c r="AA326" s="13">
        <f t="shared" si="46"/>
        <v>0</v>
      </c>
      <c r="AB326" s="14">
        <v>46077</v>
      </c>
    </row>
    <row r="327" spans="1:28" ht="15.75" hidden="1" x14ac:dyDescent="0.25">
      <c r="A327" s="65">
        <v>46056</v>
      </c>
      <c r="B327" s="10" t="s">
        <v>239</v>
      </c>
      <c r="C327" s="10"/>
      <c r="D327" s="10" t="s">
        <v>195</v>
      </c>
      <c r="E327" s="10" t="s">
        <v>98</v>
      </c>
      <c r="F327" s="10">
        <v>4000</v>
      </c>
      <c r="G327" s="10" t="s">
        <v>26</v>
      </c>
      <c r="H327" s="10">
        <v>2000</v>
      </c>
      <c r="I327" s="10">
        <f t="shared" si="45"/>
        <v>8000000</v>
      </c>
      <c r="J327" s="29" t="s">
        <v>110</v>
      </c>
      <c r="K327" s="10"/>
      <c r="L327" s="12">
        <f t="shared" si="40"/>
        <v>0</v>
      </c>
      <c r="M327" s="12"/>
      <c r="N327" s="12"/>
      <c r="O327" s="12">
        <f t="shared" si="41"/>
        <v>8000000</v>
      </c>
      <c r="P327" s="12">
        <v>8000000</v>
      </c>
      <c r="Q327" s="12"/>
      <c r="R327" s="12">
        <f t="shared" si="42"/>
        <v>0</v>
      </c>
      <c r="S327" s="12"/>
      <c r="T327" s="12"/>
      <c r="U327" s="12">
        <f t="shared" si="43"/>
        <v>0</v>
      </c>
      <c r="V327" s="12"/>
      <c r="W327" s="12"/>
      <c r="X327" s="12">
        <f t="shared" si="44"/>
        <v>0</v>
      </c>
      <c r="Y327" s="12"/>
      <c r="Z327" s="12"/>
      <c r="AA327" s="13">
        <f t="shared" si="46"/>
        <v>0</v>
      </c>
      <c r="AB327" s="14">
        <v>46056</v>
      </c>
    </row>
    <row r="328" spans="1:28" ht="15.75" hidden="1" x14ac:dyDescent="0.25">
      <c r="A328" s="65">
        <v>46056</v>
      </c>
      <c r="B328" s="10" t="s">
        <v>204</v>
      </c>
      <c r="C328" s="10"/>
      <c r="D328" s="10" t="s">
        <v>28</v>
      </c>
      <c r="E328" s="10" t="s">
        <v>104</v>
      </c>
      <c r="F328" s="10">
        <v>200</v>
      </c>
      <c r="G328" s="10" t="s">
        <v>26</v>
      </c>
      <c r="H328" s="10">
        <v>1900</v>
      </c>
      <c r="I328" s="10">
        <f t="shared" si="45"/>
        <v>380000</v>
      </c>
      <c r="J328" s="29" t="s">
        <v>110</v>
      </c>
      <c r="K328" s="10"/>
      <c r="L328" s="12">
        <f t="shared" si="40"/>
        <v>0</v>
      </c>
      <c r="M328" s="12"/>
      <c r="N328" s="12"/>
      <c r="O328" s="12">
        <f t="shared" si="41"/>
        <v>0</v>
      </c>
      <c r="P328" s="12"/>
      <c r="Q328" s="12"/>
      <c r="R328" s="12">
        <f t="shared" si="42"/>
        <v>380000</v>
      </c>
      <c r="S328" s="12">
        <v>380000</v>
      </c>
      <c r="T328" s="12"/>
      <c r="U328" s="12">
        <f t="shared" si="43"/>
        <v>0</v>
      </c>
      <c r="V328" s="12"/>
      <c r="W328" s="12"/>
      <c r="X328" s="12">
        <f t="shared" si="44"/>
        <v>0</v>
      </c>
      <c r="Y328" s="12"/>
      <c r="Z328" s="12"/>
      <c r="AA328" s="13">
        <f t="shared" si="46"/>
        <v>0</v>
      </c>
      <c r="AB328" s="14">
        <v>46056</v>
      </c>
    </row>
    <row r="329" spans="1:28" ht="15.75" hidden="1" x14ac:dyDescent="0.25">
      <c r="A329" s="65">
        <v>46056</v>
      </c>
      <c r="B329" s="10" t="s">
        <v>399</v>
      </c>
      <c r="C329" s="10"/>
      <c r="D329" s="10" t="s">
        <v>28</v>
      </c>
      <c r="E329" s="10" t="s">
        <v>38</v>
      </c>
      <c r="F329" s="10">
        <v>4</v>
      </c>
      <c r="G329" s="10" t="s">
        <v>39</v>
      </c>
      <c r="H329" s="10">
        <v>45000</v>
      </c>
      <c r="I329" s="10">
        <f t="shared" si="45"/>
        <v>180000</v>
      </c>
      <c r="J329" s="29" t="s">
        <v>113</v>
      </c>
      <c r="K329" s="10"/>
      <c r="L329" s="12">
        <f t="shared" si="40"/>
        <v>180000</v>
      </c>
      <c r="M329" s="12">
        <v>180000</v>
      </c>
      <c r="N329" s="12"/>
      <c r="O329" s="12">
        <f t="shared" si="41"/>
        <v>0</v>
      </c>
      <c r="P329" s="12"/>
      <c r="Q329" s="12"/>
      <c r="R329" s="12">
        <f t="shared" si="42"/>
        <v>0</v>
      </c>
      <c r="S329" s="12"/>
      <c r="T329" s="12"/>
      <c r="U329" s="12">
        <f t="shared" si="43"/>
        <v>0</v>
      </c>
      <c r="V329" s="12"/>
      <c r="W329" s="12"/>
      <c r="X329" s="12">
        <f t="shared" si="44"/>
        <v>0</v>
      </c>
      <c r="Y329" s="12"/>
      <c r="Z329" s="12"/>
      <c r="AA329" s="13">
        <f t="shared" si="46"/>
        <v>0</v>
      </c>
      <c r="AB329" s="14">
        <v>46056</v>
      </c>
    </row>
    <row r="330" spans="1:28" ht="15.75" hidden="1" x14ac:dyDescent="0.25">
      <c r="A330" s="65">
        <v>46056</v>
      </c>
      <c r="B330" s="10" t="s">
        <v>144</v>
      </c>
      <c r="C330" s="10"/>
      <c r="D330" s="10" t="s">
        <v>383</v>
      </c>
      <c r="E330" s="10" t="s">
        <v>164</v>
      </c>
      <c r="F330" s="10">
        <v>34</v>
      </c>
      <c r="G330" s="10" t="s">
        <v>36</v>
      </c>
      <c r="H330" s="10">
        <v>43000</v>
      </c>
      <c r="I330" s="10">
        <f t="shared" si="45"/>
        <v>1462000</v>
      </c>
      <c r="J330" s="52" t="s">
        <v>90</v>
      </c>
      <c r="K330" s="10"/>
      <c r="L330" s="12">
        <f t="shared" si="40"/>
        <v>0</v>
      </c>
      <c r="M330" s="12"/>
      <c r="N330" s="12"/>
      <c r="O330" s="12">
        <f t="shared" si="41"/>
        <v>0</v>
      </c>
      <c r="P330" s="12"/>
      <c r="Q330" s="12"/>
      <c r="R330" s="12">
        <f t="shared" si="42"/>
        <v>0</v>
      </c>
      <c r="S330" s="12"/>
      <c r="T330" s="12"/>
      <c r="U330" s="12">
        <f t="shared" si="43"/>
        <v>0</v>
      </c>
      <c r="V330" s="12"/>
      <c r="W330" s="12"/>
      <c r="X330" s="12">
        <f t="shared" si="44"/>
        <v>0</v>
      </c>
      <c r="Y330" s="12"/>
      <c r="Z330" s="12"/>
      <c r="AA330" s="13">
        <f t="shared" si="46"/>
        <v>1462000</v>
      </c>
      <c r="AB330" s="14"/>
    </row>
    <row r="331" spans="1:28" ht="15.75" hidden="1" x14ac:dyDescent="0.25">
      <c r="A331" s="65">
        <v>46056</v>
      </c>
      <c r="B331" s="10" t="s">
        <v>144</v>
      </c>
      <c r="C331" s="10"/>
      <c r="D331" s="10" t="s">
        <v>383</v>
      </c>
      <c r="E331" s="10" t="s">
        <v>139</v>
      </c>
      <c r="F331" s="10">
        <v>39.5</v>
      </c>
      <c r="G331" s="10" t="s">
        <v>36</v>
      </c>
      <c r="H331" s="10">
        <v>43000</v>
      </c>
      <c r="I331" s="10">
        <f t="shared" si="45"/>
        <v>1698500</v>
      </c>
      <c r="J331" s="52" t="s">
        <v>90</v>
      </c>
      <c r="K331" s="10"/>
      <c r="L331" s="12">
        <f t="shared" si="40"/>
        <v>0</v>
      </c>
      <c r="M331" s="12"/>
      <c r="N331" s="12"/>
      <c r="O331" s="12">
        <f t="shared" si="41"/>
        <v>0</v>
      </c>
      <c r="P331" s="12"/>
      <c r="Q331" s="12"/>
      <c r="R331" s="12">
        <f t="shared" si="42"/>
        <v>0</v>
      </c>
      <c r="S331" s="12"/>
      <c r="T331" s="12"/>
      <c r="U331" s="12">
        <f t="shared" si="43"/>
        <v>0</v>
      </c>
      <c r="V331" s="12"/>
      <c r="W331" s="12"/>
      <c r="X331" s="12">
        <f t="shared" si="44"/>
        <v>0</v>
      </c>
      <c r="Y331" s="12"/>
      <c r="Z331" s="12"/>
      <c r="AA331" s="13">
        <f t="shared" si="46"/>
        <v>1698500</v>
      </c>
      <c r="AB331" s="14"/>
    </row>
    <row r="332" spans="1:28" ht="15.75" hidden="1" x14ac:dyDescent="0.25">
      <c r="A332" s="65">
        <v>46056</v>
      </c>
      <c r="B332" s="10" t="s">
        <v>283</v>
      </c>
      <c r="C332" s="10"/>
      <c r="D332" s="10" t="s">
        <v>383</v>
      </c>
      <c r="E332" s="10" t="s">
        <v>141</v>
      </c>
      <c r="F332" s="10">
        <v>4600</v>
      </c>
      <c r="G332" s="10" t="s">
        <v>26</v>
      </c>
      <c r="H332" s="10">
        <v>2000</v>
      </c>
      <c r="I332" s="10">
        <f t="shared" si="45"/>
        <v>9200000</v>
      </c>
      <c r="J332" s="29" t="s">
        <v>110</v>
      </c>
      <c r="K332" s="10"/>
      <c r="L332" s="12">
        <f t="shared" si="40"/>
        <v>0</v>
      </c>
      <c r="M332" s="12"/>
      <c r="N332" s="12"/>
      <c r="O332" s="12">
        <f t="shared" si="41"/>
        <v>9200000</v>
      </c>
      <c r="P332" s="12">
        <v>2048000</v>
      </c>
      <c r="Q332" s="12">
        <v>7152000</v>
      </c>
      <c r="R332" s="12">
        <f t="shared" si="42"/>
        <v>0</v>
      </c>
      <c r="S332" s="12"/>
      <c r="T332" s="12"/>
      <c r="U332" s="12">
        <f t="shared" si="43"/>
        <v>0</v>
      </c>
      <c r="V332" s="12"/>
      <c r="W332" s="12"/>
      <c r="X332" s="12">
        <f t="shared" si="44"/>
        <v>0</v>
      </c>
      <c r="Y332" s="12"/>
      <c r="Z332" s="12"/>
      <c r="AA332" s="13">
        <f t="shared" si="46"/>
        <v>0</v>
      </c>
      <c r="AB332" s="14">
        <v>46056</v>
      </c>
    </row>
    <row r="333" spans="1:28" ht="15.75" hidden="1" x14ac:dyDescent="0.25">
      <c r="A333" s="65">
        <v>46056</v>
      </c>
      <c r="B333" s="10" t="s">
        <v>320</v>
      </c>
      <c r="C333" s="10"/>
      <c r="D333" s="10" t="s">
        <v>195</v>
      </c>
      <c r="E333" s="10" t="s">
        <v>60</v>
      </c>
      <c r="F333" s="10">
        <v>2</v>
      </c>
      <c r="G333" s="10" t="s">
        <v>61</v>
      </c>
      <c r="H333" s="10">
        <v>145000</v>
      </c>
      <c r="I333" s="10">
        <f t="shared" si="45"/>
        <v>290000</v>
      </c>
      <c r="J333" s="29" t="s">
        <v>113</v>
      </c>
      <c r="K333" s="10"/>
      <c r="L333" s="12">
        <f t="shared" si="40"/>
        <v>0</v>
      </c>
      <c r="M333" s="12"/>
      <c r="N333" s="12"/>
      <c r="O333" s="12">
        <f t="shared" si="41"/>
        <v>0</v>
      </c>
      <c r="P333" s="12"/>
      <c r="Q333" s="12"/>
      <c r="R333" s="12">
        <f t="shared" si="42"/>
        <v>0</v>
      </c>
      <c r="S333" s="12"/>
      <c r="T333" s="12"/>
      <c r="U333" s="12">
        <f t="shared" si="43"/>
        <v>290000</v>
      </c>
      <c r="V333" s="12">
        <v>290000</v>
      </c>
      <c r="W333" s="12"/>
      <c r="X333" s="12">
        <f t="shared" si="44"/>
        <v>0</v>
      </c>
      <c r="Y333" s="12"/>
      <c r="Z333" s="12"/>
      <c r="AA333" s="13">
        <f t="shared" si="46"/>
        <v>0</v>
      </c>
      <c r="AB333" s="14">
        <v>46056</v>
      </c>
    </row>
    <row r="334" spans="1:28" ht="15.75" hidden="1" x14ac:dyDescent="0.25">
      <c r="A334" s="65">
        <v>46056</v>
      </c>
      <c r="B334" s="10" t="s">
        <v>280</v>
      </c>
      <c r="C334" s="10"/>
      <c r="D334" s="10" t="s">
        <v>383</v>
      </c>
      <c r="E334" s="10" t="s">
        <v>161</v>
      </c>
      <c r="F334" s="10">
        <v>1</v>
      </c>
      <c r="G334" s="10" t="s">
        <v>61</v>
      </c>
      <c r="H334" s="10">
        <v>230000</v>
      </c>
      <c r="I334" s="10">
        <f t="shared" si="45"/>
        <v>230000</v>
      </c>
      <c r="J334" s="29" t="s">
        <v>113</v>
      </c>
      <c r="K334" s="10"/>
      <c r="L334" s="12">
        <f t="shared" si="40"/>
        <v>0</v>
      </c>
      <c r="M334" s="12"/>
      <c r="N334" s="12"/>
      <c r="O334" s="12">
        <f t="shared" si="41"/>
        <v>0</v>
      </c>
      <c r="P334" s="12"/>
      <c r="Q334" s="12"/>
      <c r="R334" s="12">
        <f t="shared" si="42"/>
        <v>0</v>
      </c>
      <c r="S334" s="12"/>
      <c r="T334" s="12"/>
      <c r="U334" s="12">
        <f t="shared" si="43"/>
        <v>230000</v>
      </c>
      <c r="V334" s="12">
        <v>230000</v>
      </c>
      <c r="W334" s="12"/>
      <c r="X334" s="12">
        <f t="shared" si="44"/>
        <v>0</v>
      </c>
      <c r="Y334" s="12"/>
      <c r="Z334" s="12"/>
      <c r="AA334" s="13">
        <f t="shared" si="46"/>
        <v>0</v>
      </c>
      <c r="AB334" s="14">
        <v>46056</v>
      </c>
    </row>
    <row r="335" spans="1:28" ht="15.75" hidden="1" x14ac:dyDescent="0.25">
      <c r="A335" s="65">
        <v>46056</v>
      </c>
      <c r="B335" s="10" t="s">
        <v>280</v>
      </c>
      <c r="C335" s="10"/>
      <c r="D335" s="10" t="s">
        <v>383</v>
      </c>
      <c r="E335" s="10" t="s">
        <v>209</v>
      </c>
      <c r="F335" s="10">
        <v>1</v>
      </c>
      <c r="G335" s="10" t="s">
        <v>61</v>
      </c>
      <c r="H335" s="10">
        <v>230000</v>
      </c>
      <c r="I335" s="10">
        <f t="shared" si="45"/>
        <v>230000</v>
      </c>
      <c r="J335" s="29" t="s">
        <v>113</v>
      </c>
      <c r="K335" s="10"/>
      <c r="L335" s="12">
        <f t="shared" si="40"/>
        <v>0</v>
      </c>
      <c r="M335" s="12"/>
      <c r="N335" s="12"/>
      <c r="O335" s="12">
        <f t="shared" si="41"/>
        <v>0</v>
      </c>
      <c r="P335" s="12"/>
      <c r="Q335" s="12"/>
      <c r="R335" s="12">
        <f t="shared" si="42"/>
        <v>0</v>
      </c>
      <c r="S335" s="12"/>
      <c r="T335" s="12"/>
      <c r="U335" s="12">
        <f t="shared" si="43"/>
        <v>230000</v>
      </c>
      <c r="V335" s="12">
        <v>230000</v>
      </c>
      <c r="W335" s="12"/>
      <c r="X335" s="12">
        <f t="shared" si="44"/>
        <v>0</v>
      </c>
      <c r="Y335" s="12"/>
      <c r="Z335" s="12"/>
      <c r="AA335" s="13">
        <f t="shared" si="46"/>
        <v>0</v>
      </c>
      <c r="AB335" s="14">
        <v>46056</v>
      </c>
    </row>
    <row r="336" spans="1:28" ht="15.75" hidden="1" x14ac:dyDescent="0.25">
      <c r="A336" s="65">
        <v>46056</v>
      </c>
      <c r="B336" s="10" t="s">
        <v>451</v>
      </c>
      <c r="C336" s="10"/>
      <c r="D336" s="10" t="s">
        <v>195</v>
      </c>
      <c r="E336" s="10" t="s">
        <v>114</v>
      </c>
      <c r="F336" s="10">
        <v>40</v>
      </c>
      <c r="G336" s="10" t="s">
        <v>67</v>
      </c>
      <c r="H336" s="10">
        <v>50000</v>
      </c>
      <c r="I336" s="10">
        <f t="shared" si="45"/>
        <v>2000000</v>
      </c>
      <c r="J336" s="29" t="s">
        <v>113</v>
      </c>
      <c r="K336" s="10"/>
      <c r="L336" s="12">
        <f t="shared" si="40"/>
        <v>2000000</v>
      </c>
      <c r="M336" s="12">
        <v>2000000</v>
      </c>
      <c r="N336" s="12"/>
      <c r="O336" s="12">
        <f t="shared" si="41"/>
        <v>0</v>
      </c>
      <c r="P336" s="12"/>
      <c r="Q336" s="12"/>
      <c r="R336" s="12">
        <f t="shared" si="42"/>
        <v>0</v>
      </c>
      <c r="S336" s="12"/>
      <c r="T336" s="12"/>
      <c r="U336" s="12">
        <f t="shared" si="43"/>
        <v>0</v>
      </c>
      <c r="V336" s="12"/>
      <c r="W336" s="12"/>
      <c r="X336" s="12">
        <f t="shared" si="44"/>
        <v>0</v>
      </c>
      <c r="Y336" s="12"/>
      <c r="Z336" s="12"/>
      <c r="AA336" s="13">
        <f t="shared" si="46"/>
        <v>0</v>
      </c>
      <c r="AB336" s="14">
        <v>46056</v>
      </c>
    </row>
    <row r="337" spans="1:28" ht="15.75" hidden="1" x14ac:dyDescent="0.25">
      <c r="A337" s="65">
        <v>46056</v>
      </c>
      <c r="B337" s="10" t="s">
        <v>451</v>
      </c>
      <c r="C337" s="10"/>
      <c r="D337" s="10" t="s">
        <v>195</v>
      </c>
      <c r="E337" s="10" t="s">
        <v>107</v>
      </c>
      <c r="F337" s="10">
        <v>20</v>
      </c>
      <c r="G337" s="10" t="s">
        <v>36</v>
      </c>
      <c r="H337" s="10">
        <v>52000</v>
      </c>
      <c r="I337" s="10">
        <f t="shared" si="45"/>
        <v>1040000</v>
      </c>
      <c r="J337" s="29" t="s">
        <v>113</v>
      </c>
      <c r="K337" s="10"/>
      <c r="L337" s="12">
        <f t="shared" si="40"/>
        <v>1040000</v>
      </c>
      <c r="M337" s="12">
        <v>1040000</v>
      </c>
      <c r="N337" s="12"/>
      <c r="O337" s="12">
        <f t="shared" si="41"/>
        <v>0</v>
      </c>
      <c r="P337" s="12"/>
      <c r="Q337" s="12"/>
      <c r="R337" s="12">
        <f t="shared" si="42"/>
        <v>0</v>
      </c>
      <c r="S337" s="12"/>
      <c r="T337" s="12"/>
      <c r="U337" s="12">
        <f t="shared" si="43"/>
        <v>0</v>
      </c>
      <c r="V337" s="12"/>
      <c r="W337" s="12"/>
      <c r="X337" s="12">
        <f t="shared" si="44"/>
        <v>0</v>
      </c>
      <c r="Y337" s="12"/>
      <c r="Z337" s="12"/>
      <c r="AA337" s="13">
        <f t="shared" si="46"/>
        <v>0</v>
      </c>
      <c r="AB337" s="14">
        <v>46056</v>
      </c>
    </row>
    <row r="338" spans="1:28" ht="15.75" hidden="1" x14ac:dyDescent="0.25">
      <c r="A338" s="65">
        <v>46056</v>
      </c>
      <c r="B338" s="10" t="s">
        <v>409</v>
      </c>
      <c r="C338" s="10"/>
      <c r="D338" s="10" t="s">
        <v>383</v>
      </c>
      <c r="E338" s="10" t="s">
        <v>371</v>
      </c>
      <c r="F338" s="10">
        <v>20</v>
      </c>
      <c r="G338" s="10" t="s">
        <v>67</v>
      </c>
      <c r="H338" s="10">
        <v>45000</v>
      </c>
      <c r="I338" s="10">
        <f t="shared" si="45"/>
        <v>900000</v>
      </c>
      <c r="J338" s="29" t="s">
        <v>113</v>
      </c>
      <c r="K338" s="10"/>
      <c r="L338" s="12">
        <f t="shared" si="40"/>
        <v>900000</v>
      </c>
      <c r="M338" s="12">
        <v>900000</v>
      </c>
      <c r="N338" s="12"/>
      <c r="O338" s="12">
        <f t="shared" si="41"/>
        <v>0</v>
      </c>
      <c r="P338" s="12"/>
      <c r="Q338" s="12"/>
      <c r="R338" s="12">
        <f t="shared" si="42"/>
        <v>0</v>
      </c>
      <c r="S338" s="12"/>
      <c r="T338" s="12"/>
      <c r="U338" s="12">
        <f t="shared" si="43"/>
        <v>0</v>
      </c>
      <c r="V338" s="12"/>
      <c r="W338" s="12"/>
      <c r="X338" s="12">
        <f t="shared" si="44"/>
        <v>0</v>
      </c>
      <c r="Y338" s="12"/>
      <c r="Z338" s="12"/>
      <c r="AA338" s="13">
        <f t="shared" si="46"/>
        <v>0</v>
      </c>
      <c r="AB338" s="14">
        <v>46056</v>
      </c>
    </row>
    <row r="339" spans="1:28" ht="15.75" hidden="1" x14ac:dyDescent="0.25">
      <c r="A339" s="65">
        <v>46056</v>
      </c>
      <c r="B339" s="10" t="s">
        <v>365</v>
      </c>
      <c r="C339" s="10"/>
      <c r="D339" s="10" t="s">
        <v>28</v>
      </c>
      <c r="E339" s="10" t="s">
        <v>175</v>
      </c>
      <c r="F339" s="10">
        <v>200</v>
      </c>
      <c r="G339" s="10" t="s">
        <v>26</v>
      </c>
      <c r="H339" s="10">
        <v>1000</v>
      </c>
      <c r="I339" s="10">
        <f t="shared" si="45"/>
        <v>200000</v>
      </c>
      <c r="J339" s="29" t="s">
        <v>113</v>
      </c>
      <c r="K339" s="10"/>
      <c r="L339" s="12">
        <f t="shared" ref="L339:L340" si="47">M339+N339</f>
        <v>0</v>
      </c>
      <c r="M339" s="12"/>
      <c r="N339" s="12"/>
      <c r="O339" s="12">
        <f t="shared" ref="O339:O340" si="48">P339+Q339</f>
        <v>0</v>
      </c>
      <c r="P339" s="12"/>
      <c r="Q339" s="12"/>
      <c r="R339" s="12">
        <f t="shared" ref="R339:R340" si="49">S339+T339</f>
        <v>0</v>
      </c>
      <c r="S339" s="12"/>
      <c r="T339" s="12"/>
      <c r="U339" s="12">
        <f t="shared" ref="U339:U340" si="50">V339+W339</f>
        <v>200000</v>
      </c>
      <c r="V339" s="12">
        <v>200000</v>
      </c>
      <c r="W339" s="12"/>
      <c r="X339" s="12">
        <f t="shared" ref="X339:X340" si="51">Y339+Z339</f>
        <v>0</v>
      </c>
      <c r="Y339" s="12"/>
      <c r="Z339" s="12"/>
      <c r="AA339" s="13">
        <f t="shared" si="46"/>
        <v>0</v>
      </c>
      <c r="AB339" s="14">
        <v>46055</v>
      </c>
    </row>
    <row r="340" spans="1:28" ht="15.75" hidden="1" x14ac:dyDescent="0.25">
      <c r="A340" s="28">
        <v>46056</v>
      </c>
      <c r="B340" s="10" t="s">
        <v>234</v>
      </c>
      <c r="C340" s="10"/>
      <c r="D340" s="10" t="s">
        <v>28</v>
      </c>
      <c r="E340" s="10" t="s">
        <v>116</v>
      </c>
      <c r="F340" s="10">
        <v>24</v>
      </c>
      <c r="G340" s="10" t="s">
        <v>67</v>
      </c>
      <c r="H340" s="10">
        <v>65000</v>
      </c>
      <c r="I340" s="10">
        <f t="shared" si="45"/>
        <v>1560000</v>
      </c>
      <c r="J340" s="29" t="s">
        <v>40</v>
      </c>
      <c r="K340" s="10"/>
      <c r="L340" s="12">
        <f t="shared" si="47"/>
        <v>0</v>
      </c>
      <c r="M340" s="12"/>
      <c r="N340" s="12"/>
      <c r="O340" s="12">
        <f t="shared" si="48"/>
        <v>3000000</v>
      </c>
      <c r="P340" s="12">
        <v>3000000</v>
      </c>
      <c r="Q340" s="12"/>
      <c r="R340" s="12">
        <f t="shared" si="49"/>
        <v>0</v>
      </c>
      <c r="S340" s="12"/>
      <c r="T340" s="12"/>
      <c r="U340" s="12">
        <f t="shared" si="50"/>
        <v>0</v>
      </c>
      <c r="V340" s="12"/>
      <c r="W340" s="12"/>
      <c r="X340" s="12">
        <f t="shared" si="51"/>
        <v>0</v>
      </c>
      <c r="Y340" s="12"/>
      <c r="Z340" s="12"/>
      <c r="AA340" s="13">
        <f t="shared" si="46"/>
        <v>-1440000</v>
      </c>
      <c r="AB340" s="14">
        <v>46065</v>
      </c>
    </row>
    <row r="341" spans="1:28" ht="15.75" x14ac:dyDescent="0.25">
      <c r="A341" s="65">
        <v>46056</v>
      </c>
      <c r="B341" s="10" t="s">
        <v>272</v>
      </c>
      <c r="C341" s="10"/>
      <c r="D341" s="10"/>
      <c r="E341" s="10" t="s">
        <v>80</v>
      </c>
      <c r="F341" s="10">
        <v>22.7</v>
      </c>
      <c r="G341" s="10" t="s">
        <v>36</v>
      </c>
      <c r="H341" s="10">
        <v>43000</v>
      </c>
      <c r="I341" s="10">
        <f t="shared" si="45"/>
        <v>976100</v>
      </c>
      <c r="J341" s="86" t="s">
        <v>30</v>
      </c>
      <c r="K341" s="10"/>
      <c r="L341" s="12">
        <f t="shared" ref="L341:L343" si="52">M341+N341</f>
        <v>0</v>
      </c>
      <c r="M341" s="12"/>
      <c r="N341" s="12"/>
      <c r="O341" s="12">
        <f t="shared" ref="O341:O343" si="53">P341+Q341</f>
        <v>0</v>
      </c>
      <c r="P341" s="12"/>
      <c r="Q341" s="12"/>
      <c r="R341" s="12">
        <f t="shared" ref="R341:R343" si="54">S341+T341</f>
        <v>0</v>
      </c>
      <c r="S341" s="12"/>
      <c r="T341" s="12"/>
      <c r="U341" s="12">
        <f t="shared" ref="U341:U343" si="55">V341+W341</f>
        <v>0</v>
      </c>
      <c r="V341" s="12"/>
      <c r="W341" s="12"/>
      <c r="X341" s="12">
        <f t="shared" ref="X341:X343" si="56">Y341+Z341</f>
        <v>0</v>
      </c>
      <c r="Y341" s="12"/>
      <c r="Z341" s="12"/>
      <c r="AA341" s="13">
        <f t="shared" si="46"/>
        <v>976100</v>
      </c>
      <c r="AB341" s="14"/>
    </row>
    <row r="342" spans="1:28" ht="15.75" x14ac:dyDescent="0.25">
      <c r="A342" s="65">
        <v>46056</v>
      </c>
      <c r="B342" s="10" t="s">
        <v>272</v>
      </c>
      <c r="C342" s="10"/>
      <c r="D342" s="10"/>
      <c r="E342" s="10" t="s">
        <v>80</v>
      </c>
      <c r="F342" s="10">
        <v>22.8</v>
      </c>
      <c r="G342" s="10" t="s">
        <v>36</v>
      </c>
      <c r="H342" s="10">
        <v>43000</v>
      </c>
      <c r="I342" s="10">
        <f t="shared" si="45"/>
        <v>980400</v>
      </c>
      <c r="J342" s="86" t="s">
        <v>30</v>
      </c>
      <c r="K342" s="10"/>
      <c r="L342" s="12">
        <f t="shared" si="52"/>
        <v>0</v>
      </c>
      <c r="M342" s="12"/>
      <c r="N342" s="12"/>
      <c r="O342" s="12">
        <f t="shared" si="53"/>
        <v>0</v>
      </c>
      <c r="P342" s="12"/>
      <c r="Q342" s="12"/>
      <c r="R342" s="12">
        <f t="shared" si="54"/>
        <v>0</v>
      </c>
      <c r="S342" s="12"/>
      <c r="T342" s="12"/>
      <c r="U342" s="12">
        <f t="shared" si="55"/>
        <v>0</v>
      </c>
      <c r="V342" s="12"/>
      <c r="W342" s="12"/>
      <c r="X342" s="12">
        <f t="shared" si="56"/>
        <v>0</v>
      </c>
      <c r="Y342" s="12"/>
      <c r="Z342" s="12"/>
      <c r="AA342" s="13">
        <f t="shared" si="46"/>
        <v>980400</v>
      </c>
      <c r="AB342" s="14"/>
    </row>
    <row r="343" spans="1:28" ht="16.5" thickBot="1" x14ac:dyDescent="0.3">
      <c r="A343" s="53">
        <v>46056</v>
      </c>
      <c r="B343" s="31" t="s">
        <v>272</v>
      </c>
      <c r="C343" s="31"/>
      <c r="D343" s="31"/>
      <c r="E343" s="31" t="s">
        <v>304</v>
      </c>
      <c r="F343" s="31">
        <v>37.200000000000003</v>
      </c>
      <c r="G343" s="31" t="s">
        <v>36</v>
      </c>
      <c r="H343" s="31">
        <v>100000</v>
      </c>
      <c r="I343" s="31">
        <f t="shared" si="45"/>
        <v>3720000.0000000005</v>
      </c>
      <c r="J343" s="103" t="s">
        <v>30</v>
      </c>
      <c r="K343" s="31"/>
      <c r="L343" s="34">
        <f t="shared" si="52"/>
        <v>0</v>
      </c>
      <c r="M343" s="34"/>
      <c r="N343" s="34"/>
      <c r="O343" s="34">
        <f t="shared" si="53"/>
        <v>0</v>
      </c>
      <c r="P343" s="34"/>
      <c r="Q343" s="34"/>
      <c r="R343" s="34">
        <f t="shared" si="54"/>
        <v>0</v>
      </c>
      <c r="S343" s="34"/>
      <c r="T343" s="34"/>
      <c r="U343" s="34">
        <f t="shared" si="55"/>
        <v>0</v>
      </c>
      <c r="V343" s="34"/>
      <c r="W343" s="34"/>
      <c r="X343" s="34">
        <f t="shared" si="56"/>
        <v>0</v>
      </c>
      <c r="Y343" s="34"/>
      <c r="Z343" s="34"/>
      <c r="AA343" s="35">
        <f t="shared" si="46"/>
        <v>3720000.0000000005</v>
      </c>
      <c r="AB343" s="36"/>
    </row>
    <row r="344" spans="1:28" ht="15.75" hidden="1" x14ac:dyDescent="0.25">
      <c r="A344" s="65">
        <v>46057</v>
      </c>
      <c r="B344" s="66" t="s">
        <v>256</v>
      </c>
      <c r="C344" s="66"/>
      <c r="D344" s="66" t="s">
        <v>28</v>
      </c>
      <c r="E344" s="66" t="s">
        <v>80</v>
      </c>
      <c r="F344" s="66">
        <v>89.5</v>
      </c>
      <c r="G344" s="66" t="s">
        <v>36</v>
      </c>
      <c r="H344" s="66">
        <v>43000</v>
      </c>
      <c r="I344" s="10">
        <f t="shared" si="45"/>
        <v>3848500</v>
      </c>
      <c r="J344" s="29" t="s">
        <v>113</v>
      </c>
      <c r="K344" s="10"/>
      <c r="L344" s="12">
        <f t="shared" ref="L344" si="57">M344+N344</f>
        <v>0</v>
      </c>
      <c r="M344" s="12"/>
      <c r="N344" s="12"/>
      <c r="O344" s="12">
        <f t="shared" ref="O344" si="58">P344+Q344</f>
        <v>0</v>
      </c>
      <c r="P344" s="12"/>
      <c r="Q344" s="12"/>
      <c r="R344" s="12">
        <f t="shared" ref="R344" si="59">S344+T344</f>
        <v>0</v>
      </c>
      <c r="S344" s="12"/>
      <c r="T344" s="12"/>
      <c r="U344" s="12">
        <f t="shared" ref="U344" si="60">V344+W344</f>
        <v>3848500</v>
      </c>
      <c r="V344" s="12">
        <v>3848500</v>
      </c>
      <c r="W344" s="12"/>
      <c r="X344" s="12">
        <f t="shared" ref="X344" si="61">Y344+Z344</f>
        <v>0</v>
      </c>
      <c r="Y344" s="12"/>
      <c r="Z344" s="12"/>
      <c r="AA344" s="13">
        <f t="shared" si="46"/>
        <v>0</v>
      </c>
      <c r="AB344" s="14">
        <v>46062</v>
      </c>
    </row>
    <row r="345" spans="1:28" ht="15.75" hidden="1" x14ac:dyDescent="0.25">
      <c r="A345" s="65">
        <v>46057</v>
      </c>
      <c r="B345" s="10" t="s">
        <v>321</v>
      </c>
      <c r="C345" s="10"/>
      <c r="D345" s="10" t="s">
        <v>28</v>
      </c>
      <c r="E345" s="10" t="s">
        <v>116</v>
      </c>
      <c r="F345" s="10">
        <v>12</v>
      </c>
      <c r="G345" s="10" t="s">
        <v>67</v>
      </c>
      <c r="H345" s="10">
        <v>65000</v>
      </c>
      <c r="I345" s="10">
        <f t="shared" si="45"/>
        <v>780000</v>
      </c>
      <c r="J345" s="29" t="s">
        <v>113</v>
      </c>
      <c r="K345" s="10"/>
      <c r="L345" s="12">
        <f t="shared" ref="L345:L356" si="62">M345+N345</f>
        <v>780000</v>
      </c>
      <c r="M345" s="12">
        <v>780000</v>
      </c>
      <c r="N345" s="12"/>
      <c r="O345" s="12">
        <f t="shared" ref="O345:O356" si="63">P345+Q345</f>
        <v>0</v>
      </c>
      <c r="P345" s="12"/>
      <c r="Q345" s="12"/>
      <c r="R345" s="12">
        <f t="shared" ref="R345:R356" si="64">S345+T345</f>
        <v>0</v>
      </c>
      <c r="S345" s="12"/>
      <c r="T345" s="12"/>
      <c r="U345" s="12">
        <f t="shared" ref="U345:U356" si="65">V345+W345</f>
        <v>0</v>
      </c>
      <c r="V345" s="12"/>
      <c r="W345" s="12"/>
      <c r="X345" s="12">
        <f t="shared" ref="X345:X356" si="66">Y345+Z345</f>
        <v>0</v>
      </c>
      <c r="Y345" s="12"/>
      <c r="Z345" s="12"/>
      <c r="AA345" s="13">
        <f t="shared" si="46"/>
        <v>0</v>
      </c>
      <c r="AB345" s="14">
        <v>46057</v>
      </c>
    </row>
    <row r="346" spans="1:28" ht="15.75" hidden="1" x14ac:dyDescent="0.25">
      <c r="A346" s="65">
        <v>46057</v>
      </c>
      <c r="B346" s="10" t="s">
        <v>321</v>
      </c>
      <c r="C346" s="10"/>
      <c r="D346" s="10" t="s">
        <v>28</v>
      </c>
      <c r="E346" s="10" t="s">
        <v>51</v>
      </c>
      <c r="F346" s="10">
        <v>1</v>
      </c>
      <c r="G346" s="10" t="s">
        <v>22</v>
      </c>
      <c r="H346" s="10">
        <v>400000</v>
      </c>
      <c r="I346" s="10">
        <f t="shared" si="45"/>
        <v>400000</v>
      </c>
      <c r="J346" s="29" t="s">
        <v>113</v>
      </c>
      <c r="K346" s="10"/>
      <c r="L346" s="12">
        <f t="shared" si="62"/>
        <v>400000</v>
      </c>
      <c r="M346" s="12">
        <v>400000</v>
      </c>
      <c r="N346" s="12"/>
      <c r="O346" s="12">
        <f t="shared" si="63"/>
        <v>0</v>
      </c>
      <c r="P346" s="12"/>
      <c r="Q346" s="12"/>
      <c r="R346" s="12">
        <f t="shared" si="64"/>
        <v>0</v>
      </c>
      <c r="S346" s="12"/>
      <c r="T346" s="12"/>
      <c r="U346" s="12">
        <f t="shared" si="65"/>
        <v>0</v>
      </c>
      <c r="V346" s="12"/>
      <c r="W346" s="12"/>
      <c r="X346" s="12">
        <f t="shared" si="66"/>
        <v>0</v>
      </c>
      <c r="Y346" s="12"/>
      <c r="Z346" s="12"/>
      <c r="AA346" s="13">
        <f t="shared" si="46"/>
        <v>0</v>
      </c>
      <c r="AB346" s="14">
        <v>46057</v>
      </c>
    </row>
    <row r="347" spans="1:28" ht="15.75" hidden="1" x14ac:dyDescent="0.25">
      <c r="A347" s="65">
        <v>46057</v>
      </c>
      <c r="B347" s="10" t="s">
        <v>238</v>
      </c>
      <c r="C347" s="10"/>
      <c r="D347" s="10" t="s">
        <v>195</v>
      </c>
      <c r="E347" s="10" t="s">
        <v>65</v>
      </c>
      <c r="F347" s="10">
        <v>500</v>
      </c>
      <c r="G347" s="10" t="s">
        <v>26</v>
      </c>
      <c r="H347" s="10">
        <v>3600</v>
      </c>
      <c r="I347" s="10">
        <f t="shared" si="45"/>
        <v>1800000</v>
      </c>
      <c r="J347" s="29" t="s">
        <v>110</v>
      </c>
      <c r="K347" s="10"/>
      <c r="L347" s="12">
        <f t="shared" si="62"/>
        <v>0</v>
      </c>
      <c r="M347" s="12"/>
      <c r="N347" s="12"/>
      <c r="O347" s="12">
        <f t="shared" si="63"/>
        <v>1800000</v>
      </c>
      <c r="P347" s="12">
        <v>1800000</v>
      </c>
      <c r="Q347" s="12"/>
      <c r="R347" s="12">
        <f t="shared" si="64"/>
        <v>0</v>
      </c>
      <c r="S347" s="12"/>
      <c r="T347" s="12"/>
      <c r="U347" s="12">
        <f t="shared" si="65"/>
        <v>0</v>
      </c>
      <c r="V347" s="12"/>
      <c r="W347" s="12"/>
      <c r="X347" s="12">
        <f t="shared" si="66"/>
        <v>0</v>
      </c>
      <c r="Y347" s="12"/>
      <c r="Z347" s="12"/>
      <c r="AA347" s="13">
        <f t="shared" si="46"/>
        <v>0</v>
      </c>
      <c r="AB347" s="14">
        <v>46056</v>
      </c>
    </row>
    <row r="348" spans="1:28" ht="15.75" hidden="1" x14ac:dyDescent="0.25">
      <c r="A348" s="65">
        <v>46057</v>
      </c>
      <c r="B348" s="10" t="s">
        <v>238</v>
      </c>
      <c r="C348" s="10"/>
      <c r="D348" s="10" t="s">
        <v>195</v>
      </c>
      <c r="E348" s="10" t="s">
        <v>65</v>
      </c>
      <c r="F348" s="10">
        <v>600</v>
      </c>
      <c r="G348" s="10" t="s">
        <v>26</v>
      </c>
      <c r="H348" s="10">
        <v>3800</v>
      </c>
      <c r="I348" s="10">
        <f t="shared" si="45"/>
        <v>2280000</v>
      </c>
      <c r="J348" s="29" t="s">
        <v>110</v>
      </c>
      <c r="K348" s="10"/>
      <c r="L348" s="12">
        <f t="shared" si="62"/>
        <v>0</v>
      </c>
      <c r="M348" s="12"/>
      <c r="N348" s="12"/>
      <c r="O348" s="12">
        <f t="shared" si="63"/>
        <v>2280000</v>
      </c>
      <c r="P348" s="12">
        <v>2280000</v>
      </c>
      <c r="Q348" s="12"/>
      <c r="R348" s="12">
        <f t="shared" si="64"/>
        <v>0</v>
      </c>
      <c r="S348" s="12"/>
      <c r="T348" s="12"/>
      <c r="U348" s="12">
        <f t="shared" si="65"/>
        <v>0</v>
      </c>
      <c r="V348" s="12"/>
      <c r="W348" s="12"/>
      <c r="X348" s="12">
        <f t="shared" si="66"/>
        <v>0</v>
      </c>
      <c r="Y348" s="12"/>
      <c r="Z348" s="12"/>
      <c r="AA348" s="13">
        <f t="shared" si="46"/>
        <v>0</v>
      </c>
      <c r="AB348" s="14">
        <v>46057</v>
      </c>
    </row>
    <row r="349" spans="1:28" ht="15.75" hidden="1" x14ac:dyDescent="0.25">
      <c r="A349" s="65">
        <v>46057</v>
      </c>
      <c r="B349" s="10" t="s">
        <v>274</v>
      </c>
      <c r="C349" s="10"/>
      <c r="D349" s="10" t="s">
        <v>195</v>
      </c>
      <c r="E349" s="10" t="s">
        <v>129</v>
      </c>
      <c r="F349" s="10">
        <v>1000</v>
      </c>
      <c r="G349" s="10" t="s">
        <v>26</v>
      </c>
      <c r="H349" s="10">
        <v>3800</v>
      </c>
      <c r="I349" s="10">
        <f t="shared" si="45"/>
        <v>3800000</v>
      </c>
      <c r="J349" s="29" t="s">
        <v>113</v>
      </c>
      <c r="K349" s="10"/>
      <c r="L349" s="12">
        <f t="shared" si="62"/>
        <v>3800000</v>
      </c>
      <c r="M349" s="12">
        <v>3800000</v>
      </c>
      <c r="N349" s="12"/>
      <c r="O349" s="12">
        <f t="shared" si="63"/>
        <v>0</v>
      </c>
      <c r="P349" s="12"/>
      <c r="Q349" s="12"/>
      <c r="R349" s="12">
        <f t="shared" si="64"/>
        <v>0</v>
      </c>
      <c r="S349" s="12"/>
      <c r="T349" s="12"/>
      <c r="U349" s="12">
        <f t="shared" si="65"/>
        <v>0</v>
      </c>
      <c r="V349" s="12"/>
      <c r="W349" s="12"/>
      <c r="X349" s="12">
        <f t="shared" si="66"/>
        <v>0</v>
      </c>
      <c r="Y349" s="12"/>
      <c r="Z349" s="12"/>
      <c r="AA349" s="13">
        <f t="shared" si="46"/>
        <v>0</v>
      </c>
      <c r="AB349" s="14">
        <v>46057</v>
      </c>
    </row>
    <row r="350" spans="1:28" ht="15.75" hidden="1" x14ac:dyDescent="0.25">
      <c r="A350" s="65">
        <v>46057</v>
      </c>
      <c r="B350" s="10" t="s">
        <v>454</v>
      </c>
      <c r="C350" s="10"/>
      <c r="D350" s="10" t="s">
        <v>383</v>
      </c>
      <c r="E350" s="10" t="s">
        <v>86</v>
      </c>
      <c r="F350" s="10">
        <v>29.2</v>
      </c>
      <c r="G350" s="10" t="s">
        <v>36</v>
      </c>
      <c r="H350" s="10">
        <v>43000</v>
      </c>
      <c r="I350" s="10">
        <f t="shared" si="45"/>
        <v>1255600</v>
      </c>
      <c r="J350" s="29" t="s">
        <v>113</v>
      </c>
      <c r="K350" s="10"/>
      <c r="L350" s="12">
        <f t="shared" si="62"/>
        <v>0</v>
      </c>
      <c r="M350" s="12"/>
      <c r="N350" s="12"/>
      <c r="O350" s="12">
        <f t="shared" si="63"/>
        <v>0</v>
      </c>
      <c r="P350" s="12"/>
      <c r="Q350" s="12"/>
      <c r="R350" s="12">
        <f t="shared" si="64"/>
        <v>0</v>
      </c>
      <c r="S350" s="12"/>
      <c r="T350" s="12"/>
      <c r="U350" s="12">
        <f t="shared" si="65"/>
        <v>1255600</v>
      </c>
      <c r="V350" s="12">
        <v>1255600</v>
      </c>
      <c r="W350" s="12"/>
      <c r="X350" s="12">
        <f t="shared" si="66"/>
        <v>0</v>
      </c>
      <c r="Y350" s="12"/>
      <c r="Z350" s="12"/>
      <c r="AA350" s="13">
        <f t="shared" si="46"/>
        <v>0</v>
      </c>
      <c r="AB350" s="14">
        <v>46064</v>
      </c>
    </row>
    <row r="351" spans="1:28" ht="15.75" hidden="1" x14ac:dyDescent="0.25">
      <c r="A351" s="65">
        <v>46057</v>
      </c>
      <c r="B351" s="10" t="s">
        <v>455</v>
      </c>
      <c r="C351" s="10"/>
      <c r="D351" s="10" t="s">
        <v>28</v>
      </c>
      <c r="E351" s="10" t="s">
        <v>116</v>
      </c>
      <c r="F351" s="10">
        <v>4</v>
      </c>
      <c r="G351" s="10" t="s">
        <v>67</v>
      </c>
      <c r="H351" s="10">
        <v>65000</v>
      </c>
      <c r="I351" s="10">
        <f t="shared" si="45"/>
        <v>260000</v>
      </c>
      <c r="J351" s="29" t="s">
        <v>113</v>
      </c>
      <c r="K351" s="10"/>
      <c r="L351" s="12">
        <f t="shared" si="62"/>
        <v>260000</v>
      </c>
      <c r="M351" s="12">
        <v>260000</v>
      </c>
      <c r="N351" s="12"/>
      <c r="O351" s="12">
        <f t="shared" si="63"/>
        <v>0</v>
      </c>
      <c r="P351" s="12"/>
      <c r="Q351" s="12"/>
      <c r="R351" s="12">
        <f t="shared" si="64"/>
        <v>0</v>
      </c>
      <c r="S351" s="12"/>
      <c r="T351" s="12"/>
      <c r="U351" s="12">
        <f t="shared" si="65"/>
        <v>0</v>
      </c>
      <c r="V351" s="12"/>
      <c r="W351" s="12"/>
      <c r="X351" s="12">
        <f t="shared" si="66"/>
        <v>0</v>
      </c>
      <c r="Y351" s="12"/>
      <c r="Z351" s="12"/>
      <c r="AA351" s="13">
        <f t="shared" si="46"/>
        <v>0</v>
      </c>
      <c r="AB351" s="14">
        <v>46057</v>
      </c>
    </row>
    <row r="352" spans="1:28" ht="15.75" hidden="1" x14ac:dyDescent="0.25">
      <c r="A352" s="65">
        <v>46057</v>
      </c>
      <c r="B352" s="10" t="s">
        <v>456</v>
      </c>
      <c r="C352" s="10"/>
      <c r="D352" s="10" t="s">
        <v>28</v>
      </c>
      <c r="E352" s="10" t="s">
        <v>371</v>
      </c>
      <c r="F352" s="10">
        <v>100</v>
      </c>
      <c r="G352" s="10" t="s">
        <v>67</v>
      </c>
      <c r="H352" s="10">
        <v>48000</v>
      </c>
      <c r="I352" s="10">
        <f t="shared" si="45"/>
        <v>4800000</v>
      </c>
      <c r="J352" s="29" t="s">
        <v>110</v>
      </c>
      <c r="K352" s="10"/>
      <c r="L352" s="12">
        <f t="shared" si="62"/>
        <v>0</v>
      </c>
      <c r="M352" s="12"/>
      <c r="N352" s="12"/>
      <c r="O352" s="12">
        <f t="shared" si="63"/>
        <v>4800000</v>
      </c>
      <c r="P352" s="12">
        <v>4800000</v>
      </c>
      <c r="Q352" s="12"/>
      <c r="R352" s="12">
        <f t="shared" si="64"/>
        <v>0</v>
      </c>
      <c r="S352" s="12"/>
      <c r="T352" s="12"/>
      <c r="U352" s="12">
        <f t="shared" si="65"/>
        <v>0</v>
      </c>
      <c r="V352" s="12"/>
      <c r="W352" s="12"/>
      <c r="X352" s="12">
        <f t="shared" si="66"/>
        <v>0</v>
      </c>
      <c r="Y352" s="12"/>
      <c r="Z352" s="12"/>
      <c r="AA352" s="13">
        <f t="shared" si="46"/>
        <v>0</v>
      </c>
      <c r="AB352" s="14">
        <v>46056</v>
      </c>
    </row>
    <row r="353" spans="1:28" ht="15.75" x14ac:dyDescent="0.25">
      <c r="A353" s="65">
        <v>46057</v>
      </c>
      <c r="B353" s="10" t="s">
        <v>272</v>
      </c>
      <c r="C353" s="10"/>
      <c r="D353" s="10"/>
      <c r="E353" s="10" t="s">
        <v>80</v>
      </c>
      <c r="F353" s="10">
        <v>45</v>
      </c>
      <c r="G353" s="10" t="s">
        <v>36</v>
      </c>
      <c r="H353" s="10">
        <v>43000</v>
      </c>
      <c r="I353" s="10">
        <f t="shared" si="45"/>
        <v>1935000</v>
      </c>
      <c r="J353" s="86" t="s">
        <v>30</v>
      </c>
      <c r="K353" s="10"/>
      <c r="L353" s="12">
        <f t="shared" si="62"/>
        <v>0</v>
      </c>
      <c r="M353" s="12"/>
      <c r="N353" s="12"/>
      <c r="O353" s="12">
        <f t="shared" si="63"/>
        <v>0</v>
      </c>
      <c r="P353" s="12"/>
      <c r="Q353" s="12"/>
      <c r="R353" s="12">
        <f t="shared" si="64"/>
        <v>0</v>
      </c>
      <c r="S353" s="12"/>
      <c r="T353" s="12"/>
      <c r="U353" s="12">
        <f t="shared" si="65"/>
        <v>0</v>
      </c>
      <c r="V353" s="12"/>
      <c r="W353" s="12"/>
      <c r="X353" s="12">
        <f t="shared" si="66"/>
        <v>0</v>
      </c>
      <c r="Y353" s="12"/>
      <c r="Z353" s="12"/>
      <c r="AA353" s="13">
        <f t="shared" si="46"/>
        <v>1935000</v>
      </c>
      <c r="AB353" s="14"/>
    </row>
    <row r="354" spans="1:28" ht="15.75" x14ac:dyDescent="0.25">
      <c r="A354" s="28">
        <v>46057</v>
      </c>
      <c r="B354" s="10" t="s">
        <v>272</v>
      </c>
      <c r="C354" s="10"/>
      <c r="D354" s="10"/>
      <c r="E354" s="10" t="s">
        <v>92</v>
      </c>
      <c r="F354" s="10">
        <v>68.599999999999994</v>
      </c>
      <c r="G354" s="10" t="s">
        <v>36</v>
      </c>
      <c r="H354" s="10">
        <v>43000</v>
      </c>
      <c r="I354" s="10">
        <f t="shared" si="45"/>
        <v>2949799.9999999995</v>
      </c>
      <c r="J354" s="86" t="s">
        <v>30</v>
      </c>
      <c r="K354" s="10"/>
      <c r="L354" s="12">
        <f t="shared" si="62"/>
        <v>0</v>
      </c>
      <c r="M354" s="12"/>
      <c r="N354" s="12"/>
      <c r="O354" s="12">
        <f t="shared" si="63"/>
        <v>0</v>
      </c>
      <c r="P354" s="12"/>
      <c r="Q354" s="12"/>
      <c r="R354" s="12">
        <f t="shared" si="64"/>
        <v>0</v>
      </c>
      <c r="S354" s="12"/>
      <c r="T354" s="12"/>
      <c r="U354" s="12">
        <f t="shared" si="65"/>
        <v>0</v>
      </c>
      <c r="V354" s="12"/>
      <c r="W354" s="12"/>
      <c r="X354" s="12">
        <f t="shared" si="66"/>
        <v>0</v>
      </c>
      <c r="Y354" s="12"/>
      <c r="Z354" s="12"/>
      <c r="AA354" s="13">
        <f t="shared" si="46"/>
        <v>2949799.9999999995</v>
      </c>
      <c r="AB354" s="14"/>
    </row>
    <row r="355" spans="1:28" ht="16.5" thickBot="1" x14ac:dyDescent="0.3">
      <c r="A355" s="53">
        <v>46057</v>
      </c>
      <c r="B355" s="31" t="s">
        <v>272</v>
      </c>
      <c r="C355" s="31"/>
      <c r="D355" s="31"/>
      <c r="E355" s="31" t="s">
        <v>168</v>
      </c>
      <c r="F355" s="31">
        <v>157.6</v>
      </c>
      <c r="G355" s="31" t="s">
        <v>36</v>
      </c>
      <c r="H355" s="31">
        <v>43000</v>
      </c>
      <c r="I355" s="31">
        <f t="shared" si="45"/>
        <v>6776800</v>
      </c>
      <c r="J355" s="116" t="s">
        <v>90</v>
      </c>
      <c r="K355" s="31"/>
      <c r="L355" s="34">
        <f t="shared" si="62"/>
        <v>0</v>
      </c>
      <c r="M355" s="34"/>
      <c r="N355" s="34"/>
      <c r="O355" s="34">
        <f t="shared" si="63"/>
        <v>0</v>
      </c>
      <c r="P355" s="34"/>
      <c r="Q355" s="34"/>
      <c r="R355" s="34">
        <f t="shared" si="64"/>
        <v>0</v>
      </c>
      <c r="S355" s="34"/>
      <c r="T355" s="34"/>
      <c r="U355" s="34">
        <f t="shared" si="65"/>
        <v>0</v>
      </c>
      <c r="V355" s="34"/>
      <c r="W355" s="34"/>
      <c r="X355" s="34">
        <f t="shared" si="66"/>
        <v>0</v>
      </c>
      <c r="Y355" s="34"/>
      <c r="Z355" s="34"/>
      <c r="AA355" s="35">
        <f t="shared" si="46"/>
        <v>6776800</v>
      </c>
      <c r="AB355" s="36"/>
    </row>
    <row r="356" spans="1:28" ht="15.75" hidden="1" x14ac:dyDescent="0.25">
      <c r="A356" s="65">
        <v>46058</v>
      </c>
      <c r="B356" s="66" t="s">
        <v>50</v>
      </c>
      <c r="C356" s="66"/>
      <c r="D356" s="66" t="s">
        <v>195</v>
      </c>
      <c r="E356" s="66" t="s">
        <v>66</v>
      </c>
      <c r="F356" s="66">
        <v>80</v>
      </c>
      <c r="G356" s="66" t="s">
        <v>67</v>
      </c>
      <c r="H356" s="66">
        <v>50000</v>
      </c>
      <c r="I356" s="10">
        <f t="shared" si="45"/>
        <v>4000000</v>
      </c>
      <c r="J356" s="29" t="s">
        <v>110</v>
      </c>
      <c r="K356" s="10"/>
      <c r="L356" s="12">
        <f t="shared" si="62"/>
        <v>0</v>
      </c>
      <c r="M356" s="12"/>
      <c r="N356" s="12"/>
      <c r="O356" s="12">
        <f t="shared" si="63"/>
        <v>4000000</v>
      </c>
      <c r="P356" s="12">
        <v>4000000</v>
      </c>
      <c r="Q356" s="12"/>
      <c r="R356" s="12">
        <f t="shared" si="64"/>
        <v>0</v>
      </c>
      <c r="S356" s="12"/>
      <c r="T356" s="12"/>
      <c r="U356" s="12">
        <f t="shared" si="65"/>
        <v>0</v>
      </c>
      <c r="V356" s="12"/>
      <c r="W356" s="12"/>
      <c r="X356" s="12">
        <f t="shared" si="66"/>
        <v>0</v>
      </c>
      <c r="Y356" s="12"/>
      <c r="Z356" s="12"/>
      <c r="AA356" s="13">
        <f t="shared" si="46"/>
        <v>0</v>
      </c>
      <c r="AB356" s="14">
        <v>46057</v>
      </c>
    </row>
    <row r="357" spans="1:28" ht="15.75" hidden="1" x14ac:dyDescent="0.25">
      <c r="A357" s="65">
        <v>46058</v>
      </c>
      <c r="B357" s="10" t="s">
        <v>223</v>
      </c>
      <c r="C357" s="10"/>
      <c r="D357" s="10" t="s">
        <v>383</v>
      </c>
      <c r="E357" s="10" t="s">
        <v>104</v>
      </c>
      <c r="F357" s="10">
        <v>6400</v>
      </c>
      <c r="G357" s="10" t="s">
        <v>26</v>
      </c>
      <c r="H357" s="10">
        <v>1750</v>
      </c>
      <c r="I357" s="10">
        <f t="shared" si="45"/>
        <v>11200000</v>
      </c>
      <c r="J357" s="29" t="s">
        <v>110</v>
      </c>
      <c r="K357" s="10"/>
      <c r="L357" s="12">
        <f t="shared" ref="L357:L367" si="67">M357+N357</f>
        <v>0</v>
      </c>
      <c r="M357" s="12"/>
      <c r="N357" s="12"/>
      <c r="O357" s="12">
        <f t="shared" ref="O357:O367" si="68">P357+Q357</f>
        <v>11200000</v>
      </c>
      <c r="P357" s="12">
        <v>11200000</v>
      </c>
      <c r="Q357" s="12"/>
      <c r="R357" s="12">
        <f t="shared" ref="R357:R367" si="69">S357+T357</f>
        <v>0</v>
      </c>
      <c r="S357" s="12"/>
      <c r="T357" s="12"/>
      <c r="U357" s="12">
        <f t="shared" ref="U357:U367" si="70">V357+W357</f>
        <v>0</v>
      </c>
      <c r="V357" s="12"/>
      <c r="W357" s="12"/>
      <c r="X357" s="12">
        <f t="shared" ref="X357:X367" si="71">Y357+Z357</f>
        <v>0</v>
      </c>
      <c r="Y357" s="12"/>
      <c r="Z357" s="12"/>
      <c r="AA357" s="13">
        <f t="shared" si="46"/>
        <v>0</v>
      </c>
      <c r="AB357" s="14">
        <v>46058</v>
      </c>
    </row>
    <row r="358" spans="1:28" ht="15.75" hidden="1" x14ac:dyDescent="0.25">
      <c r="A358" s="65">
        <v>46058</v>
      </c>
      <c r="B358" s="10" t="s">
        <v>223</v>
      </c>
      <c r="C358" s="10"/>
      <c r="D358" s="10" t="s">
        <v>383</v>
      </c>
      <c r="E358" s="10" t="s">
        <v>116</v>
      </c>
      <c r="F358" s="10">
        <v>8</v>
      </c>
      <c r="G358" s="10" t="s">
        <v>67</v>
      </c>
      <c r="H358" s="10">
        <v>65000</v>
      </c>
      <c r="I358" s="10">
        <f t="shared" si="45"/>
        <v>520000</v>
      </c>
      <c r="J358" s="29" t="s">
        <v>110</v>
      </c>
      <c r="K358" s="10"/>
      <c r="L358" s="12">
        <f t="shared" si="67"/>
        <v>0</v>
      </c>
      <c r="M358" s="12"/>
      <c r="N358" s="12"/>
      <c r="O358" s="12">
        <f t="shared" si="68"/>
        <v>520000</v>
      </c>
      <c r="P358" s="12">
        <v>520000</v>
      </c>
      <c r="Q358" s="12"/>
      <c r="R358" s="12">
        <f t="shared" si="69"/>
        <v>0</v>
      </c>
      <c r="S358" s="12"/>
      <c r="T358" s="12"/>
      <c r="U358" s="12">
        <f t="shared" si="70"/>
        <v>0</v>
      </c>
      <c r="V358" s="12"/>
      <c r="W358" s="12"/>
      <c r="X358" s="12">
        <f t="shared" si="71"/>
        <v>0</v>
      </c>
      <c r="Y358" s="12"/>
      <c r="Z358" s="12"/>
      <c r="AA358" s="13">
        <f t="shared" si="46"/>
        <v>0</v>
      </c>
      <c r="AB358" s="14">
        <v>46058</v>
      </c>
    </row>
    <row r="359" spans="1:28" ht="15.75" hidden="1" x14ac:dyDescent="0.25">
      <c r="A359" s="65">
        <v>46058</v>
      </c>
      <c r="B359" s="10" t="s">
        <v>223</v>
      </c>
      <c r="C359" s="10"/>
      <c r="D359" s="10" t="s">
        <v>383</v>
      </c>
      <c r="E359" s="10" t="s">
        <v>114</v>
      </c>
      <c r="F359" s="10">
        <v>10</v>
      </c>
      <c r="G359" s="10" t="s">
        <v>67</v>
      </c>
      <c r="H359" s="10">
        <v>50000</v>
      </c>
      <c r="I359" s="10">
        <f t="shared" si="45"/>
        <v>500000</v>
      </c>
      <c r="J359" s="29" t="s">
        <v>110</v>
      </c>
      <c r="K359" s="10"/>
      <c r="L359" s="12">
        <f t="shared" si="67"/>
        <v>0</v>
      </c>
      <c r="M359" s="12"/>
      <c r="N359" s="12"/>
      <c r="O359" s="12">
        <f t="shared" si="68"/>
        <v>500000</v>
      </c>
      <c r="P359" s="12">
        <v>500000</v>
      </c>
      <c r="Q359" s="12"/>
      <c r="R359" s="12">
        <f t="shared" si="69"/>
        <v>0</v>
      </c>
      <c r="S359" s="12"/>
      <c r="T359" s="12"/>
      <c r="U359" s="12">
        <f t="shared" si="70"/>
        <v>0</v>
      </c>
      <c r="V359" s="12"/>
      <c r="W359" s="12"/>
      <c r="X359" s="12">
        <f t="shared" si="71"/>
        <v>0</v>
      </c>
      <c r="Y359" s="12"/>
      <c r="Z359" s="12"/>
      <c r="AA359" s="13">
        <f t="shared" si="46"/>
        <v>0</v>
      </c>
      <c r="AB359" s="14">
        <v>46058</v>
      </c>
    </row>
    <row r="360" spans="1:28" ht="15.75" hidden="1" x14ac:dyDescent="0.25">
      <c r="A360" s="65">
        <v>46058</v>
      </c>
      <c r="B360" s="10" t="s">
        <v>223</v>
      </c>
      <c r="C360" s="10"/>
      <c r="D360" s="10" t="s">
        <v>383</v>
      </c>
      <c r="E360" s="10" t="s">
        <v>160</v>
      </c>
      <c r="F360" s="10">
        <v>1</v>
      </c>
      <c r="G360" s="10" t="s">
        <v>22</v>
      </c>
      <c r="H360" s="10">
        <v>400000</v>
      </c>
      <c r="I360" s="10">
        <f t="shared" si="45"/>
        <v>400000</v>
      </c>
      <c r="J360" s="29" t="s">
        <v>110</v>
      </c>
      <c r="K360" s="10"/>
      <c r="L360" s="12">
        <f t="shared" si="67"/>
        <v>0</v>
      </c>
      <c r="M360" s="12"/>
      <c r="N360" s="12"/>
      <c r="O360" s="12">
        <f t="shared" si="68"/>
        <v>400000</v>
      </c>
      <c r="P360" s="12">
        <v>400000</v>
      </c>
      <c r="Q360" s="12"/>
      <c r="R360" s="12">
        <f t="shared" si="69"/>
        <v>0</v>
      </c>
      <c r="S360" s="12"/>
      <c r="T360" s="12"/>
      <c r="U360" s="12">
        <f t="shared" si="70"/>
        <v>0</v>
      </c>
      <c r="V360" s="12"/>
      <c r="W360" s="12"/>
      <c r="X360" s="12">
        <f t="shared" si="71"/>
        <v>0</v>
      </c>
      <c r="Y360" s="12"/>
      <c r="Z360" s="12"/>
      <c r="AA360" s="13">
        <f t="shared" si="46"/>
        <v>0</v>
      </c>
      <c r="AB360" s="14">
        <v>46058</v>
      </c>
    </row>
    <row r="361" spans="1:28" ht="15.75" hidden="1" x14ac:dyDescent="0.25">
      <c r="A361" s="65">
        <v>46058</v>
      </c>
      <c r="B361" s="10" t="s">
        <v>223</v>
      </c>
      <c r="C361" s="10"/>
      <c r="D361" s="10" t="s">
        <v>383</v>
      </c>
      <c r="E361" s="10" t="s">
        <v>244</v>
      </c>
      <c r="F361" s="10">
        <v>2</v>
      </c>
      <c r="G361" s="10" t="s">
        <v>22</v>
      </c>
      <c r="H361" s="10">
        <v>400000</v>
      </c>
      <c r="I361" s="10">
        <f t="shared" si="45"/>
        <v>800000</v>
      </c>
      <c r="J361" s="29" t="s">
        <v>110</v>
      </c>
      <c r="K361" s="10"/>
      <c r="L361" s="12">
        <f t="shared" si="67"/>
        <v>0</v>
      </c>
      <c r="M361" s="12"/>
      <c r="N361" s="12"/>
      <c r="O361" s="12">
        <f t="shared" si="68"/>
        <v>800000</v>
      </c>
      <c r="P361" s="12">
        <v>800000</v>
      </c>
      <c r="Q361" s="12"/>
      <c r="R361" s="12">
        <f t="shared" si="69"/>
        <v>0</v>
      </c>
      <c r="S361" s="12"/>
      <c r="T361" s="12"/>
      <c r="U361" s="12">
        <f t="shared" si="70"/>
        <v>0</v>
      </c>
      <c r="V361" s="12"/>
      <c r="W361" s="12"/>
      <c r="X361" s="12">
        <f t="shared" si="71"/>
        <v>0</v>
      </c>
      <c r="Y361" s="12"/>
      <c r="Z361" s="12"/>
      <c r="AA361" s="13">
        <f t="shared" si="46"/>
        <v>0</v>
      </c>
      <c r="AB361" s="14">
        <v>46058</v>
      </c>
    </row>
    <row r="362" spans="1:28" ht="15.75" hidden="1" x14ac:dyDescent="0.25">
      <c r="A362" s="65">
        <v>46058</v>
      </c>
      <c r="B362" s="10" t="s">
        <v>223</v>
      </c>
      <c r="C362" s="10"/>
      <c r="D362" s="10" t="s">
        <v>383</v>
      </c>
      <c r="E362" s="10" t="s">
        <v>458</v>
      </c>
      <c r="F362" s="10">
        <v>750</v>
      </c>
      <c r="G362" s="10" t="s">
        <v>26</v>
      </c>
      <c r="H362" s="10">
        <v>1790</v>
      </c>
      <c r="I362" s="10">
        <f t="shared" si="45"/>
        <v>1342500</v>
      </c>
      <c r="J362" s="29" t="s">
        <v>113</v>
      </c>
      <c r="K362" s="10"/>
      <c r="L362" s="12">
        <f t="shared" si="67"/>
        <v>1342500</v>
      </c>
      <c r="M362" s="12">
        <v>1342500</v>
      </c>
      <c r="N362" s="12"/>
      <c r="O362" s="12">
        <f t="shared" si="68"/>
        <v>0</v>
      </c>
      <c r="P362" s="12"/>
      <c r="Q362" s="12"/>
      <c r="R362" s="12">
        <f t="shared" si="69"/>
        <v>0</v>
      </c>
      <c r="S362" s="12"/>
      <c r="T362" s="12"/>
      <c r="U362" s="12">
        <f t="shared" si="70"/>
        <v>0</v>
      </c>
      <c r="V362" s="12"/>
      <c r="W362" s="12"/>
      <c r="X362" s="12">
        <f t="shared" si="71"/>
        <v>0</v>
      </c>
      <c r="Y362" s="12"/>
      <c r="Z362" s="12"/>
      <c r="AA362" s="13">
        <f t="shared" si="46"/>
        <v>0</v>
      </c>
      <c r="AB362" s="14">
        <v>46058</v>
      </c>
    </row>
    <row r="363" spans="1:28" ht="15.75" hidden="1" x14ac:dyDescent="0.25">
      <c r="A363" s="65">
        <v>46058</v>
      </c>
      <c r="B363" s="10" t="s">
        <v>281</v>
      </c>
      <c r="C363" s="10"/>
      <c r="D363" s="10" t="s">
        <v>383</v>
      </c>
      <c r="E363" s="10" t="s">
        <v>186</v>
      </c>
      <c r="F363" s="85">
        <v>4</v>
      </c>
      <c r="G363" s="10" t="s">
        <v>22</v>
      </c>
      <c r="H363" s="10">
        <v>1200000</v>
      </c>
      <c r="I363" s="10">
        <f t="shared" si="45"/>
        <v>4800000</v>
      </c>
      <c r="J363" s="29" t="s">
        <v>110</v>
      </c>
      <c r="K363" s="10"/>
      <c r="L363" s="12">
        <f t="shared" si="67"/>
        <v>0</v>
      </c>
      <c r="M363" s="12"/>
      <c r="N363" s="12"/>
      <c r="O363" s="12">
        <f t="shared" si="68"/>
        <v>4800000</v>
      </c>
      <c r="P363" s="12">
        <v>4800000</v>
      </c>
      <c r="Q363" s="12"/>
      <c r="R363" s="12">
        <f t="shared" si="69"/>
        <v>0</v>
      </c>
      <c r="S363" s="12"/>
      <c r="T363" s="12"/>
      <c r="U363" s="12">
        <f t="shared" si="70"/>
        <v>0</v>
      </c>
      <c r="V363" s="12"/>
      <c r="W363" s="12"/>
      <c r="X363" s="12">
        <f t="shared" si="71"/>
        <v>0</v>
      </c>
      <c r="Y363" s="12"/>
      <c r="Z363" s="12"/>
      <c r="AA363" s="13">
        <f t="shared" si="46"/>
        <v>0</v>
      </c>
      <c r="AB363" s="14">
        <v>46058</v>
      </c>
    </row>
    <row r="364" spans="1:28" ht="15.75" hidden="1" x14ac:dyDescent="0.25">
      <c r="A364" s="65">
        <v>46058</v>
      </c>
      <c r="B364" s="10" t="s">
        <v>74</v>
      </c>
      <c r="C364" s="10"/>
      <c r="D364" s="10" t="s">
        <v>383</v>
      </c>
      <c r="E364" s="10" t="s">
        <v>88</v>
      </c>
      <c r="F364" s="10">
        <v>25</v>
      </c>
      <c r="G364" s="10" t="s">
        <v>36</v>
      </c>
      <c r="H364" s="10">
        <v>95400</v>
      </c>
      <c r="I364" s="10">
        <f t="shared" si="45"/>
        <v>2385000</v>
      </c>
      <c r="J364" s="52" t="s">
        <v>30</v>
      </c>
      <c r="K364" s="10"/>
      <c r="L364" s="12">
        <f t="shared" si="67"/>
        <v>0</v>
      </c>
      <c r="M364" s="12"/>
      <c r="N364" s="12"/>
      <c r="O364" s="12">
        <f t="shared" si="68"/>
        <v>0</v>
      </c>
      <c r="P364" s="12"/>
      <c r="Q364" s="12"/>
      <c r="R364" s="12">
        <f t="shared" si="69"/>
        <v>0</v>
      </c>
      <c r="S364" s="12"/>
      <c r="T364" s="12"/>
      <c r="U364" s="12">
        <f t="shared" si="70"/>
        <v>0</v>
      </c>
      <c r="V364" s="12"/>
      <c r="W364" s="12"/>
      <c r="X364" s="12">
        <f t="shared" si="71"/>
        <v>0</v>
      </c>
      <c r="Y364" s="12"/>
      <c r="Z364" s="12"/>
      <c r="AA364" s="13">
        <f t="shared" si="46"/>
        <v>2385000</v>
      </c>
      <c r="AB364" s="14"/>
    </row>
    <row r="365" spans="1:28" ht="15.75" hidden="1" x14ac:dyDescent="0.25">
      <c r="A365" s="65">
        <v>46058</v>
      </c>
      <c r="B365" s="10" t="s">
        <v>303</v>
      </c>
      <c r="C365" s="10"/>
      <c r="D365" s="10" t="s">
        <v>383</v>
      </c>
      <c r="E365" s="10" t="s">
        <v>344</v>
      </c>
      <c r="F365" s="10">
        <v>14.2</v>
      </c>
      <c r="G365" s="10" t="s">
        <v>36</v>
      </c>
      <c r="H365" s="10">
        <v>43000</v>
      </c>
      <c r="I365" s="10">
        <f t="shared" si="45"/>
        <v>610600</v>
      </c>
      <c r="J365" s="29" t="s">
        <v>110</v>
      </c>
      <c r="K365" s="10"/>
      <c r="L365" s="12">
        <f t="shared" si="67"/>
        <v>0</v>
      </c>
      <c r="M365" s="12"/>
      <c r="N365" s="12"/>
      <c r="O365" s="12">
        <f t="shared" si="68"/>
        <v>610600</v>
      </c>
      <c r="P365" s="12">
        <v>610600</v>
      </c>
      <c r="Q365" s="12"/>
      <c r="R365" s="12">
        <f t="shared" si="69"/>
        <v>0</v>
      </c>
      <c r="S365" s="12"/>
      <c r="T365" s="12"/>
      <c r="U365" s="12">
        <f t="shared" si="70"/>
        <v>0</v>
      </c>
      <c r="V365" s="12"/>
      <c r="W365" s="12"/>
      <c r="X365" s="12">
        <f t="shared" si="71"/>
        <v>0</v>
      </c>
      <c r="Y365" s="12"/>
      <c r="Z365" s="12"/>
      <c r="AA365" s="13">
        <f t="shared" si="46"/>
        <v>0</v>
      </c>
      <c r="AB365" s="14">
        <v>46058</v>
      </c>
    </row>
    <row r="366" spans="1:28" ht="15.75" hidden="1" x14ac:dyDescent="0.25">
      <c r="A366" s="28">
        <v>46058</v>
      </c>
      <c r="B366" s="10" t="s">
        <v>303</v>
      </c>
      <c r="C366" s="10"/>
      <c r="D366" s="10" t="s">
        <v>383</v>
      </c>
      <c r="E366" s="10" t="s">
        <v>129</v>
      </c>
      <c r="F366" s="10">
        <v>1200</v>
      </c>
      <c r="G366" s="10" t="s">
        <v>26</v>
      </c>
      <c r="H366" s="10">
        <v>3800</v>
      </c>
      <c r="I366" s="10">
        <f t="shared" si="45"/>
        <v>4560000</v>
      </c>
      <c r="J366" s="29" t="s">
        <v>110</v>
      </c>
      <c r="K366" s="10"/>
      <c r="L366" s="12">
        <f t="shared" si="67"/>
        <v>0</v>
      </c>
      <c r="M366" s="12"/>
      <c r="N366" s="12"/>
      <c r="O366" s="12">
        <f t="shared" si="68"/>
        <v>4560000</v>
      </c>
      <c r="P366" s="12">
        <v>4560000</v>
      </c>
      <c r="Q366" s="12"/>
      <c r="R366" s="12">
        <f t="shared" si="69"/>
        <v>0</v>
      </c>
      <c r="S366" s="12"/>
      <c r="T366" s="12"/>
      <c r="U366" s="12">
        <f t="shared" si="70"/>
        <v>0</v>
      </c>
      <c r="V366" s="12"/>
      <c r="W366" s="12"/>
      <c r="X366" s="12">
        <f t="shared" si="71"/>
        <v>0</v>
      </c>
      <c r="Y366" s="12"/>
      <c r="Z366" s="12"/>
      <c r="AA366" s="13">
        <f t="shared" si="46"/>
        <v>0</v>
      </c>
      <c r="AB366" s="14">
        <v>46059</v>
      </c>
    </row>
    <row r="367" spans="1:28" ht="15.75" hidden="1" x14ac:dyDescent="0.25">
      <c r="A367" s="65">
        <v>46058</v>
      </c>
      <c r="B367" s="10" t="s">
        <v>303</v>
      </c>
      <c r="C367" s="10"/>
      <c r="D367" s="10" t="s">
        <v>383</v>
      </c>
      <c r="E367" s="10" t="s">
        <v>65</v>
      </c>
      <c r="F367" s="10">
        <v>3300</v>
      </c>
      <c r="G367" s="10" t="s">
        <v>26</v>
      </c>
      <c r="H367" s="10">
        <v>3800</v>
      </c>
      <c r="I367" s="10">
        <f t="shared" si="45"/>
        <v>12540000</v>
      </c>
      <c r="J367" s="29" t="s">
        <v>110</v>
      </c>
      <c r="K367" s="10" t="s">
        <v>558</v>
      </c>
      <c r="L367" s="12">
        <f t="shared" si="67"/>
        <v>0</v>
      </c>
      <c r="M367" s="12"/>
      <c r="N367" s="12"/>
      <c r="O367" s="12">
        <f t="shared" si="68"/>
        <v>12540000</v>
      </c>
      <c r="P367" s="12">
        <v>570000</v>
      </c>
      <c r="Q367" s="12">
        <v>11970000</v>
      </c>
      <c r="R367" s="12">
        <f t="shared" si="69"/>
        <v>0</v>
      </c>
      <c r="S367" s="12"/>
      <c r="T367" s="12"/>
      <c r="U367" s="12">
        <f t="shared" si="70"/>
        <v>0</v>
      </c>
      <c r="V367" s="12"/>
      <c r="W367" s="12"/>
      <c r="X367" s="12">
        <f t="shared" si="71"/>
        <v>0</v>
      </c>
      <c r="Y367" s="12"/>
      <c r="Z367" s="12"/>
      <c r="AA367" s="13">
        <f t="shared" si="46"/>
        <v>0</v>
      </c>
      <c r="AB367" s="14">
        <v>46059</v>
      </c>
    </row>
    <row r="368" spans="1:28" ht="15.75" x14ac:dyDescent="0.25">
      <c r="A368" s="65">
        <v>46058</v>
      </c>
      <c r="B368" s="10" t="s">
        <v>272</v>
      </c>
      <c r="C368" s="10"/>
      <c r="D368" s="10"/>
      <c r="E368" s="10" t="s">
        <v>46</v>
      </c>
      <c r="F368" s="10">
        <v>52.2</v>
      </c>
      <c r="G368" s="10" t="s">
        <v>36</v>
      </c>
      <c r="H368" s="10">
        <v>90000</v>
      </c>
      <c r="I368" s="10">
        <f t="shared" si="45"/>
        <v>4698000</v>
      </c>
      <c r="J368" s="86" t="s">
        <v>30</v>
      </c>
      <c r="K368" s="10"/>
      <c r="L368" s="12">
        <f t="shared" ref="L368:L370" si="72">M368+N368</f>
        <v>0</v>
      </c>
      <c r="M368" s="12"/>
      <c r="N368" s="12"/>
      <c r="O368" s="12">
        <f t="shared" ref="O368:O370" si="73">P368+Q368</f>
        <v>0</v>
      </c>
      <c r="P368" s="12"/>
      <c r="Q368" s="12"/>
      <c r="R368" s="12">
        <f t="shared" ref="R368:R370" si="74">S368+T368</f>
        <v>0</v>
      </c>
      <c r="S368" s="12"/>
      <c r="T368" s="12"/>
      <c r="U368" s="12">
        <f t="shared" ref="U368:U370" si="75">V368+W368</f>
        <v>0</v>
      </c>
      <c r="V368" s="12"/>
      <c r="W368" s="12"/>
      <c r="X368" s="12">
        <f t="shared" ref="X368:X370" si="76">Y368+Z368</f>
        <v>0</v>
      </c>
      <c r="Y368" s="12"/>
      <c r="Z368" s="12"/>
      <c r="AA368" s="13">
        <f t="shared" si="46"/>
        <v>4698000</v>
      </c>
      <c r="AB368" s="14"/>
    </row>
    <row r="369" spans="1:28" ht="15.75" x14ac:dyDescent="0.25">
      <c r="A369" s="65">
        <v>46058</v>
      </c>
      <c r="B369" s="10" t="s">
        <v>272</v>
      </c>
      <c r="C369" s="10"/>
      <c r="D369" s="10"/>
      <c r="E369" s="10" t="s">
        <v>168</v>
      </c>
      <c r="F369" s="10">
        <v>31.6</v>
      </c>
      <c r="G369" s="10" t="s">
        <v>36</v>
      </c>
      <c r="H369" s="10">
        <v>43000</v>
      </c>
      <c r="I369" s="10">
        <f t="shared" si="45"/>
        <v>1358800</v>
      </c>
      <c r="J369" s="115" t="s">
        <v>90</v>
      </c>
      <c r="K369" s="10"/>
      <c r="L369" s="12">
        <f t="shared" si="72"/>
        <v>0</v>
      </c>
      <c r="M369" s="12"/>
      <c r="N369" s="12"/>
      <c r="O369" s="12">
        <f t="shared" si="73"/>
        <v>0</v>
      </c>
      <c r="P369" s="12"/>
      <c r="Q369" s="12"/>
      <c r="R369" s="12">
        <f t="shared" si="74"/>
        <v>0</v>
      </c>
      <c r="S369" s="12"/>
      <c r="T369" s="12"/>
      <c r="U369" s="12">
        <f t="shared" si="75"/>
        <v>0</v>
      </c>
      <c r="V369" s="12"/>
      <c r="W369" s="12"/>
      <c r="X369" s="12">
        <f t="shared" si="76"/>
        <v>0</v>
      </c>
      <c r="Y369" s="12"/>
      <c r="Z369" s="12"/>
      <c r="AA369" s="13">
        <f t="shared" si="46"/>
        <v>1358800</v>
      </c>
      <c r="AB369" s="14"/>
    </row>
    <row r="370" spans="1:28" ht="16.5" thickBot="1" x14ac:dyDescent="0.3">
      <c r="A370" s="53">
        <v>46058</v>
      </c>
      <c r="B370" s="31" t="s">
        <v>272</v>
      </c>
      <c r="C370" s="31"/>
      <c r="D370" s="31"/>
      <c r="E370" s="31" t="s">
        <v>265</v>
      </c>
      <c r="F370" s="31">
        <v>22.1</v>
      </c>
      <c r="G370" s="31" t="s">
        <v>36</v>
      </c>
      <c r="H370" s="31">
        <v>43000</v>
      </c>
      <c r="I370" s="31">
        <f t="shared" si="45"/>
        <v>950300.00000000012</v>
      </c>
      <c r="J370" s="116" t="s">
        <v>90</v>
      </c>
      <c r="K370" s="31"/>
      <c r="L370" s="34">
        <f t="shared" si="72"/>
        <v>0</v>
      </c>
      <c r="M370" s="34"/>
      <c r="N370" s="34"/>
      <c r="O370" s="34">
        <f t="shared" si="73"/>
        <v>0</v>
      </c>
      <c r="P370" s="34"/>
      <c r="Q370" s="34"/>
      <c r="R370" s="34">
        <f t="shared" si="74"/>
        <v>0</v>
      </c>
      <c r="S370" s="34"/>
      <c r="T370" s="34"/>
      <c r="U370" s="34">
        <f t="shared" si="75"/>
        <v>0</v>
      </c>
      <c r="V370" s="34"/>
      <c r="W370" s="34"/>
      <c r="X370" s="34">
        <f t="shared" si="76"/>
        <v>0</v>
      </c>
      <c r="Y370" s="34"/>
      <c r="Z370" s="34"/>
      <c r="AA370" s="35">
        <f t="shared" si="46"/>
        <v>950300.00000000012</v>
      </c>
      <c r="AB370" s="36"/>
    </row>
    <row r="371" spans="1:28" ht="15.75" hidden="1" x14ac:dyDescent="0.25">
      <c r="A371" s="65">
        <v>46059</v>
      </c>
      <c r="B371" s="66" t="s">
        <v>233</v>
      </c>
      <c r="C371" s="66"/>
      <c r="D371" s="66" t="s">
        <v>195</v>
      </c>
      <c r="E371" s="66" t="s">
        <v>116</v>
      </c>
      <c r="F371" s="66">
        <v>2</v>
      </c>
      <c r="G371" s="66" t="s">
        <v>67</v>
      </c>
      <c r="H371" s="66">
        <v>65000</v>
      </c>
      <c r="I371" s="66">
        <f t="shared" si="45"/>
        <v>130000</v>
      </c>
      <c r="J371" s="29" t="s">
        <v>113</v>
      </c>
      <c r="K371" s="10"/>
      <c r="L371" s="12">
        <f t="shared" ref="L371" si="77">M371+N371</f>
        <v>0</v>
      </c>
      <c r="M371" s="12"/>
      <c r="N371" s="12"/>
      <c r="O371" s="12">
        <f t="shared" ref="O371" si="78">P371+Q371</f>
        <v>0</v>
      </c>
      <c r="P371" s="12"/>
      <c r="Q371" s="12"/>
      <c r="R371" s="12">
        <f t="shared" ref="R371" si="79">S371+T371</f>
        <v>0</v>
      </c>
      <c r="S371" s="12"/>
      <c r="T371" s="12"/>
      <c r="U371" s="12">
        <f t="shared" ref="U371" si="80">V371+W371</f>
        <v>130000</v>
      </c>
      <c r="V371" s="12">
        <v>130000</v>
      </c>
      <c r="W371" s="12"/>
      <c r="X371" s="12">
        <f t="shared" ref="X371" si="81">Y371+Z371</f>
        <v>0</v>
      </c>
      <c r="Y371" s="12"/>
      <c r="Z371" s="12"/>
      <c r="AA371" s="13">
        <f t="shared" si="46"/>
        <v>0</v>
      </c>
      <c r="AB371" s="14">
        <v>46059</v>
      </c>
    </row>
    <row r="372" spans="1:28" ht="15.75" hidden="1" x14ac:dyDescent="0.25">
      <c r="A372" s="65">
        <v>46059</v>
      </c>
      <c r="B372" s="10" t="s">
        <v>460</v>
      </c>
      <c r="C372" s="10"/>
      <c r="D372" s="66" t="s">
        <v>195</v>
      </c>
      <c r="E372" s="10" t="s">
        <v>107</v>
      </c>
      <c r="F372" s="10">
        <v>20</v>
      </c>
      <c r="G372" s="10" t="s">
        <v>36</v>
      </c>
      <c r="H372" s="10">
        <v>60000</v>
      </c>
      <c r="I372" s="10">
        <f t="shared" si="45"/>
        <v>1200000</v>
      </c>
      <c r="J372" s="29" t="s">
        <v>113</v>
      </c>
      <c r="K372" s="10"/>
      <c r="L372" s="12">
        <f t="shared" ref="L372:L393" si="82">M372+N372</f>
        <v>1200000</v>
      </c>
      <c r="M372" s="12">
        <v>1200000</v>
      </c>
      <c r="N372" s="12"/>
      <c r="O372" s="12">
        <f t="shared" ref="O372:O393" si="83">P372+Q372</f>
        <v>0</v>
      </c>
      <c r="P372" s="12"/>
      <c r="Q372" s="12"/>
      <c r="R372" s="12">
        <f t="shared" ref="R372:R393" si="84">S372+T372</f>
        <v>0</v>
      </c>
      <c r="S372" s="12"/>
      <c r="T372" s="12"/>
      <c r="U372" s="12">
        <f t="shared" ref="U372:U393" si="85">V372+W372</f>
        <v>0</v>
      </c>
      <c r="V372" s="12"/>
      <c r="W372" s="12"/>
      <c r="X372" s="12">
        <f t="shared" ref="X372:X393" si="86">Y372+Z372</f>
        <v>0</v>
      </c>
      <c r="Y372" s="12"/>
      <c r="Z372" s="12"/>
      <c r="AA372" s="13">
        <f t="shared" si="46"/>
        <v>0</v>
      </c>
      <c r="AB372" s="14">
        <v>46059</v>
      </c>
    </row>
    <row r="373" spans="1:28" ht="15.75" hidden="1" x14ac:dyDescent="0.25">
      <c r="A373" s="65">
        <v>46059</v>
      </c>
      <c r="B373" s="10" t="s">
        <v>245</v>
      </c>
      <c r="C373" s="10"/>
      <c r="D373" s="66" t="s">
        <v>195</v>
      </c>
      <c r="E373" s="10" t="s">
        <v>139</v>
      </c>
      <c r="F373" s="10">
        <v>39.299999999999997</v>
      </c>
      <c r="G373" s="10" t="s">
        <v>36</v>
      </c>
      <c r="H373" s="10">
        <v>43000</v>
      </c>
      <c r="I373" s="10">
        <f t="shared" si="45"/>
        <v>1689899.9999999998</v>
      </c>
      <c r="J373" s="29" t="s">
        <v>110</v>
      </c>
      <c r="K373" s="10"/>
      <c r="L373" s="12">
        <f t="shared" si="82"/>
        <v>0</v>
      </c>
      <c r="M373" s="12"/>
      <c r="N373" s="12"/>
      <c r="O373" s="12">
        <f t="shared" si="83"/>
        <v>1689900</v>
      </c>
      <c r="P373" s="12">
        <v>1689900</v>
      </c>
      <c r="Q373" s="12"/>
      <c r="R373" s="12">
        <f t="shared" si="84"/>
        <v>0</v>
      </c>
      <c r="S373" s="12"/>
      <c r="T373" s="12"/>
      <c r="U373" s="12">
        <f t="shared" si="85"/>
        <v>0</v>
      </c>
      <c r="V373" s="12"/>
      <c r="W373" s="12"/>
      <c r="X373" s="12">
        <f t="shared" si="86"/>
        <v>0</v>
      </c>
      <c r="Y373" s="12"/>
      <c r="Z373" s="12"/>
      <c r="AA373" s="13">
        <f t="shared" si="46"/>
        <v>-2.3283064365386963E-10</v>
      </c>
      <c r="AB373" s="14">
        <v>46058</v>
      </c>
    </row>
    <row r="374" spans="1:28" ht="15.75" hidden="1" x14ac:dyDescent="0.25">
      <c r="A374" s="65">
        <v>46059</v>
      </c>
      <c r="B374" s="10" t="s">
        <v>245</v>
      </c>
      <c r="C374" s="10"/>
      <c r="D374" s="66" t="s">
        <v>195</v>
      </c>
      <c r="E374" s="10" t="s">
        <v>107</v>
      </c>
      <c r="F374" s="10">
        <v>20</v>
      </c>
      <c r="G374" s="10" t="s">
        <v>36</v>
      </c>
      <c r="H374" s="10">
        <v>60000</v>
      </c>
      <c r="I374" s="10">
        <f t="shared" si="45"/>
        <v>1200000</v>
      </c>
      <c r="J374" s="29" t="s">
        <v>110</v>
      </c>
      <c r="K374" s="10"/>
      <c r="L374" s="12">
        <f t="shared" si="82"/>
        <v>0</v>
      </c>
      <c r="M374" s="12"/>
      <c r="N374" s="12"/>
      <c r="O374" s="12">
        <f t="shared" si="83"/>
        <v>1200000</v>
      </c>
      <c r="P374" s="12">
        <v>1200000</v>
      </c>
      <c r="Q374" s="12"/>
      <c r="R374" s="12">
        <f t="shared" si="84"/>
        <v>0</v>
      </c>
      <c r="S374" s="12"/>
      <c r="T374" s="12"/>
      <c r="U374" s="12">
        <f t="shared" si="85"/>
        <v>0</v>
      </c>
      <c r="V374" s="12"/>
      <c r="W374" s="12"/>
      <c r="X374" s="12">
        <f t="shared" si="86"/>
        <v>0</v>
      </c>
      <c r="Y374" s="12"/>
      <c r="Z374" s="12"/>
      <c r="AA374" s="13">
        <f t="shared" si="46"/>
        <v>0</v>
      </c>
      <c r="AB374" s="14">
        <v>46058</v>
      </c>
    </row>
    <row r="375" spans="1:28" ht="15.75" hidden="1" x14ac:dyDescent="0.25">
      <c r="A375" s="65">
        <v>46059</v>
      </c>
      <c r="B375" s="10" t="s">
        <v>255</v>
      </c>
      <c r="C375" s="10"/>
      <c r="D375" s="66" t="s">
        <v>195</v>
      </c>
      <c r="E375" s="10" t="s">
        <v>164</v>
      </c>
      <c r="F375" s="10">
        <v>32.299999999999997</v>
      </c>
      <c r="G375" s="10" t="s">
        <v>36</v>
      </c>
      <c r="H375" s="10">
        <v>43000</v>
      </c>
      <c r="I375" s="10">
        <f t="shared" si="45"/>
        <v>1388899.9999999998</v>
      </c>
      <c r="J375" s="29" t="s">
        <v>113</v>
      </c>
      <c r="K375" s="10"/>
      <c r="L375" s="12">
        <f t="shared" si="82"/>
        <v>0</v>
      </c>
      <c r="M375" s="12"/>
      <c r="N375" s="12"/>
      <c r="O375" s="12">
        <f t="shared" si="83"/>
        <v>0</v>
      </c>
      <c r="P375" s="12"/>
      <c r="Q375" s="12"/>
      <c r="R375" s="12">
        <f t="shared" si="84"/>
        <v>0</v>
      </c>
      <c r="S375" s="12"/>
      <c r="T375" s="12"/>
      <c r="U375" s="12">
        <f t="shared" si="85"/>
        <v>1388900</v>
      </c>
      <c r="V375" s="12">
        <v>1388900</v>
      </c>
      <c r="W375" s="12"/>
      <c r="X375" s="12">
        <f t="shared" si="86"/>
        <v>0</v>
      </c>
      <c r="Y375" s="12"/>
      <c r="Z375" s="12"/>
      <c r="AA375" s="13">
        <f t="shared" si="46"/>
        <v>-2.3283064365386963E-10</v>
      </c>
      <c r="AB375" s="14">
        <v>46059</v>
      </c>
    </row>
    <row r="376" spans="1:28" ht="15.75" hidden="1" x14ac:dyDescent="0.25">
      <c r="A376" s="65">
        <v>46059</v>
      </c>
      <c r="B376" s="10" t="s">
        <v>56</v>
      </c>
      <c r="C376" s="10"/>
      <c r="D376" s="10" t="s">
        <v>28</v>
      </c>
      <c r="E376" s="10" t="s">
        <v>160</v>
      </c>
      <c r="F376" s="60">
        <v>2</v>
      </c>
      <c r="G376" s="10" t="s">
        <v>22</v>
      </c>
      <c r="H376" s="60">
        <v>375000</v>
      </c>
      <c r="I376" s="10">
        <f t="shared" si="45"/>
        <v>750000</v>
      </c>
      <c r="J376" s="29" t="s">
        <v>113</v>
      </c>
      <c r="K376" s="10"/>
      <c r="L376" s="12">
        <f t="shared" si="82"/>
        <v>0</v>
      </c>
      <c r="M376" s="12"/>
      <c r="N376" s="12"/>
      <c r="O376" s="12">
        <f t="shared" si="83"/>
        <v>0</v>
      </c>
      <c r="P376" s="12"/>
      <c r="Q376" s="12"/>
      <c r="R376" s="12">
        <f t="shared" si="84"/>
        <v>0</v>
      </c>
      <c r="S376" s="12"/>
      <c r="T376" s="12"/>
      <c r="U376" s="12">
        <f t="shared" si="85"/>
        <v>750000</v>
      </c>
      <c r="V376" s="12">
        <v>750000</v>
      </c>
      <c r="W376" s="12"/>
      <c r="X376" s="12">
        <f t="shared" si="86"/>
        <v>0</v>
      </c>
      <c r="Y376" s="12"/>
      <c r="Z376" s="12"/>
      <c r="AA376" s="13">
        <f t="shared" si="46"/>
        <v>0</v>
      </c>
      <c r="AB376" s="14">
        <v>46059</v>
      </c>
    </row>
    <row r="377" spans="1:28" ht="15.75" hidden="1" x14ac:dyDescent="0.25">
      <c r="A377" s="65">
        <v>46059</v>
      </c>
      <c r="B377" s="10" t="s">
        <v>437</v>
      </c>
      <c r="C377" s="10"/>
      <c r="D377" s="10" t="s">
        <v>28</v>
      </c>
      <c r="E377" s="10" t="s">
        <v>228</v>
      </c>
      <c r="F377" s="60">
        <v>5</v>
      </c>
      <c r="G377" s="10" t="s">
        <v>36</v>
      </c>
      <c r="H377" s="60">
        <v>290000</v>
      </c>
      <c r="I377" s="10">
        <f t="shared" si="45"/>
        <v>1450000</v>
      </c>
      <c r="J377" s="29" t="s">
        <v>110</v>
      </c>
      <c r="K377" s="10"/>
      <c r="L377" s="12">
        <f t="shared" si="82"/>
        <v>0</v>
      </c>
      <c r="M377" s="12"/>
      <c r="N377" s="12"/>
      <c r="O377" s="12">
        <f t="shared" si="83"/>
        <v>1450000</v>
      </c>
      <c r="P377" s="12">
        <v>1450000</v>
      </c>
      <c r="Q377" s="12"/>
      <c r="R377" s="12">
        <f t="shared" si="84"/>
        <v>0</v>
      </c>
      <c r="S377" s="12"/>
      <c r="T377" s="12"/>
      <c r="U377" s="12">
        <f t="shared" si="85"/>
        <v>0</v>
      </c>
      <c r="V377" s="12"/>
      <c r="W377" s="12"/>
      <c r="X377" s="12">
        <f t="shared" si="86"/>
        <v>0</v>
      </c>
      <c r="Y377" s="12"/>
      <c r="Z377" s="12"/>
      <c r="AA377" s="13">
        <f t="shared" si="46"/>
        <v>0</v>
      </c>
      <c r="AB377" s="14">
        <v>46062</v>
      </c>
    </row>
    <row r="378" spans="1:28" ht="15.75" hidden="1" x14ac:dyDescent="0.25">
      <c r="A378" s="65">
        <v>46059</v>
      </c>
      <c r="B378" s="10" t="s">
        <v>280</v>
      </c>
      <c r="C378" s="10"/>
      <c r="D378" s="10" t="s">
        <v>195</v>
      </c>
      <c r="E378" s="10" t="s">
        <v>161</v>
      </c>
      <c r="F378" s="60">
        <v>1</v>
      </c>
      <c r="G378" s="10" t="s">
        <v>61</v>
      </c>
      <c r="H378" s="60">
        <v>230000</v>
      </c>
      <c r="I378" s="10">
        <f t="shared" si="45"/>
        <v>230000</v>
      </c>
      <c r="J378" s="29" t="s">
        <v>113</v>
      </c>
      <c r="K378" s="10"/>
      <c r="L378" s="12">
        <f t="shared" si="82"/>
        <v>0</v>
      </c>
      <c r="M378" s="12"/>
      <c r="N378" s="12"/>
      <c r="O378" s="12">
        <f t="shared" si="83"/>
        <v>0</v>
      </c>
      <c r="P378" s="12"/>
      <c r="Q378" s="12"/>
      <c r="R378" s="12">
        <f t="shared" si="84"/>
        <v>0</v>
      </c>
      <c r="S378" s="12"/>
      <c r="T378" s="12"/>
      <c r="U378" s="12">
        <f t="shared" si="85"/>
        <v>230000</v>
      </c>
      <c r="V378" s="12">
        <v>230000</v>
      </c>
      <c r="W378" s="12"/>
      <c r="X378" s="12">
        <f t="shared" si="86"/>
        <v>0</v>
      </c>
      <c r="Y378" s="12"/>
      <c r="Z378" s="12"/>
      <c r="AA378" s="13">
        <f t="shared" si="46"/>
        <v>0</v>
      </c>
      <c r="AB378" s="14">
        <v>46059</v>
      </c>
    </row>
    <row r="379" spans="1:28" ht="15.75" hidden="1" x14ac:dyDescent="0.25">
      <c r="A379" s="65">
        <v>46059</v>
      </c>
      <c r="B379" s="10" t="s">
        <v>461</v>
      </c>
      <c r="C379" s="10"/>
      <c r="D379" s="10" t="s">
        <v>195</v>
      </c>
      <c r="E379" s="10" t="s">
        <v>344</v>
      </c>
      <c r="F379" s="60">
        <v>14</v>
      </c>
      <c r="G379" s="10" t="s">
        <v>36</v>
      </c>
      <c r="H379" s="60">
        <v>43000</v>
      </c>
      <c r="I379" s="10">
        <f t="shared" si="45"/>
        <v>602000</v>
      </c>
      <c r="J379" s="29" t="s">
        <v>113</v>
      </c>
      <c r="K379" s="10"/>
      <c r="L379" s="12">
        <f t="shared" si="82"/>
        <v>0</v>
      </c>
      <c r="M379" s="12"/>
      <c r="N379" s="12"/>
      <c r="O379" s="12">
        <f t="shared" si="83"/>
        <v>0</v>
      </c>
      <c r="P379" s="12"/>
      <c r="Q379" s="12"/>
      <c r="R379" s="12">
        <f t="shared" si="84"/>
        <v>0</v>
      </c>
      <c r="S379" s="12"/>
      <c r="T379" s="12"/>
      <c r="U379" s="12">
        <f t="shared" si="85"/>
        <v>602000</v>
      </c>
      <c r="V379" s="12">
        <v>602000</v>
      </c>
      <c r="W379" s="12"/>
      <c r="X379" s="12">
        <f t="shared" si="86"/>
        <v>0</v>
      </c>
      <c r="Y379" s="12"/>
      <c r="Z379" s="12"/>
      <c r="AA379" s="13">
        <f t="shared" si="46"/>
        <v>0</v>
      </c>
      <c r="AB379" s="14">
        <v>46059</v>
      </c>
    </row>
    <row r="380" spans="1:28" ht="15.75" hidden="1" x14ac:dyDescent="0.25">
      <c r="A380" s="65">
        <v>46059</v>
      </c>
      <c r="B380" s="10" t="s">
        <v>230</v>
      </c>
      <c r="C380" s="10"/>
      <c r="D380" s="10" t="s">
        <v>195</v>
      </c>
      <c r="E380" s="10" t="s">
        <v>98</v>
      </c>
      <c r="F380" s="60">
        <v>1200</v>
      </c>
      <c r="G380" s="10" t="s">
        <v>26</v>
      </c>
      <c r="H380" s="60">
        <v>1800</v>
      </c>
      <c r="I380" s="10">
        <f t="shared" si="45"/>
        <v>2160000</v>
      </c>
      <c r="J380" s="29" t="s">
        <v>113</v>
      </c>
      <c r="K380" s="10"/>
      <c r="L380" s="12">
        <f t="shared" si="82"/>
        <v>0</v>
      </c>
      <c r="M380" s="12"/>
      <c r="N380" s="12"/>
      <c r="O380" s="12">
        <f t="shared" si="83"/>
        <v>0</v>
      </c>
      <c r="P380" s="12"/>
      <c r="Q380" s="12"/>
      <c r="R380" s="12">
        <f t="shared" si="84"/>
        <v>0</v>
      </c>
      <c r="S380" s="12"/>
      <c r="T380" s="12"/>
      <c r="U380" s="12">
        <f t="shared" si="85"/>
        <v>2160000</v>
      </c>
      <c r="V380" s="12">
        <v>2160000</v>
      </c>
      <c r="W380" s="12"/>
      <c r="X380" s="12">
        <f t="shared" si="86"/>
        <v>0</v>
      </c>
      <c r="Y380" s="12"/>
      <c r="Z380" s="12"/>
      <c r="AA380" s="13">
        <f t="shared" si="46"/>
        <v>0</v>
      </c>
      <c r="AB380" s="14">
        <v>46059</v>
      </c>
    </row>
    <row r="381" spans="1:28" ht="15.75" hidden="1" x14ac:dyDescent="0.25">
      <c r="A381" s="65">
        <v>46059</v>
      </c>
      <c r="B381" s="10" t="s">
        <v>122</v>
      </c>
      <c r="C381" s="10"/>
      <c r="D381" s="10" t="s">
        <v>383</v>
      </c>
      <c r="E381" s="10" t="s">
        <v>88</v>
      </c>
      <c r="F381" s="60">
        <v>75</v>
      </c>
      <c r="G381" s="10" t="s">
        <v>36</v>
      </c>
      <c r="H381" s="60">
        <v>125000</v>
      </c>
      <c r="I381" s="10">
        <f t="shared" si="45"/>
        <v>9375000</v>
      </c>
      <c r="J381" s="52" t="s">
        <v>30</v>
      </c>
      <c r="K381" s="10"/>
      <c r="L381" s="12">
        <f t="shared" si="82"/>
        <v>0</v>
      </c>
      <c r="M381" s="12"/>
      <c r="N381" s="12"/>
      <c r="O381" s="12">
        <f t="shared" si="83"/>
        <v>0</v>
      </c>
      <c r="P381" s="12"/>
      <c r="Q381" s="12"/>
      <c r="R381" s="12">
        <f t="shared" si="84"/>
        <v>0</v>
      </c>
      <c r="S381" s="12"/>
      <c r="T381" s="12"/>
      <c r="U381" s="12">
        <f t="shared" si="85"/>
        <v>0</v>
      </c>
      <c r="V381" s="12"/>
      <c r="W381" s="12"/>
      <c r="X381" s="12">
        <f t="shared" si="86"/>
        <v>0</v>
      </c>
      <c r="Y381" s="12"/>
      <c r="Z381" s="12"/>
      <c r="AA381" s="13">
        <f t="shared" si="46"/>
        <v>9375000</v>
      </c>
      <c r="AB381" s="14"/>
    </row>
    <row r="382" spans="1:28" ht="15.75" hidden="1" x14ac:dyDescent="0.25">
      <c r="A382" s="65">
        <v>46059</v>
      </c>
      <c r="B382" s="10" t="s">
        <v>122</v>
      </c>
      <c r="C382" s="10"/>
      <c r="D382" s="10" t="s">
        <v>383</v>
      </c>
      <c r="E382" s="10" t="s">
        <v>138</v>
      </c>
      <c r="F382" s="60">
        <v>16</v>
      </c>
      <c r="G382" s="10" t="s">
        <v>61</v>
      </c>
      <c r="H382" s="60">
        <v>300000</v>
      </c>
      <c r="I382" s="10">
        <f t="shared" si="45"/>
        <v>4800000</v>
      </c>
      <c r="J382" s="52" t="s">
        <v>30</v>
      </c>
      <c r="K382" s="10"/>
      <c r="L382" s="12">
        <f t="shared" si="82"/>
        <v>0</v>
      </c>
      <c r="M382" s="12"/>
      <c r="N382" s="12"/>
      <c r="O382" s="12">
        <f t="shared" si="83"/>
        <v>0</v>
      </c>
      <c r="P382" s="12"/>
      <c r="Q382" s="12"/>
      <c r="R382" s="12">
        <f t="shared" si="84"/>
        <v>0</v>
      </c>
      <c r="S382" s="12"/>
      <c r="T382" s="12"/>
      <c r="U382" s="12">
        <f t="shared" si="85"/>
        <v>0</v>
      </c>
      <c r="V382" s="12"/>
      <c r="W382" s="12"/>
      <c r="X382" s="12">
        <f t="shared" si="86"/>
        <v>0</v>
      </c>
      <c r="Y382" s="12"/>
      <c r="Z382" s="12"/>
      <c r="AA382" s="13">
        <f t="shared" si="46"/>
        <v>4800000</v>
      </c>
      <c r="AB382" s="14"/>
    </row>
    <row r="383" spans="1:28" ht="15.75" hidden="1" x14ac:dyDescent="0.25">
      <c r="A383" s="65">
        <v>46059</v>
      </c>
      <c r="B383" s="10" t="s">
        <v>122</v>
      </c>
      <c r="C383" s="10"/>
      <c r="D383" s="10" t="s">
        <v>383</v>
      </c>
      <c r="E383" s="10" t="s">
        <v>118</v>
      </c>
      <c r="F383" s="60">
        <v>10</v>
      </c>
      <c r="G383" s="10" t="s">
        <v>22</v>
      </c>
      <c r="H383" s="60">
        <v>400000</v>
      </c>
      <c r="I383" s="10">
        <f t="shared" si="45"/>
        <v>4000000</v>
      </c>
      <c r="J383" s="52" t="s">
        <v>30</v>
      </c>
      <c r="K383" s="10"/>
      <c r="L383" s="12">
        <f t="shared" si="82"/>
        <v>0</v>
      </c>
      <c r="M383" s="12"/>
      <c r="N383" s="12"/>
      <c r="O383" s="12">
        <f t="shared" si="83"/>
        <v>0</v>
      </c>
      <c r="P383" s="12"/>
      <c r="Q383" s="12"/>
      <c r="R383" s="12">
        <f t="shared" si="84"/>
        <v>0</v>
      </c>
      <c r="S383" s="12"/>
      <c r="T383" s="12"/>
      <c r="U383" s="12">
        <f t="shared" si="85"/>
        <v>0</v>
      </c>
      <c r="V383" s="12"/>
      <c r="W383" s="12"/>
      <c r="X383" s="12">
        <f t="shared" si="86"/>
        <v>0</v>
      </c>
      <c r="Y383" s="12"/>
      <c r="Z383" s="12"/>
      <c r="AA383" s="13">
        <f t="shared" si="46"/>
        <v>4000000</v>
      </c>
      <c r="AB383" s="14"/>
    </row>
    <row r="384" spans="1:28" ht="15.75" hidden="1" x14ac:dyDescent="0.25">
      <c r="A384" s="65">
        <v>46059</v>
      </c>
      <c r="B384" s="10" t="s">
        <v>462</v>
      </c>
      <c r="C384" s="10"/>
      <c r="D384" s="10" t="s">
        <v>28</v>
      </c>
      <c r="E384" s="10" t="s">
        <v>209</v>
      </c>
      <c r="F384" s="60">
        <v>1</v>
      </c>
      <c r="G384" s="10" t="s">
        <v>61</v>
      </c>
      <c r="H384" s="60">
        <v>230000</v>
      </c>
      <c r="I384" s="10">
        <f t="shared" si="45"/>
        <v>230000</v>
      </c>
      <c r="J384" s="29" t="s">
        <v>110</v>
      </c>
      <c r="K384" s="10"/>
      <c r="L384" s="12">
        <f t="shared" si="82"/>
        <v>0</v>
      </c>
      <c r="M384" s="12"/>
      <c r="N384" s="12"/>
      <c r="O384" s="12">
        <f t="shared" si="83"/>
        <v>230000</v>
      </c>
      <c r="P384" s="12">
        <v>230000</v>
      </c>
      <c r="Q384" s="12"/>
      <c r="R384" s="12">
        <f t="shared" si="84"/>
        <v>0</v>
      </c>
      <c r="S384" s="12"/>
      <c r="T384" s="12"/>
      <c r="U384" s="12">
        <f t="shared" si="85"/>
        <v>0</v>
      </c>
      <c r="V384" s="12"/>
      <c r="W384" s="12"/>
      <c r="X384" s="12">
        <f t="shared" si="86"/>
        <v>0</v>
      </c>
      <c r="Y384" s="12"/>
      <c r="Z384" s="12"/>
      <c r="AA384" s="13">
        <f t="shared" si="46"/>
        <v>0</v>
      </c>
      <c r="AB384" s="14">
        <v>46059</v>
      </c>
    </row>
    <row r="385" spans="1:28" ht="15.75" hidden="1" x14ac:dyDescent="0.25">
      <c r="A385" s="65">
        <v>46059</v>
      </c>
      <c r="B385" s="10" t="s">
        <v>267</v>
      </c>
      <c r="C385" s="10"/>
      <c r="D385" s="10" t="s">
        <v>195</v>
      </c>
      <c r="E385" s="10" t="s">
        <v>104</v>
      </c>
      <c r="F385" s="60">
        <v>400</v>
      </c>
      <c r="G385" s="10" t="s">
        <v>26</v>
      </c>
      <c r="H385" s="60">
        <v>1900</v>
      </c>
      <c r="I385" s="10">
        <f t="shared" si="45"/>
        <v>760000</v>
      </c>
      <c r="J385" s="29" t="s">
        <v>113</v>
      </c>
      <c r="K385" s="10"/>
      <c r="L385" s="12">
        <f t="shared" si="82"/>
        <v>0</v>
      </c>
      <c r="M385" s="12"/>
      <c r="N385" s="12"/>
      <c r="O385" s="12">
        <f t="shared" si="83"/>
        <v>0</v>
      </c>
      <c r="P385" s="12"/>
      <c r="Q385" s="12"/>
      <c r="R385" s="12">
        <f t="shared" si="84"/>
        <v>0</v>
      </c>
      <c r="S385" s="12"/>
      <c r="T385" s="12"/>
      <c r="U385" s="12">
        <f t="shared" si="85"/>
        <v>760000</v>
      </c>
      <c r="V385" s="12">
        <v>760000</v>
      </c>
      <c r="W385" s="12"/>
      <c r="X385" s="12">
        <f t="shared" si="86"/>
        <v>0</v>
      </c>
      <c r="Y385" s="12"/>
      <c r="Z385" s="12"/>
      <c r="AA385" s="13">
        <f t="shared" si="46"/>
        <v>0</v>
      </c>
      <c r="AB385" s="14">
        <v>46059</v>
      </c>
    </row>
    <row r="386" spans="1:28" ht="15.75" hidden="1" x14ac:dyDescent="0.25">
      <c r="A386" s="65">
        <v>46059</v>
      </c>
      <c r="B386" s="10" t="s">
        <v>267</v>
      </c>
      <c r="C386" s="10"/>
      <c r="D386" s="10" t="s">
        <v>195</v>
      </c>
      <c r="E386" s="10" t="s">
        <v>60</v>
      </c>
      <c r="F386" s="60">
        <v>2</v>
      </c>
      <c r="G386" s="10" t="s">
        <v>61</v>
      </c>
      <c r="H386" s="10">
        <v>150000</v>
      </c>
      <c r="I386" s="10">
        <f t="shared" si="45"/>
        <v>300000</v>
      </c>
      <c r="J386" s="29" t="s">
        <v>113</v>
      </c>
      <c r="K386" s="10"/>
      <c r="L386" s="12">
        <f t="shared" si="82"/>
        <v>0</v>
      </c>
      <c r="M386" s="12"/>
      <c r="N386" s="12"/>
      <c r="O386" s="12">
        <f t="shared" si="83"/>
        <v>0</v>
      </c>
      <c r="P386" s="12"/>
      <c r="Q386" s="12"/>
      <c r="R386" s="12">
        <f t="shared" si="84"/>
        <v>0</v>
      </c>
      <c r="S386" s="12"/>
      <c r="T386" s="12"/>
      <c r="U386" s="12">
        <f t="shared" si="85"/>
        <v>300000</v>
      </c>
      <c r="V386" s="12">
        <v>300000</v>
      </c>
      <c r="W386" s="12"/>
      <c r="X386" s="12">
        <f t="shared" si="86"/>
        <v>0</v>
      </c>
      <c r="Y386" s="12"/>
      <c r="Z386" s="12"/>
      <c r="AA386" s="13">
        <f t="shared" si="46"/>
        <v>0</v>
      </c>
      <c r="AB386" s="14">
        <v>46059</v>
      </c>
    </row>
    <row r="387" spans="1:28" ht="15.75" hidden="1" x14ac:dyDescent="0.25">
      <c r="A387" s="65">
        <v>46059</v>
      </c>
      <c r="B387" s="10" t="s">
        <v>267</v>
      </c>
      <c r="C387" s="10"/>
      <c r="D387" s="10" t="s">
        <v>195</v>
      </c>
      <c r="E387" s="10" t="s">
        <v>164</v>
      </c>
      <c r="F387" s="10">
        <v>16</v>
      </c>
      <c r="G387" s="10" t="s">
        <v>36</v>
      </c>
      <c r="H387" s="10">
        <v>43000</v>
      </c>
      <c r="I387" s="10">
        <f t="shared" ref="I387:I450" si="87">F387*H387</f>
        <v>688000</v>
      </c>
      <c r="J387" s="29" t="s">
        <v>113</v>
      </c>
      <c r="K387" s="10"/>
      <c r="L387" s="12">
        <f t="shared" si="82"/>
        <v>0</v>
      </c>
      <c r="M387" s="12"/>
      <c r="N387" s="12"/>
      <c r="O387" s="12">
        <f t="shared" si="83"/>
        <v>0</v>
      </c>
      <c r="P387" s="12"/>
      <c r="Q387" s="12"/>
      <c r="R387" s="12">
        <f t="shared" si="84"/>
        <v>0</v>
      </c>
      <c r="S387" s="12"/>
      <c r="T387" s="12"/>
      <c r="U387" s="12">
        <f t="shared" si="85"/>
        <v>688000</v>
      </c>
      <c r="V387" s="12">
        <v>688000</v>
      </c>
      <c r="W387" s="12"/>
      <c r="X387" s="12">
        <f t="shared" si="86"/>
        <v>0</v>
      </c>
      <c r="Y387" s="12"/>
      <c r="Z387" s="12"/>
      <c r="AA387" s="13">
        <f t="shared" si="46"/>
        <v>0</v>
      </c>
      <c r="AB387" s="14">
        <v>46059</v>
      </c>
    </row>
    <row r="388" spans="1:28" ht="15.75" x14ac:dyDescent="0.25">
      <c r="A388" s="65">
        <v>46059</v>
      </c>
      <c r="B388" s="10" t="s">
        <v>272</v>
      </c>
      <c r="C388" s="10"/>
      <c r="D388" s="10"/>
      <c r="E388" s="10" t="s">
        <v>265</v>
      </c>
      <c r="F388" s="10">
        <v>23.2</v>
      </c>
      <c r="G388" s="10" t="s">
        <v>36</v>
      </c>
      <c r="H388" s="10">
        <v>43000</v>
      </c>
      <c r="I388" s="10">
        <f t="shared" si="87"/>
        <v>997600</v>
      </c>
      <c r="J388" s="115" t="s">
        <v>90</v>
      </c>
      <c r="K388" s="10"/>
      <c r="L388" s="12">
        <f t="shared" si="82"/>
        <v>0</v>
      </c>
      <c r="M388" s="12"/>
      <c r="N388" s="12"/>
      <c r="O388" s="12">
        <f t="shared" si="83"/>
        <v>0</v>
      </c>
      <c r="P388" s="12"/>
      <c r="Q388" s="12"/>
      <c r="R388" s="12">
        <f t="shared" si="84"/>
        <v>0</v>
      </c>
      <c r="S388" s="12"/>
      <c r="T388" s="12"/>
      <c r="U388" s="12">
        <f t="shared" si="85"/>
        <v>0</v>
      </c>
      <c r="V388" s="12"/>
      <c r="W388" s="12"/>
      <c r="X388" s="12">
        <f t="shared" si="86"/>
        <v>0</v>
      </c>
      <c r="Y388" s="12"/>
      <c r="Z388" s="12"/>
      <c r="AA388" s="13">
        <f t="shared" ref="AA388:AA451" si="88">C388+I388-L388-O388-U388-X388-R388</f>
        <v>997600</v>
      </c>
      <c r="AB388" s="14"/>
    </row>
    <row r="389" spans="1:28" ht="15.75" x14ac:dyDescent="0.25">
      <c r="A389" s="65">
        <v>46059</v>
      </c>
      <c r="B389" s="10" t="s">
        <v>272</v>
      </c>
      <c r="C389" s="10"/>
      <c r="D389" s="10"/>
      <c r="E389" s="10" t="s">
        <v>306</v>
      </c>
      <c r="F389" s="10">
        <v>55.3</v>
      </c>
      <c r="G389" s="10" t="s">
        <v>36</v>
      </c>
      <c r="H389" s="10">
        <v>43000</v>
      </c>
      <c r="I389" s="10">
        <f t="shared" si="87"/>
        <v>2377900</v>
      </c>
      <c r="J389" s="115" t="s">
        <v>90</v>
      </c>
      <c r="K389" s="10"/>
      <c r="L389" s="12">
        <f t="shared" si="82"/>
        <v>0</v>
      </c>
      <c r="M389" s="12"/>
      <c r="N389" s="12"/>
      <c r="O389" s="12">
        <f t="shared" si="83"/>
        <v>0</v>
      </c>
      <c r="P389" s="12"/>
      <c r="Q389" s="12"/>
      <c r="R389" s="12">
        <f t="shared" si="84"/>
        <v>0</v>
      </c>
      <c r="S389" s="12"/>
      <c r="T389" s="12"/>
      <c r="U389" s="12">
        <f t="shared" si="85"/>
        <v>0</v>
      </c>
      <c r="V389" s="12"/>
      <c r="W389" s="12"/>
      <c r="X389" s="12">
        <f t="shared" si="86"/>
        <v>0</v>
      </c>
      <c r="Y389" s="12"/>
      <c r="Z389" s="12"/>
      <c r="AA389" s="13">
        <f t="shared" si="88"/>
        <v>2377900</v>
      </c>
      <c r="AB389" s="14"/>
    </row>
    <row r="390" spans="1:28" ht="15.75" x14ac:dyDescent="0.25">
      <c r="A390" s="65">
        <v>46059</v>
      </c>
      <c r="B390" s="10" t="s">
        <v>272</v>
      </c>
      <c r="C390" s="10"/>
      <c r="D390" s="10"/>
      <c r="E390" s="10" t="s">
        <v>463</v>
      </c>
      <c r="F390" s="10">
        <v>39.4</v>
      </c>
      <c r="G390" s="10" t="s">
        <v>36</v>
      </c>
      <c r="H390" s="10">
        <v>43000</v>
      </c>
      <c r="I390" s="10">
        <f t="shared" si="87"/>
        <v>1694200</v>
      </c>
      <c r="J390" s="115" t="s">
        <v>90</v>
      </c>
      <c r="K390" s="10"/>
      <c r="L390" s="12">
        <f t="shared" si="82"/>
        <v>0</v>
      </c>
      <c r="M390" s="12"/>
      <c r="N390" s="12"/>
      <c r="O390" s="12">
        <f t="shared" si="83"/>
        <v>0</v>
      </c>
      <c r="P390" s="12"/>
      <c r="Q390" s="12"/>
      <c r="R390" s="12">
        <f t="shared" si="84"/>
        <v>0</v>
      </c>
      <c r="S390" s="12"/>
      <c r="T390" s="12"/>
      <c r="U390" s="12">
        <f t="shared" si="85"/>
        <v>0</v>
      </c>
      <c r="V390" s="12"/>
      <c r="W390" s="12"/>
      <c r="X390" s="12">
        <f t="shared" si="86"/>
        <v>0</v>
      </c>
      <c r="Y390" s="12"/>
      <c r="Z390" s="12"/>
      <c r="AA390" s="13">
        <f t="shared" si="88"/>
        <v>1694200</v>
      </c>
      <c r="AB390" s="14"/>
    </row>
    <row r="391" spans="1:28" ht="15.75" x14ac:dyDescent="0.25">
      <c r="A391" s="28">
        <v>46059</v>
      </c>
      <c r="B391" s="10" t="s">
        <v>272</v>
      </c>
      <c r="C391" s="10"/>
      <c r="D391" s="10"/>
      <c r="E391" s="10" t="s">
        <v>136</v>
      </c>
      <c r="F391" s="10">
        <v>46.9</v>
      </c>
      <c r="G391" s="10" t="s">
        <v>36</v>
      </c>
      <c r="H391" s="10">
        <v>43000</v>
      </c>
      <c r="I391" s="10">
        <f t="shared" si="87"/>
        <v>2016700</v>
      </c>
      <c r="J391" s="86" t="s">
        <v>30</v>
      </c>
      <c r="K391" s="10"/>
      <c r="L391" s="12">
        <f t="shared" si="82"/>
        <v>0</v>
      </c>
      <c r="M391" s="12"/>
      <c r="N391" s="12"/>
      <c r="O391" s="12">
        <f t="shared" si="83"/>
        <v>0</v>
      </c>
      <c r="P391" s="12"/>
      <c r="Q391" s="12"/>
      <c r="R391" s="12">
        <f t="shared" si="84"/>
        <v>0</v>
      </c>
      <c r="S391" s="12"/>
      <c r="T391" s="12"/>
      <c r="U391" s="12">
        <f t="shared" si="85"/>
        <v>0</v>
      </c>
      <c r="V391" s="12"/>
      <c r="W391" s="12"/>
      <c r="X391" s="12">
        <f t="shared" si="86"/>
        <v>0</v>
      </c>
      <c r="Y391" s="12"/>
      <c r="Z391" s="12"/>
      <c r="AA391" s="13">
        <f t="shared" si="88"/>
        <v>2016700</v>
      </c>
      <c r="AB391" s="14"/>
    </row>
    <row r="392" spans="1:28" ht="15.75" x14ac:dyDescent="0.25">
      <c r="A392" s="65">
        <v>46059</v>
      </c>
      <c r="B392" s="10" t="s">
        <v>272</v>
      </c>
      <c r="C392" s="10"/>
      <c r="D392" s="10"/>
      <c r="E392" s="10" t="s">
        <v>229</v>
      </c>
      <c r="F392" s="10">
        <v>14.4</v>
      </c>
      <c r="G392" s="10" t="s">
        <v>36</v>
      </c>
      <c r="H392" s="10">
        <v>43000</v>
      </c>
      <c r="I392" s="10">
        <f t="shared" si="87"/>
        <v>619200</v>
      </c>
      <c r="J392" s="86" t="s">
        <v>30</v>
      </c>
      <c r="K392" s="10"/>
      <c r="L392" s="12">
        <f t="shared" si="82"/>
        <v>0</v>
      </c>
      <c r="M392" s="12"/>
      <c r="N392" s="12"/>
      <c r="O392" s="12">
        <f t="shared" si="83"/>
        <v>0</v>
      </c>
      <c r="P392" s="12"/>
      <c r="Q392" s="12"/>
      <c r="R392" s="12">
        <f t="shared" si="84"/>
        <v>0</v>
      </c>
      <c r="S392" s="12"/>
      <c r="T392" s="12"/>
      <c r="U392" s="12">
        <f t="shared" si="85"/>
        <v>0</v>
      </c>
      <c r="V392" s="12"/>
      <c r="W392" s="12"/>
      <c r="X392" s="12">
        <f t="shared" si="86"/>
        <v>0</v>
      </c>
      <c r="Y392" s="12"/>
      <c r="Z392" s="12"/>
      <c r="AA392" s="13">
        <f t="shared" si="88"/>
        <v>619200</v>
      </c>
      <c r="AB392" s="14"/>
    </row>
    <row r="393" spans="1:28" ht="16.5" thickBot="1" x14ac:dyDescent="0.3">
      <c r="A393" s="53">
        <v>46059</v>
      </c>
      <c r="B393" s="31" t="s">
        <v>272</v>
      </c>
      <c r="C393" s="31"/>
      <c r="D393" s="31"/>
      <c r="E393" s="31" t="s">
        <v>92</v>
      </c>
      <c r="F393" s="31">
        <v>68.7</v>
      </c>
      <c r="G393" s="31" t="s">
        <v>36</v>
      </c>
      <c r="H393" s="31">
        <v>43000</v>
      </c>
      <c r="I393" s="54">
        <f t="shared" si="87"/>
        <v>2954100</v>
      </c>
      <c r="J393" s="116" t="s">
        <v>90</v>
      </c>
      <c r="K393" s="31"/>
      <c r="L393" s="34">
        <f t="shared" si="82"/>
        <v>0</v>
      </c>
      <c r="M393" s="34"/>
      <c r="N393" s="34"/>
      <c r="O393" s="34">
        <f t="shared" si="83"/>
        <v>0</v>
      </c>
      <c r="P393" s="34"/>
      <c r="Q393" s="34"/>
      <c r="R393" s="34">
        <f t="shared" si="84"/>
        <v>0</v>
      </c>
      <c r="S393" s="34"/>
      <c r="T393" s="34"/>
      <c r="U393" s="34">
        <f t="shared" si="85"/>
        <v>0</v>
      </c>
      <c r="V393" s="34"/>
      <c r="W393" s="34"/>
      <c r="X393" s="34">
        <f t="shared" si="86"/>
        <v>0</v>
      </c>
      <c r="Y393" s="34"/>
      <c r="Z393" s="34"/>
      <c r="AA393" s="35">
        <f t="shared" si="88"/>
        <v>2954100</v>
      </c>
      <c r="AB393" s="36"/>
    </row>
    <row r="394" spans="1:28" ht="15.75" hidden="1" x14ac:dyDescent="0.25">
      <c r="A394" s="65">
        <v>46060</v>
      </c>
      <c r="B394" s="66" t="s">
        <v>233</v>
      </c>
      <c r="C394" s="66"/>
      <c r="D394" s="66" t="s">
        <v>383</v>
      </c>
      <c r="E394" s="66" t="s">
        <v>80</v>
      </c>
      <c r="F394" s="66">
        <v>22.3</v>
      </c>
      <c r="G394" s="66" t="s">
        <v>36</v>
      </c>
      <c r="H394" s="66">
        <v>43000</v>
      </c>
      <c r="I394" s="66">
        <f t="shared" si="87"/>
        <v>958900</v>
      </c>
      <c r="J394" s="29" t="s">
        <v>113</v>
      </c>
      <c r="K394" s="10"/>
      <c r="L394" s="12">
        <f t="shared" ref="L394" si="89">M394+N394</f>
        <v>0</v>
      </c>
      <c r="M394" s="12"/>
      <c r="N394" s="12"/>
      <c r="O394" s="12">
        <f t="shared" ref="O394" si="90">P394+Q394</f>
        <v>0</v>
      </c>
      <c r="P394" s="12"/>
      <c r="Q394" s="12"/>
      <c r="R394" s="12">
        <f t="shared" ref="R394" si="91">S394+T394</f>
        <v>0</v>
      </c>
      <c r="S394" s="12"/>
      <c r="T394" s="12"/>
      <c r="U394" s="12">
        <f t="shared" ref="U394" si="92">V394+W394</f>
        <v>958900</v>
      </c>
      <c r="V394" s="12">
        <v>958900</v>
      </c>
      <c r="W394" s="12"/>
      <c r="X394" s="12">
        <f t="shared" ref="X394" si="93">Y394+Z394</f>
        <v>0</v>
      </c>
      <c r="Y394" s="12"/>
      <c r="Z394" s="12"/>
      <c r="AA394" s="13">
        <f t="shared" si="88"/>
        <v>0</v>
      </c>
      <c r="AB394" s="14">
        <v>46060</v>
      </c>
    </row>
    <row r="395" spans="1:28" ht="15.75" hidden="1" x14ac:dyDescent="0.25">
      <c r="A395" s="65">
        <v>46060</v>
      </c>
      <c r="B395" s="10" t="s">
        <v>455</v>
      </c>
      <c r="C395" s="10"/>
      <c r="D395" s="10" t="s">
        <v>28</v>
      </c>
      <c r="E395" s="10" t="s">
        <v>132</v>
      </c>
      <c r="F395" s="10">
        <v>1.65</v>
      </c>
      <c r="G395" s="10" t="s">
        <v>133</v>
      </c>
      <c r="H395" s="10">
        <v>1142000</v>
      </c>
      <c r="I395" s="10">
        <f t="shared" si="87"/>
        <v>1884300</v>
      </c>
      <c r="J395" s="29" t="s">
        <v>113</v>
      </c>
      <c r="K395" s="10"/>
      <c r="L395" s="12">
        <f t="shared" ref="L395:L402" si="94">M395+N395</f>
        <v>1884300</v>
      </c>
      <c r="M395" s="12">
        <v>1884300</v>
      </c>
      <c r="N395" s="12"/>
      <c r="O395" s="12">
        <f t="shared" ref="O395:O402" si="95">P395+Q395</f>
        <v>0</v>
      </c>
      <c r="P395" s="12"/>
      <c r="Q395" s="12"/>
      <c r="R395" s="12">
        <f t="shared" ref="R395:R402" si="96">S395+T395</f>
        <v>0</v>
      </c>
      <c r="S395" s="12"/>
      <c r="T395" s="12"/>
      <c r="U395" s="12">
        <f t="shared" ref="U395:U402" si="97">V395+W395</f>
        <v>0</v>
      </c>
      <c r="V395" s="12"/>
      <c r="W395" s="12"/>
      <c r="X395" s="12">
        <f t="shared" ref="X395:X402" si="98">Y395+Z395</f>
        <v>0</v>
      </c>
      <c r="Y395" s="12"/>
      <c r="Z395" s="12"/>
      <c r="AA395" s="13">
        <f t="shared" si="88"/>
        <v>0</v>
      </c>
      <c r="AB395" s="14">
        <v>46060</v>
      </c>
    </row>
    <row r="396" spans="1:28" ht="15.75" hidden="1" x14ac:dyDescent="0.25">
      <c r="A396" s="65">
        <v>46060</v>
      </c>
      <c r="B396" s="10" t="s">
        <v>455</v>
      </c>
      <c r="C396" s="10"/>
      <c r="D396" s="10" t="s">
        <v>28</v>
      </c>
      <c r="E396" s="10" t="s">
        <v>134</v>
      </c>
      <c r="F396" s="10">
        <v>1</v>
      </c>
      <c r="G396" s="10" t="s">
        <v>26</v>
      </c>
      <c r="H396" s="10">
        <v>75000</v>
      </c>
      <c r="I396" s="10">
        <f t="shared" si="87"/>
        <v>75000</v>
      </c>
      <c r="J396" s="29" t="s">
        <v>113</v>
      </c>
      <c r="K396" s="10"/>
      <c r="L396" s="12">
        <f t="shared" si="94"/>
        <v>75000</v>
      </c>
      <c r="M396" s="12">
        <v>75000</v>
      </c>
      <c r="N396" s="12"/>
      <c r="O396" s="12">
        <f t="shared" si="95"/>
        <v>0</v>
      </c>
      <c r="P396" s="12"/>
      <c r="Q396" s="12"/>
      <c r="R396" s="12">
        <f t="shared" si="96"/>
        <v>0</v>
      </c>
      <c r="S396" s="12"/>
      <c r="T396" s="12"/>
      <c r="U396" s="12">
        <f t="shared" si="97"/>
        <v>0</v>
      </c>
      <c r="V396" s="12"/>
      <c r="W396" s="12"/>
      <c r="X396" s="12">
        <f t="shared" si="98"/>
        <v>0</v>
      </c>
      <c r="Y396" s="12"/>
      <c r="Z396" s="12"/>
      <c r="AA396" s="13">
        <f t="shared" si="88"/>
        <v>0</v>
      </c>
      <c r="AB396" s="14">
        <v>46060</v>
      </c>
    </row>
    <row r="397" spans="1:28" ht="15.75" hidden="1" x14ac:dyDescent="0.25">
      <c r="A397" s="65">
        <v>46060</v>
      </c>
      <c r="B397" s="10" t="s">
        <v>464</v>
      </c>
      <c r="C397" s="10"/>
      <c r="D397" s="10" t="s">
        <v>383</v>
      </c>
      <c r="E397" s="10" t="s">
        <v>271</v>
      </c>
      <c r="F397" s="10">
        <v>1</v>
      </c>
      <c r="G397" s="10" t="s">
        <v>36</v>
      </c>
      <c r="H397" s="10">
        <v>170000</v>
      </c>
      <c r="I397" s="10">
        <f t="shared" si="87"/>
        <v>170000</v>
      </c>
      <c r="J397" s="52" t="s">
        <v>90</v>
      </c>
      <c r="K397" s="10"/>
      <c r="L397" s="12">
        <f t="shared" si="94"/>
        <v>0</v>
      </c>
      <c r="M397" s="12"/>
      <c r="N397" s="12"/>
      <c r="O397" s="12">
        <f t="shared" si="95"/>
        <v>0</v>
      </c>
      <c r="P397" s="12"/>
      <c r="Q397" s="12"/>
      <c r="R397" s="12">
        <f t="shared" si="96"/>
        <v>0</v>
      </c>
      <c r="S397" s="12"/>
      <c r="T397" s="12"/>
      <c r="U397" s="12">
        <f t="shared" si="97"/>
        <v>0</v>
      </c>
      <c r="V397" s="12"/>
      <c r="W397" s="12"/>
      <c r="X397" s="12">
        <f t="shared" si="98"/>
        <v>0</v>
      </c>
      <c r="Y397" s="12"/>
      <c r="Z397" s="12"/>
      <c r="AA397" s="13">
        <f t="shared" si="88"/>
        <v>170000</v>
      </c>
      <c r="AB397" s="14"/>
    </row>
    <row r="398" spans="1:28" ht="15.75" hidden="1" x14ac:dyDescent="0.25">
      <c r="A398" s="65">
        <v>46060</v>
      </c>
      <c r="B398" s="10" t="s">
        <v>89</v>
      </c>
      <c r="C398" s="10"/>
      <c r="D398" s="10" t="s">
        <v>383</v>
      </c>
      <c r="E398" s="10" t="s">
        <v>104</v>
      </c>
      <c r="F398" s="10">
        <v>1200</v>
      </c>
      <c r="G398" s="10" t="s">
        <v>26</v>
      </c>
      <c r="H398" s="10">
        <v>1900</v>
      </c>
      <c r="I398" s="10">
        <f t="shared" si="87"/>
        <v>2280000</v>
      </c>
      <c r="J398" s="29" t="s">
        <v>110</v>
      </c>
      <c r="K398" s="10"/>
      <c r="L398" s="12">
        <f t="shared" si="94"/>
        <v>0</v>
      </c>
      <c r="M398" s="12"/>
      <c r="N398" s="12"/>
      <c r="O398" s="12">
        <f t="shared" si="95"/>
        <v>2280000</v>
      </c>
      <c r="P398" s="12">
        <v>2280000</v>
      </c>
      <c r="Q398" s="12"/>
      <c r="R398" s="12">
        <f t="shared" si="96"/>
        <v>0</v>
      </c>
      <c r="S398" s="12"/>
      <c r="T398" s="12"/>
      <c r="U398" s="12">
        <f t="shared" si="97"/>
        <v>0</v>
      </c>
      <c r="V398" s="12"/>
      <c r="W398" s="12"/>
      <c r="X398" s="12">
        <f t="shared" si="98"/>
        <v>0</v>
      </c>
      <c r="Y398" s="12"/>
      <c r="Z398" s="12"/>
      <c r="AA398" s="13">
        <f t="shared" si="88"/>
        <v>0</v>
      </c>
      <c r="AB398" s="14">
        <v>46035</v>
      </c>
    </row>
    <row r="399" spans="1:28" ht="15.75" hidden="1" x14ac:dyDescent="0.25">
      <c r="A399" s="65">
        <v>46060</v>
      </c>
      <c r="B399" s="10" t="s">
        <v>89</v>
      </c>
      <c r="C399" s="10"/>
      <c r="D399" s="10" t="s">
        <v>383</v>
      </c>
      <c r="E399" s="10" t="s">
        <v>184</v>
      </c>
      <c r="F399" s="10">
        <v>141.5</v>
      </c>
      <c r="G399" s="10" t="s">
        <v>36</v>
      </c>
      <c r="H399" s="10">
        <v>43000</v>
      </c>
      <c r="I399" s="10">
        <f t="shared" si="87"/>
        <v>6084500</v>
      </c>
      <c r="J399" s="29" t="s">
        <v>110</v>
      </c>
      <c r="K399" s="10"/>
      <c r="L399" s="12">
        <f t="shared" si="94"/>
        <v>0</v>
      </c>
      <c r="M399" s="12"/>
      <c r="N399" s="12"/>
      <c r="O399" s="12">
        <f t="shared" si="95"/>
        <v>6084500</v>
      </c>
      <c r="P399" s="12">
        <v>6084500</v>
      </c>
      <c r="Q399" s="12"/>
      <c r="R399" s="12">
        <f t="shared" si="96"/>
        <v>0</v>
      </c>
      <c r="S399" s="12"/>
      <c r="T399" s="12"/>
      <c r="U399" s="12">
        <f t="shared" si="97"/>
        <v>0</v>
      </c>
      <c r="V399" s="12"/>
      <c r="W399" s="12"/>
      <c r="X399" s="12">
        <f t="shared" si="98"/>
        <v>0</v>
      </c>
      <c r="Y399" s="12"/>
      <c r="Z399" s="12"/>
      <c r="AA399" s="13">
        <f t="shared" si="88"/>
        <v>0</v>
      </c>
      <c r="AB399" s="14">
        <v>46035</v>
      </c>
    </row>
    <row r="400" spans="1:28" ht="15.75" x14ac:dyDescent="0.25">
      <c r="A400" s="28">
        <v>46060</v>
      </c>
      <c r="B400" s="10" t="s">
        <v>272</v>
      </c>
      <c r="C400" s="10"/>
      <c r="D400" s="10"/>
      <c r="E400" s="10" t="s">
        <v>338</v>
      </c>
      <c r="F400" s="10">
        <v>55.6</v>
      </c>
      <c r="G400" s="10" t="s">
        <v>36</v>
      </c>
      <c r="H400" s="10">
        <v>43000</v>
      </c>
      <c r="I400" s="10">
        <f t="shared" si="87"/>
        <v>2390800</v>
      </c>
      <c r="J400" s="86" t="s">
        <v>30</v>
      </c>
      <c r="K400" s="10"/>
      <c r="L400" s="12">
        <f t="shared" si="94"/>
        <v>0</v>
      </c>
      <c r="M400" s="12"/>
      <c r="N400" s="12"/>
      <c r="O400" s="12">
        <f t="shared" si="95"/>
        <v>0</v>
      </c>
      <c r="P400" s="12"/>
      <c r="Q400" s="12"/>
      <c r="R400" s="12">
        <f t="shared" si="96"/>
        <v>0</v>
      </c>
      <c r="S400" s="12"/>
      <c r="T400" s="12"/>
      <c r="U400" s="12">
        <f t="shared" si="97"/>
        <v>0</v>
      </c>
      <c r="V400" s="12"/>
      <c r="W400" s="12"/>
      <c r="X400" s="12">
        <f t="shared" si="98"/>
        <v>0</v>
      </c>
      <c r="Y400" s="12"/>
      <c r="Z400" s="12"/>
      <c r="AA400" s="13">
        <f t="shared" si="88"/>
        <v>2390800</v>
      </c>
      <c r="AB400" s="14"/>
    </row>
    <row r="401" spans="1:28" ht="15.75" x14ac:dyDescent="0.25">
      <c r="A401" s="65">
        <v>46060</v>
      </c>
      <c r="B401" s="10" t="s">
        <v>272</v>
      </c>
      <c r="C401" s="10"/>
      <c r="D401" s="10"/>
      <c r="E401" s="10" t="s">
        <v>198</v>
      </c>
      <c r="F401" s="10">
        <v>66.5</v>
      </c>
      <c r="G401" s="10" t="s">
        <v>36</v>
      </c>
      <c r="H401" s="10">
        <v>43000</v>
      </c>
      <c r="I401" s="10">
        <f t="shared" si="87"/>
        <v>2859500</v>
      </c>
      <c r="J401" s="86" t="s">
        <v>30</v>
      </c>
      <c r="K401" s="10"/>
      <c r="L401" s="12">
        <f t="shared" si="94"/>
        <v>0</v>
      </c>
      <c r="M401" s="12"/>
      <c r="N401" s="12"/>
      <c r="O401" s="12">
        <f t="shared" si="95"/>
        <v>0</v>
      </c>
      <c r="P401" s="12"/>
      <c r="Q401" s="12"/>
      <c r="R401" s="12">
        <f t="shared" si="96"/>
        <v>0</v>
      </c>
      <c r="S401" s="12"/>
      <c r="T401" s="12"/>
      <c r="U401" s="12">
        <f t="shared" si="97"/>
        <v>0</v>
      </c>
      <c r="V401" s="12"/>
      <c r="W401" s="12"/>
      <c r="X401" s="12">
        <f t="shared" si="98"/>
        <v>0</v>
      </c>
      <c r="Y401" s="12"/>
      <c r="Z401" s="12"/>
      <c r="AA401" s="13">
        <f t="shared" si="88"/>
        <v>2859500</v>
      </c>
      <c r="AB401" s="14"/>
    </row>
    <row r="402" spans="1:28" ht="16.5" thickBot="1" x14ac:dyDescent="0.3">
      <c r="A402" s="53">
        <v>46060</v>
      </c>
      <c r="B402" s="31" t="s">
        <v>272</v>
      </c>
      <c r="C402" s="31"/>
      <c r="D402" s="31"/>
      <c r="E402" s="31" t="s">
        <v>315</v>
      </c>
      <c r="F402" s="31">
        <v>26.8</v>
      </c>
      <c r="G402" s="31" t="s">
        <v>36</v>
      </c>
      <c r="H402" s="31">
        <v>43000</v>
      </c>
      <c r="I402" s="31">
        <f t="shared" si="87"/>
        <v>1152400</v>
      </c>
      <c r="J402" s="116" t="s">
        <v>90</v>
      </c>
      <c r="K402" s="31"/>
      <c r="L402" s="34">
        <f t="shared" si="94"/>
        <v>0</v>
      </c>
      <c r="M402" s="34"/>
      <c r="N402" s="34"/>
      <c r="O402" s="34">
        <f t="shared" si="95"/>
        <v>0</v>
      </c>
      <c r="P402" s="34"/>
      <c r="Q402" s="34"/>
      <c r="R402" s="34">
        <f t="shared" si="96"/>
        <v>0</v>
      </c>
      <c r="S402" s="34"/>
      <c r="T402" s="34"/>
      <c r="U402" s="34">
        <f t="shared" si="97"/>
        <v>0</v>
      </c>
      <c r="V402" s="34"/>
      <c r="W402" s="34"/>
      <c r="X402" s="34">
        <f t="shared" si="98"/>
        <v>0</v>
      </c>
      <c r="Y402" s="34"/>
      <c r="Z402" s="34"/>
      <c r="AA402" s="35">
        <f t="shared" si="88"/>
        <v>1152400</v>
      </c>
      <c r="AB402" s="36"/>
    </row>
    <row r="403" spans="1:28" ht="15.75" hidden="1" x14ac:dyDescent="0.25">
      <c r="A403" s="65">
        <v>46062</v>
      </c>
      <c r="B403" s="66" t="s">
        <v>176</v>
      </c>
      <c r="C403" s="66"/>
      <c r="D403" s="66" t="s">
        <v>383</v>
      </c>
      <c r="E403" s="66" t="s">
        <v>114</v>
      </c>
      <c r="F403" s="66">
        <v>10</v>
      </c>
      <c r="G403" s="66" t="s">
        <v>67</v>
      </c>
      <c r="H403" s="66">
        <v>50000</v>
      </c>
      <c r="I403" s="10">
        <f t="shared" si="87"/>
        <v>500000</v>
      </c>
      <c r="J403" s="114" t="s">
        <v>30</v>
      </c>
      <c r="K403" s="10"/>
      <c r="L403" s="12">
        <f t="shared" ref="L403" si="99">M403+N403</f>
        <v>0</v>
      </c>
      <c r="M403" s="12"/>
      <c r="N403" s="12"/>
      <c r="O403" s="12">
        <f t="shared" ref="O403" si="100">P403+Q403</f>
        <v>0</v>
      </c>
      <c r="P403" s="12"/>
      <c r="Q403" s="12"/>
      <c r="R403" s="12">
        <f t="shared" ref="R403" si="101">S403+T403</f>
        <v>0</v>
      </c>
      <c r="S403" s="12"/>
      <c r="T403" s="12"/>
      <c r="U403" s="12">
        <f t="shared" ref="U403" si="102">V403+W403</f>
        <v>0</v>
      </c>
      <c r="V403" s="12"/>
      <c r="W403" s="12"/>
      <c r="X403" s="12">
        <f t="shared" ref="X403" si="103">Y403+Z403</f>
        <v>0</v>
      </c>
      <c r="Y403" s="12"/>
      <c r="Z403" s="12"/>
      <c r="AA403" s="13">
        <f t="shared" si="88"/>
        <v>500000</v>
      </c>
      <c r="AB403" s="14"/>
    </row>
    <row r="404" spans="1:28" ht="15.75" hidden="1" x14ac:dyDescent="0.25">
      <c r="A404" s="65">
        <v>46062</v>
      </c>
      <c r="B404" s="66" t="s">
        <v>176</v>
      </c>
      <c r="C404" s="10"/>
      <c r="D404" s="66" t="s">
        <v>383</v>
      </c>
      <c r="E404" s="10" t="s">
        <v>60</v>
      </c>
      <c r="F404" s="10">
        <v>10</v>
      </c>
      <c r="G404" s="10" t="s">
        <v>61</v>
      </c>
      <c r="H404" s="10">
        <v>150000</v>
      </c>
      <c r="I404" s="10">
        <f t="shared" si="87"/>
        <v>1500000</v>
      </c>
      <c r="J404" s="114" t="s">
        <v>30</v>
      </c>
      <c r="K404" s="10"/>
      <c r="L404" s="12">
        <f t="shared" ref="L404:L427" si="104">M404+N404</f>
        <v>0</v>
      </c>
      <c r="M404" s="12"/>
      <c r="N404" s="12"/>
      <c r="O404" s="12">
        <f t="shared" ref="O404:O427" si="105">P404+Q404</f>
        <v>0</v>
      </c>
      <c r="P404" s="12"/>
      <c r="Q404" s="12"/>
      <c r="R404" s="12">
        <f t="shared" ref="R404:R427" si="106">S404+T404</f>
        <v>0</v>
      </c>
      <c r="S404" s="12"/>
      <c r="T404" s="12"/>
      <c r="U404" s="12">
        <f t="shared" ref="U404:U427" si="107">V404+W404</f>
        <v>0</v>
      </c>
      <c r="V404" s="12"/>
      <c r="W404" s="12"/>
      <c r="X404" s="12">
        <f t="shared" ref="X404:X427" si="108">Y404+Z404</f>
        <v>0</v>
      </c>
      <c r="Y404" s="12"/>
      <c r="Z404" s="12"/>
      <c r="AA404" s="13">
        <f t="shared" si="88"/>
        <v>1500000</v>
      </c>
      <c r="AB404" s="14"/>
    </row>
    <row r="405" spans="1:28" ht="15.75" hidden="1" x14ac:dyDescent="0.25">
      <c r="A405" s="65">
        <v>46062</v>
      </c>
      <c r="B405" s="66" t="s">
        <v>176</v>
      </c>
      <c r="C405" s="10"/>
      <c r="D405" s="66" t="s">
        <v>383</v>
      </c>
      <c r="E405" s="10" t="s">
        <v>175</v>
      </c>
      <c r="F405" s="10">
        <v>5000</v>
      </c>
      <c r="G405" s="10" t="s">
        <v>26</v>
      </c>
      <c r="H405" s="10">
        <v>875</v>
      </c>
      <c r="I405" s="10">
        <f t="shared" si="87"/>
        <v>4375000</v>
      </c>
      <c r="J405" s="114" t="s">
        <v>30</v>
      </c>
      <c r="K405" s="10"/>
      <c r="L405" s="12">
        <f t="shared" si="104"/>
        <v>0</v>
      </c>
      <c r="M405" s="12"/>
      <c r="N405" s="12"/>
      <c r="O405" s="12">
        <f t="shared" si="105"/>
        <v>0</v>
      </c>
      <c r="P405" s="12"/>
      <c r="Q405" s="12"/>
      <c r="R405" s="12">
        <f t="shared" si="106"/>
        <v>0</v>
      </c>
      <c r="S405" s="12"/>
      <c r="T405" s="12"/>
      <c r="U405" s="12">
        <f t="shared" si="107"/>
        <v>0</v>
      </c>
      <c r="V405" s="12"/>
      <c r="W405" s="12"/>
      <c r="X405" s="12">
        <f t="shared" si="108"/>
        <v>0</v>
      </c>
      <c r="Y405" s="12"/>
      <c r="Z405" s="12"/>
      <c r="AA405" s="13">
        <f t="shared" si="88"/>
        <v>4375000</v>
      </c>
      <c r="AB405" s="14"/>
    </row>
    <row r="406" spans="1:28" ht="15.75" hidden="1" x14ac:dyDescent="0.25">
      <c r="A406" s="65">
        <v>46062</v>
      </c>
      <c r="B406" s="66" t="s">
        <v>176</v>
      </c>
      <c r="C406" s="10"/>
      <c r="D406" s="66" t="s">
        <v>383</v>
      </c>
      <c r="E406" s="10" t="s">
        <v>344</v>
      </c>
      <c r="F406" s="10">
        <v>13.6</v>
      </c>
      <c r="G406" s="10" t="s">
        <v>36</v>
      </c>
      <c r="H406" s="10">
        <v>43000</v>
      </c>
      <c r="I406" s="10">
        <f t="shared" si="87"/>
        <v>584800</v>
      </c>
      <c r="J406" s="114" t="s">
        <v>30</v>
      </c>
      <c r="K406" s="10"/>
      <c r="L406" s="12">
        <f t="shared" si="104"/>
        <v>0</v>
      </c>
      <c r="M406" s="12"/>
      <c r="N406" s="12"/>
      <c r="O406" s="12">
        <f t="shared" si="105"/>
        <v>0</v>
      </c>
      <c r="P406" s="12"/>
      <c r="Q406" s="12"/>
      <c r="R406" s="12">
        <f t="shared" si="106"/>
        <v>0</v>
      </c>
      <c r="S406" s="12"/>
      <c r="T406" s="12"/>
      <c r="U406" s="12">
        <f t="shared" si="107"/>
        <v>0</v>
      </c>
      <c r="V406" s="12"/>
      <c r="W406" s="12"/>
      <c r="X406" s="12">
        <f t="shared" si="108"/>
        <v>0</v>
      </c>
      <c r="Y406" s="12"/>
      <c r="Z406" s="12"/>
      <c r="AA406" s="13">
        <f t="shared" si="88"/>
        <v>584800</v>
      </c>
      <c r="AB406" s="14"/>
    </row>
    <row r="407" spans="1:28" ht="15.75" hidden="1" x14ac:dyDescent="0.25">
      <c r="A407" s="65">
        <v>46062</v>
      </c>
      <c r="B407" s="10" t="s">
        <v>324</v>
      </c>
      <c r="C407" s="10"/>
      <c r="D407" s="10" t="s">
        <v>195</v>
      </c>
      <c r="E407" s="10" t="s">
        <v>160</v>
      </c>
      <c r="F407" s="10">
        <v>1</v>
      </c>
      <c r="G407" s="10" t="s">
        <v>22</v>
      </c>
      <c r="H407" s="10">
        <v>400000</v>
      </c>
      <c r="I407" s="10">
        <f t="shared" si="87"/>
        <v>400000</v>
      </c>
      <c r="J407" s="29" t="s">
        <v>113</v>
      </c>
      <c r="K407" s="10"/>
      <c r="L407" s="12">
        <f t="shared" si="104"/>
        <v>0</v>
      </c>
      <c r="M407" s="12"/>
      <c r="N407" s="12"/>
      <c r="O407" s="12">
        <f t="shared" si="105"/>
        <v>0</v>
      </c>
      <c r="P407" s="12"/>
      <c r="Q407" s="12"/>
      <c r="R407" s="12">
        <f t="shared" si="106"/>
        <v>0</v>
      </c>
      <c r="S407" s="12"/>
      <c r="T407" s="12"/>
      <c r="U407" s="12">
        <f t="shared" si="107"/>
        <v>400000</v>
      </c>
      <c r="V407" s="12">
        <v>400000</v>
      </c>
      <c r="W407" s="12"/>
      <c r="X407" s="12">
        <f t="shared" si="108"/>
        <v>0</v>
      </c>
      <c r="Y407" s="12"/>
      <c r="Z407" s="12"/>
      <c r="AA407" s="13">
        <f t="shared" si="88"/>
        <v>0</v>
      </c>
      <c r="AB407" s="14">
        <v>46062</v>
      </c>
    </row>
    <row r="408" spans="1:28" ht="15.75" hidden="1" x14ac:dyDescent="0.25">
      <c r="A408" s="65">
        <v>46062</v>
      </c>
      <c r="B408" s="10" t="s">
        <v>178</v>
      </c>
      <c r="C408" s="10"/>
      <c r="D408" s="10" t="s">
        <v>195</v>
      </c>
      <c r="E408" s="10" t="s">
        <v>25</v>
      </c>
      <c r="F408" s="10">
        <v>200</v>
      </c>
      <c r="G408" s="10" t="s">
        <v>26</v>
      </c>
      <c r="H408" s="10">
        <v>2700</v>
      </c>
      <c r="I408" s="10">
        <f t="shared" si="87"/>
        <v>540000</v>
      </c>
      <c r="J408" s="29" t="s">
        <v>110</v>
      </c>
      <c r="K408" s="10"/>
      <c r="L408" s="12">
        <f t="shared" si="104"/>
        <v>0</v>
      </c>
      <c r="M408" s="12"/>
      <c r="N408" s="12"/>
      <c r="O408" s="12">
        <f t="shared" si="105"/>
        <v>540000</v>
      </c>
      <c r="P408" s="12">
        <v>540000</v>
      </c>
      <c r="Q408" s="12"/>
      <c r="R408" s="12">
        <f t="shared" si="106"/>
        <v>0</v>
      </c>
      <c r="S408" s="12"/>
      <c r="T408" s="12"/>
      <c r="U408" s="12">
        <f t="shared" si="107"/>
        <v>0</v>
      </c>
      <c r="V408" s="12"/>
      <c r="W408" s="12"/>
      <c r="X408" s="12">
        <f t="shared" si="108"/>
        <v>0</v>
      </c>
      <c r="Y408" s="12"/>
      <c r="Z408" s="12"/>
      <c r="AA408" s="13">
        <f t="shared" si="88"/>
        <v>0</v>
      </c>
      <c r="AB408" s="14">
        <v>46062</v>
      </c>
    </row>
    <row r="409" spans="1:28" ht="15.75" hidden="1" x14ac:dyDescent="0.25">
      <c r="A409" s="65">
        <v>46062</v>
      </c>
      <c r="B409" s="10" t="s">
        <v>465</v>
      </c>
      <c r="C409" s="10"/>
      <c r="D409" s="10" t="s">
        <v>383</v>
      </c>
      <c r="E409" s="10" t="s">
        <v>191</v>
      </c>
      <c r="F409" s="10">
        <v>3</v>
      </c>
      <c r="G409" s="10" t="s">
        <v>192</v>
      </c>
      <c r="H409" s="10">
        <v>1200000</v>
      </c>
      <c r="I409" s="10">
        <f t="shared" si="87"/>
        <v>3600000</v>
      </c>
      <c r="J409" s="29" t="s">
        <v>110</v>
      </c>
      <c r="K409" s="10"/>
      <c r="L409" s="12">
        <f t="shared" si="104"/>
        <v>0</v>
      </c>
      <c r="M409" s="12"/>
      <c r="N409" s="12"/>
      <c r="O409" s="12">
        <f t="shared" si="105"/>
        <v>3600000</v>
      </c>
      <c r="P409" s="12">
        <v>3600000</v>
      </c>
      <c r="Q409" s="12"/>
      <c r="R409" s="12">
        <f t="shared" si="106"/>
        <v>0</v>
      </c>
      <c r="S409" s="12"/>
      <c r="T409" s="12"/>
      <c r="U409" s="12">
        <f t="shared" si="107"/>
        <v>0</v>
      </c>
      <c r="V409" s="12"/>
      <c r="W409" s="12"/>
      <c r="X409" s="12">
        <f t="shared" si="108"/>
        <v>0</v>
      </c>
      <c r="Y409" s="12"/>
      <c r="Z409" s="12"/>
      <c r="AA409" s="13">
        <f t="shared" si="88"/>
        <v>0</v>
      </c>
      <c r="AB409" s="14">
        <v>46065</v>
      </c>
    </row>
    <row r="410" spans="1:28" ht="15.75" hidden="1" x14ac:dyDescent="0.25">
      <c r="A410" s="65">
        <v>46062</v>
      </c>
      <c r="B410" s="10" t="s">
        <v>465</v>
      </c>
      <c r="C410" s="10"/>
      <c r="D410" s="10" t="s">
        <v>383</v>
      </c>
      <c r="E410" s="10" t="s">
        <v>114</v>
      </c>
      <c r="F410" s="10">
        <v>10</v>
      </c>
      <c r="G410" s="10" t="s">
        <v>67</v>
      </c>
      <c r="H410" s="10">
        <v>50000</v>
      </c>
      <c r="I410" s="10">
        <f t="shared" si="87"/>
        <v>500000</v>
      </c>
      <c r="J410" s="29" t="s">
        <v>110</v>
      </c>
      <c r="K410" s="10"/>
      <c r="L410" s="12">
        <f t="shared" si="104"/>
        <v>0</v>
      </c>
      <c r="M410" s="12"/>
      <c r="N410" s="12"/>
      <c r="O410" s="12">
        <f t="shared" si="105"/>
        <v>500000</v>
      </c>
      <c r="P410" s="12">
        <v>500000</v>
      </c>
      <c r="Q410" s="12"/>
      <c r="R410" s="12">
        <f t="shared" si="106"/>
        <v>0</v>
      </c>
      <c r="S410" s="12"/>
      <c r="T410" s="12"/>
      <c r="U410" s="12">
        <f t="shared" si="107"/>
        <v>0</v>
      </c>
      <c r="V410" s="12"/>
      <c r="W410" s="12"/>
      <c r="X410" s="12">
        <f t="shared" si="108"/>
        <v>0</v>
      </c>
      <c r="Y410" s="12"/>
      <c r="Z410" s="12"/>
      <c r="AA410" s="13">
        <f t="shared" si="88"/>
        <v>0</v>
      </c>
      <c r="AB410" s="14">
        <v>46065</v>
      </c>
    </row>
    <row r="411" spans="1:28" ht="15.75" hidden="1" x14ac:dyDescent="0.25">
      <c r="A411" s="65">
        <v>46062</v>
      </c>
      <c r="B411" s="10" t="s">
        <v>462</v>
      </c>
      <c r="C411" s="10"/>
      <c r="D411" s="10" t="s">
        <v>383</v>
      </c>
      <c r="E411" s="10" t="s">
        <v>117</v>
      </c>
      <c r="F411" s="10">
        <v>10</v>
      </c>
      <c r="G411" s="10" t="s">
        <v>36</v>
      </c>
      <c r="H411" s="10">
        <v>70000</v>
      </c>
      <c r="I411" s="10">
        <f t="shared" si="87"/>
        <v>700000</v>
      </c>
      <c r="J411" s="29" t="s">
        <v>110</v>
      </c>
      <c r="K411" s="10"/>
      <c r="L411" s="12">
        <f t="shared" si="104"/>
        <v>0</v>
      </c>
      <c r="M411" s="12"/>
      <c r="N411" s="12"/>
      <c r="O411" s="12">
        <f t="shared" si="105"/>
        <v>700000</v>
      </c>
      <c r="P411" s="12">
        <v>700000</v>
      </c>
      <c r="Q411" s="12"/>
      <c r="R411" s="12">
        <f t="shared" si="106"/>
        <v>0</v>
      </c>
      <c r="S411" s="12"/>
      <c r="T411" s="12"/>
      <c r="U411" s="12">
        <f t="shared" si="107"/>
        <v>0</v>
      </c>
      <c r="V411" s="12"/>
      <c r="W411" s="12"/>
      <c r="X411" s="12">
        <f t="shared" si="108"/>
        <v>0</v>
      </c>
      <c r="Y411" s="12"/>
      <c r="Z411" s="12"/>
      <c r="AA411" s="13">
        <f t="shared" si="88"/>
        <v>0</v>
      </c>
      <c r="AB411" s="14">
        <v>46062</v>
      </c>
    </row>
    <row r="412" spans="1:28" ht="15.75" hidden="1" x14ac:dyDescent="0.25">
      <c r="A412" s="65">
        <v>46062</v>
      </c>
      <c r="B412" s="10" t="s">
        <v>462</v>
      </c>
      <c r="C412" s="10"/>
      <c r="D412" s="10" t="s">
        <v>383</v>
      </c>
      <c r="E412" s="10" t="s">
        <v>25</v>
      </c>
      <c r="F412" s="10">
        <v>2000</v>
      </c>
      <c r="G412" s="10" t="s">
        <v>26</v>
      </c>
      <c r="H412" s="10">
        <v>2700</v>
      </c>
      <c r="I412" s="10">
        <f t="shared" si="87"/>
        <v>5400000</v>
      </c>
      <c r="J412" s="29" t="s">
        <v>110</v>
      </c>
      <c r="K412" s="10"/>
      <c r="L412" s="12">
        <f t="shared" si="104"/>
        <v>0</v>
      </c>
      <c r="M412" s="12"/>
      <c r="N412" s="12"/>
      <c r="O412" s="12">
        <f t="shared" si="105"/>
        <v>5400000</v>
      </c>
      <c r="P412" s="12">
        <v>5400000</v>
      </c>
      <c r="Q412" s="12"/>
      <c r="R412" s="12">
        <f t="shared" si="106"/>
        <v>0</v>
      </c>
      <c r="S412" s="12"/>
      <c r="T412" s="12"/>
      <c r="U412" s="12">
        <f t="shared" si="107"/>
        <v>0</v>
      </c>
      <c r="V412" s="12"/>
      <c r="W412" s="12"/>
      <c r="X412" s="12">
        <f t="shared" si="108"/>
        <v>0</v>
      </c>
      <c r="Y412" s="12"/>
      <c r="Z412" s="12"/>
      <c r="AA412" s="13">
        <f t="shared" si="88"/>
        <v>0</v>
      </c>
      <c r="AB412" s="14">
        <v>46062</v>
      </c>
    </row>
    <row r="413" spans="1:28" ht="15.75" hidden="1" x14ac:dyDescent="0.25">
      <c r="A413" s="65">
        <v>46062</v>
      </c>
      <c r="B413" s="10" t="s">
        <v>467</v>
      </c>
      <c r="C413" s="10"/>
      <c r="D413" s="10" t="s">
        <v>195</v>
      </c>
      <c r="E413" s="10" t="s">
        <v>228</v>
      </c>
      <c r="F413" s="10">
        <v>1</v>
      </c>
      <c r="G413" s="10" t="s">
        <v>36</v>
      </c>
      <c r="H413" s="10">
        <v>300000</v>
      </c>
      <c r="I413" s="10">
        <f t="shared" si="87"/>
        <v>300000</v>
      </c>
      <c r="J413" s="29" t="s">
        <v>113</v>
      </c>
      <c r="K413" s="10"/>
      <c r="L413" s="12">
        <f t="shared" si="104"/>
        <v>0</v>
      </c>
      <c r="M413" s="12"/>
      <c r="N413" s="12"/>
      <c r="O413" s="12">
        <f t="shared" si="105"/>
        <v>0</v>
      </c>
      <c r="P413" s="12"/>
      <c r="Q413" s="12"/>
      <c r="R413" s="12">
        <f t="shared" si="106"/>
        <v>0</v>
      </c>
      <c r="S413" s="12"/>
      <c r="T413" s="12"/>
      <c r="U413" s="12">
        <f t="shared" si="107"/>
        <v>300000</v>
      </c>
      <c r="V413" s="12">
        <v>300000</v>
      </c>
      <c r="W413" s="12"/>
      <c r="X413" s="12">
        <f t="shared" si="108"/>
        <v>0</v>
      </c>
      <c r="Y413" s="12"/>
      <c r="Z413" s="12"/>
      <c r="AA413" s="13">
        <f t="shared" si="88"/>
        <v>0</v>
      </c>
      <c r="AB413" s="14">
        <v>46062</v>
      </c>
    </row>
    <row r="414" spans="1:28" ht="15.75" hidden="1" x14ac:dyDescent="0.25">
      <c r="A414" s="65">
        <v>46062</v>
      </c>
      <c r="B414" s="10" t="s">
        <v>467</v>
      </c>
      <c r="C414" s="10"/>
      <c r="D414" s="10" t="s">
        <v>195</v>
      </c>
      <c r="E414" s="10" t="s">
        <v>271</v>
      </c>
      <c r="F414" s="10">
        <v>1</v>
      </c>
      <c r="G414" s="10" t="s">
        <v>36</v>
      </c>
      <c r="H414" s="10">
        <v>170000</v>
      </c>
      <c r="I414" s="10">
        <f t="shared" si="87"/>
        <v>170000</v>
      </c>
      <c r="J414" s="29" t="s">
        <v>113</v>
      </c>
      <c r="K414" s="10"/>
      <c r="L414" s="12">
        <f t="shared" si="104"/>
        <v>0</v>
      </c>
      <c r="M414" s="12"/>
      <c r="N414" s="12"/>
      <c r="O414" s="12">
        <f t="shared" si="105"/>
        <v>0</v>
      </c>
      <c r="P414" s="12"/>
      <c r="Q414" s="12"/>
      <c r="R414" s="12">
        <f t="shared" si="106"/>
        <v>0</v>
      </c>
      <c r="S414" s="12"/>
      <c r="T414" s="12"/>
      <c r="U414" s="12">
        <f t="shared" si="107"/>
        <v>170000</v>
      </c>
      <c r="V414" s="12">
        <v>170000</v>
      </c>
      <c r="W414" s="12"/>
      <c r="X414" s="12">
        <f t="shared" si="108"/>
        <v>0</v>
      </c>
      <c r="Y414" s="12"/>
      <c r="Z414" s="12"/>
      <c r="AA414" s="13">
        <f t="shared" si="88"/>
        <v>0</v>
      </c>
      <c r="AB414" s="14">
        <v>46062</v>
      </c>
    </row>
    <row r="415" spans="1:28" ht="15.75" hidden="1" x14ac:dyDescent="0.25">
      <c r="A415" s="65">
        <v>46062</v>
      </c>
      <c r="B415" s="10" t="s">
        <v>467</v>
      </c>
      <c r="C415" s="10"/>
      <c r="D415" s="10" t="s">
        <v>195</v>
      </c>
      <c r="E415" s="10" t="s">
        <v>116</v>
      </c>
      <c r="F415" s="10">
        <v>12</v>
      </c>
      <c r="G415" s="10" t="s">
        <v>67</v>
      </c>
      <c r="H415" s="10">
        <v>65000</v>
      </c>
      <c r="I415" s="10">
        <f t="shared" si="87"/>
        <v>780000</v>
      </c>
      <c r="J415" s="29" t="s">
        <v>113</v>
      </c>
      <c r="K415" s="10"/>
      <c r="L415" s="12">
        <f t="shared" si="104"/>
        <v>0</v>
      </c>
      <c r="M415" s="12"/>
      <c r="N415" s="12"/>
      <c r="O415" s="12">
        <f t="shared" si="105"/>
        <v>0</v>
      </c>
      <c r="P415" s="12"/>
      <c r="Q415" s="12"/>
      <c r="R415" s="12">
        <f t="shared" si="106"/>
        <v>0</v>
      </c>
      <c r="S415" s="12"/>
      <c r="T415" s="12"/>
      <c r="U415" s="12">
        <f t="shared" si="107"/>
        <v>780000</v>
      </c>
      <c r="V415" s="12">
        <v>780000</v>
      </c>
      <c r="W415" s="12"/>
      <c r="X415" s="12">
        <f t="shared" si="108"/>
        <v>0</v>
      </c>
      <c r="Y415" s="12"/>
      <c r="Z415" s="12"/>
      <c r="AA415" s="13">
        <f t="shared" si="88"/>
        <v>0</v>
      </c>
      <c r="AB415" s="14">
        <v>46062</v>
      </c>
    </row>
    <row r="416" spans="1:28" ht="15.75" hidden="1" x14ac:dyDescent="0.25">
      <c r="A416" s="65">
        <v>46062</v>
      </c>
      <c r="B416" s="10" t="s">
        <v>467</v>
      </c>
      <c r="C416" s="10"/>
      <c r="D416" s="10" t="s">
        <v>195</v>
      </c>
      <c r="E416" s="10" t="s">
        <v>160</v>
      </c>
      <c r="F416" s="10">
        <v>2</v>
      </c>
      <c r="G416" s="10" t="s">
        <v>22</v>
      </c>
      <c r="H416" s="10">
        <v>400000</v>
      </c>
      <c r="I416" s="10">
        <f t="shared" si="87"/>
        <v>800000</v>
      </c>
      <c r="J416" s="29" t="s">
        <v>113</v>
      </c>
      <c r="K416" s="10"/>
      <c r="L416" s="12">
        <f t="shared" si="104"/>
        <v>0</v>
      </c>
      <c r="M416" s="12"/>
      <c r="N416" s="12"/>
      <c r="O416" s="12">
        <f t="shared" si="105"/>
        <v>0</v>
      </c>
      <c r="P416" s="12"/>
      <c r="Q416" s="12"/>
      <c r="R416" s="12">
        <f t="shared" si="106"/>
        <v>0</v>
      </c>
      <c r="S416" s="12"/>
      <c r="T416" s="12"/>
      <c r="U416" s="12">
        <f t="shared" si="107"/>
        <v>800000</v>
      </c>
      <c r="V416" s="12">
        <v>800000</v>
      </c>
      <c r="W416" s="12"/>
      <c r="X416" s="12">
        <f t="shared" si="108"/>
        <v>0</v>
      </c>
      <c r="Y416" s="12"/>
      <c r="Z416" s="12"/>
      <c r="AA416" s="13">
        <f t="shared" si="88"/>
        <v>0</v>
      </c>
      <c r="AB416" s="14">
        <v>46062</v>
      </c>
    </row>
    <row r="417" spans="1:28" ht="15.75" hidden="1" x14ac:dyDescent="0.25">
      <c r="A417" s="65">
        <v>46062</v>
      </c>
      <c r="B417" s="10" t="s">
        <v>467</v>
      </c>
      <c r="C417" s="10"/>
      <c r="D417" s="10" t="s">
        <v>195</v>
      </c>
      <c r="E417" s="10" t="s">
        <v>38</v>
      </c>
      <c r="F417" s="10">
        <v>10</v>
      </c>
      <c r="G417" s="10" t="s">
        <v>39</v>
      </c>
      <c r="H417" s="10">
        <v>45000</v>
      </c>
      <c r="I417" s="10">
        <f t="shared" si="87"/>
        <v>450000</v>
      </c>
      <c r="J417" s="29" t="s">
        <v>113</v>
      </c>
      <c r="K417" s="10"/>
      <c r="L417" s="12">
        <f t="shared" si="104"/>
        <v>0</v>
      </c>
      <c r="M417" s="12"/>
      <c r="N417" s="12"/>
      <c r="O417" s="12">
        <f t="shared" si="105"/>
        <v>0</v>
      </c>
      <c r="P417" s="12"/>
      <c r="Q417" s="12"/>
      <c r="R417" s="12">
        <f t="shared" si="106"/>
        <v>0</v>
      </c>
      <c r="S417" s="12"/>
      <c r="T417" s="12"/>
      <c r="U417" s="12">
        <f t="shared" si="107"/>
        <v>450000</v>
      </c>
      <c r="V417" s="12">
        <v>450000</v>
      </c>
      <c r="W417" s="12"/>
      <c r="X417" s="12">
        <f t="shared" si="108"/>
        <v>0</v>
      </c>
      <c r="Y417" s="12"/>
      <c r="Z417" s="12"/>
      <c r="AA417" s="13">
        <f t="shared" si="88"/>
        <v>0</v>
      </c>
      <c r="AB417" s="14">
        <v>46062</v>
      </c>
    </row>
    <row r="418" spans="1:28" ht="15.75" hidden="1" x14ac:dyDescent="0.25">
      <c r="A418" s="65">
        <v>46062</v>
      </c>
      <c r="B418" s="10" t="s">
        <v>395</v>
      </c>
      <c r="C418" s="10"/>
      <c r="D418" s="10" t="s">
        <v>383</v>
      </c>
      <c r="E418" s="10" t="s">
        <v>104</v>
      </c>
      <c r="F418" s="10">
        <v>1600</v>
      </c>
      <c r="G418" s="10" t="s">
        <v>26</v>
      </c>
      <c r="H418" s="10">
        <v>2000</v>
      </c>
      <c r="I418" s="10">
        <f t="shared" si="87"/>
        <v>3200000</v>
      </c>
      <c r="J418" s="29" t="s">
        <v>110</v>
      </c>
      <c r="K418" s="10"/>
      <c r="L418" s="12">
        <f t="shared" si="104"/>
        <v>0</v>
      </c>
      <c r="M418" s="12"/>
      <c r="N418" s="12"/>
      <c r="O418" s="12">
        <f t="shared" si="105"/>
        <v>3200000</v>
      </c>
      <c r="P418" s="12">
        <v>1600000</v>
      </c>
      <c r="Q418" s="12">
        <v>1600000</v>
      </c>
      <c r="R418" s="12">
        <f t="shared" si="106"/>
        <v>0</v>
      </c>
      <c r="S418" s="12"/>
      <c r="T418" s="12"/>
      <c r="U418" s="12">
        <f t="shared" si="107"/>
        <v>0</v>
      </c>
      <c r="V418" s="12"/>
      <c r="W418" s="12"/>
      <c r="X418" s="12">
        <f t="shared" si="108"/>
        <v>0</v>
      </c>
      <c r="Y418" s="12"/>
      <c r="Z418" s="12"/>
      <c r="AA418" s="13">
        <f t="shared" si="88"/>
        <v>0</v>
      </c>
      <c r="AB418" s="14">
        <v>46062</v>
      </c>
    </row>
    <row r="419" spans="1:28" ht="15.75" hidden="1" x14ac:dyDescent="0.25">
      <c r="A419" s="65">
        <v>46062</v>
      </c>
      <c r="B419" s="10" t="s">
        <v>267</v>
      </c>
      <c r="C419" s="10"/>
      <c r="D419" s="10" t="s">
        <v>383</v>
      </c>
      <c r="E419" s="10" t="s">
        <v>104</v>
      </c>
      <c r="F419" s="10">
        <v>400</v>
      </c>
      <c r="G419" s="10" t="s">
        <v>26</v>
      </c>
      <c r="H419" s="10">
        <v>2000</v>
      </c>
      <c r="I419" s="10">
        <f t="shared" si="87"/>
        <v>800000</v>
      </c>
      <c r="J419" s="29" t="s">
        <v>113</v>
      </c>
      <c r="K419" s="10"/>
      <c r="L419" s="12">
        <f t="shared" si="104"/>
        <v>800000</v>
      </c>
      <c r="M419" s="12">
        <v>800000</v>
      </c>
      <c r="N419" s="12"/>
      <c r="O419" s="12">
        <f t="shared" si="105"/>
        <v>0</v>
      </c>
      <c r="P419" s="12"/>
      <c r="Q419" s="12"/>
      <c r="R419" s="12">
        <f t="shared" si="106"/>
        <v>0</v>
      </c>
      <c r="S419" s="12"/>
      <c r="T419" s="12"/>
      <c r="U419" s="12">
        <f t="shared" si="107"/>
        <v>0</v>
      </c>
      <c r="V419" s="12"/>
      <c r="W419" s="12"/>
      <c r="X419" s="12">
        <f t="shared" si="108"/>
        <v>0</v>
      </c>
      <c r="Y419" s="12"/>
      <c r="Z419" s="12"/>
      <c r="AA419" s="13">
        <f t="shared" si="88"/>
        <v>0</v>
      </c>
      <c r="AB419" s="14">
        <v>46062</v>
      </c>
    </row>
    <row r="420" spans="1:28" ht="15.75" hidden="1" x14ac:dyDescent="0.25">
      <c r="A420" s="65">
        <v>46062</v>
      </c>
      <c r="B420" s="10" t="s">
        <v>267</v>
      </c>
      <c r="C420" s="10"/>
      <c r="D420" s="10" t="s">
        <v>383</v>
      </c>
      <c r="E420" s="10" t="s">
        <v>300</v>
      </c>
      <c r="F420" s="10">
        <v>2</v>
      </c>
      <c r="G420" s="10" t="s">
        <v>61</v>
      </c>
      <c r="H420" s="10">
        <v>150000</v>
      </c>
      <c r="I420" s="10">
        <f t="shared" si="87"/>
        <v>300000</v>
      </c>
      <c r="J420" s="29" t="s">
        <v>113</v>
      </c>
      <c r="K420" s="10"/>
      <c r="L420" s="12">
        <f t="shared" si="104"/>
        <v>300000</v>
      </c>
      <c r="M420" s="12">
        <v>300000</v>
      </c>
      <c r="N420" s="12"/>
      <c r="O420" s="12">
        <f t="shared" si="105"/>
        <v>0</v>
      </c>
      <c r="P420" s="12"/>
      <c r="Q420" s="12"/>
      <c r="R420" s="12">
        <f t="shared" si="106"/>
        <v>0</v>
      </c>
      <c r="S420" s="12"/>
      <c r="T420" s="12"/>
      <c r="U420" s="12">
        <f t="shared" si="107"/>
        <v>0</v>
      </c>
      <c r="V420" s="12"/>
      <c r="W420" s="12"/>
      <c r="X420" s="12">
        <f t="shared" si="108"/>
        <v>0</v>
      </c>
      <c r="Y420" s="12"/>
      <c r="Z420" s="12"/>
      <c r="AA420" s="13">
        <f t="shared" si="88"/>
        <v>0</v>
      </c>
      <c r="AB420" s="14">
        <v>46062</v>
      </c>
    </row>
    <row r="421" spans="1:28" ht="15.75" hidden="1" x14ac:dyDescent="0.25">
      <c r="A421" s="65">
        <v>46062</v>
      </c>
      <c r="B421" s="10" t="s">
        <v>267</v>
      </c>
      <c r="C421" s="10"/>
      <c r="D421" s="10" t="s">
        <v>383</v>
      </c>
      <c r="E421" s="10" t="s">
        <v>164</v>
      </c>
      <c r="F421" s="10">
        <v>16.2</v>
      </c>
      <c r="G421" s="10" t="s">
        <v>36</v>
      </c>
      <c r="H421" s="10">
        <v>43000</v>
      </c>
      <c r="I421" s="10">
        <f t="shared" si="87"/>
        <v>696600</v>
      </c>
      <c r="J421" s="29" t="s">
        <v>113</v>
      </c>
      <c r="K421" s="10"/>
      <c r="L421" s="12">
        <f t="shared" si="104"/>
        <v>696600</v>
      </c>
      <c r="M421" s="12">
        <v>696600</v>
      </c>
      <c r="N421" s="12"/>
      <c r="O421" s="12">
        <f t="shared" si="105"/>
        <v>0</v>
      </c>
      <c r="P421" s="12"/>
      <c r="Q421" s="12"/>
      <c r="R421" s="12">
        <f t="shared" si="106"/>
        <v>0</v>
      </c>
      <c r="S421" s="12"/>
      <c r="T421" s="12"/>
      <c r="U421" s="12">
        <f t="shared" si="107"/>
        <v>0</v>
      </c>
      <c r="V421" s="12"/>
      <c r="W421" s="12"/>
      <c r="X421" s="12">
        <f t="shared" si="108"/>
        <v>0</v>
      </c>
      <c r="Y421" s="12"/>
      <c r="Z421" s="12"/>
      <c r="AA421" s="13">
        <f t="shared" si="88"/>
        <v>0</v>
      </c>
      <c r="AB421" s="14">
        <v>46062</v>
      </c>
    </row>
    <row r="422" spans="1:28" ht="15.75" hidden="1" x14ac:dyDescent="0.25">
      <c r="A422" s="65">
        <v>46062</v>
      </c>
      <c r="B422" s="10" t="s">
        <v>297</v>
      </c>
      <c r="C422" s="10"/>
      <c r="D422" s="10" t="s">
        <v>383</v>
      </c>
      <c r="E422" s="10" t="s">
        <v>119</v>
      </c>
      <c r="F422" s="10">
        <v>25</v>
      </c>
      <c r="G422" s="10" t="s">
        <v>36</v>
      </c>
      <c r="H422" s="10">
        <v>180000</v>
      </c>
      <c r="I422" s="10">
        <f t="shared" si="87"/>
        <v>4500000</v>
      </c>
      <c r="J422" s="52" t="s">
        <v>30</v>
      </c>
      <c r="K422" s="10"/>
      <c r="L422" s="12">
        <f t="shared" si="104"/>
        <v>0</v>
      </c>
      <c r="M422" s="12"/>
      <c r="N422" s="12"/>
      <c r="O422" s="12">
        <f t="shared" si="105"/>
        <v>0</v>
      </c>
      <c r="P422" s="12"/>
      <c r="Q422" s="12"/>
      <c r="R422" s="12">
        <f t="shared" si="106"/>
        <v>0</v>
      </c>
      <c r="S422" s="12"/>
      <c r="T422" s="12"/>
      <c r="U422" s="12">
        <f t="shared" si="107"/>
        <v>45000</v>
      </c>
      <c r="V422" s="12">
        <v>45000</v>
      </c>
      <c r="W422" s="12"/>
      <c r="X422" s="12">
        <f t="shared" si="108"/>
        <v>0</v>
      </c>
      <c r="Y422" s="12"/>
      <c r="Z422" s="12"/>
      <c r="AA422" s="13">
        <f t="shared" si="88"/>
        <v>4455000</v>
      </c>
      <c r="AB422" s="14">
        <v>46062</v>
      </c>
    </row>
    <row r="423" spans="1:28" ht="15.75" hidden="1" x14ac:dyDescent="0.25">
      <c r="A423" s="65">
        <v>46062</v>
      </c>
      <c r="B423" s="10" t="s">
        <v>396</v>
      </c>
      <c r="C423" s="10"/>
      <c r="D423" s="10" t="s">
        <v>383</v>
      </c>
      <c r="E423" s="10" t="s">
        <v>116</v>
      </c>
      <c r="F423" s="10">
        <v>4</v>
      </c>
      <c r="G423" s="10" t="s">
        <v>67</v>
      </c>
      <c r="H423" s="10">
        <v>65000</v>
      </c>
      <c r="I423" s="10">
        <f t="shared" si="87"/>
        <v>260000</v>
      </c>
      <c r="J423" s="29" t="s">
        <v>113</v>
      </c>
      <c r="K423" s="10"/>
      <c r="L423" s="12">
        <f t="shared" si="104"/>
        <v>260000</v>
      </c>
      <c r="M423" s="12">
        <v>260000</v>
      </c>
      <c r="N423" s="12"/>
      <c r="O423" s="12">
        <f t="shared" si="105"/>
        <v>0</v>
      </c>
      <c r="P423" s="12"/>
      <c r="Q423" s="12"/>
      <c r="R423" s="12">
        <f t="shared" si="106"/>
        <v>0</v>
      </c>
      <c r="S423" s="12"/>
      <c r="T423" s="12"/>
      <c r="U423" s="12">
        <f t="shared" si="107"/>
        <v>0</v>
      </c>
      <c r="V423" s="12"/>
      <c r="W423" s="12"/>
      <c r="X423" s="12">
        <f t="shared" si="108"/>
        <v>0</v>
      </c>
      <c r="Y423" s="12"/>
      <c r="Z423" s="12"/>
      <c r="AA423" s="13">
        <f t="shared" si="88"/>
        <v>0</v>
      </c>
      <c r="AB423" s="14">
        <v>46062</v>
      </c>
    </row>
    <row r="424" spans="1:28" ht="15.75" hidden="1" x14ac:dyDescent="0.25">
      <c r="A424" s="65">
        <v>46062</v>
      </c>
      <c r="B424" s="10" t="s">
        <v>55</v>
      </c>
      <c r="C424" s="10"/>
      <c r="D424" s="10" t="s">
        <v>383</v>
      </c>
      <c r="E424" s="10" t="s">
        <v>104</v>
      </c>
      <c r="F424" s="10">
        <v>2000</v>
      </c>
      <c r="G424" s="10" t="s">
        <v>26</v>
      </c>
      <c r="H424" s="10">
        <v>1900</v>
      </c>
      <c r="I424" s="10">
        <f t="shared" si="87"/>
        <v>3800000</v>
      </c>
      <c r="J424" s="29" t="s">
        <v>110</v>
      </c>
      <c r="K424" s="10"/>
      <c r="L424" s="12">
        <f t="shared" si="104"/>
        <v>0</v>
      </c>
      <c r="M424" s="12"/>
      <c r="N424" s="12"/>
      <c r="O424" s="12">
        <f t="shared" si="105"/>
        <v>3800000</v>
      </c>
      <c r="P424" s="12">
        <v>3800000</v>
      </c>
      <c r="Q424" s="12"/>
      <c r="R424" s="12">
        <f t="shared" si="106"/>
        <v>0</v>
      </c>
      <c r="S424" s="12"/>
      <c r="T424" s="12"/>
      <c r="U424" s="12">
        <f t="shared" si="107"/>
        <v>0</v>
      </c>
      <c r="V424" s="12"/>
      <c r="W424" s="12"/>
      <c r="X424" s="12">
        <f t="shared" si="108"/>
        <v>0</v>
      </c>
      <c r="Y424" s="12"/>
      <c r="Z424" s="12"/>
      <c r="AA424" s="13">
        <f t="shared" si="88"/>
        <v>0</v>
      </c>
      <c r="AB424" s="14">
        <v>46069</v>
      </c>
    </row>
    <row r="425" spans="1:28" ht="15.75" hidden="1" x14ac:dyDescent="0.25">
      <c r="A425" s="65">
        <v>46062</v>
      </c>
      <c r="B425" s="10" t="s">
        <v>256</v>
      </c>
      <c r="C425" s="10"/>
      <c r="D425" s="10" t="s">
        <v>383</v>
      </c>
      <c r="E425" s="10" t="s">
        <v>371</v>
      </c>
      <c r="F425" s="10">
        <v>60</v>
      </c>
      <c r="G425" s="10" t="s">
        <v>67</v>
      </c>
      <c r="H425" s="10">
        <v>50000</v>
      </c>
      <c r="I425" s="10">
        <f t="shared" si="87"/>
        <v>3000000</v>
      </c>
      <c r="J425" s="52" t="s">
        <v>30</v>
      </c>
      <c r="K425" s="10"/>
      <c r="L425" s="12">
        <f t="shared" si="104"/>
        <v>0</v>
      </c>
      <c r="M425" s="12"/>
      <c r="N425" s="12"/>
      <c r="O425" s="12">
        <f t="shared" si="105"/>
        <v>0</v>
      </c>
      <c r="P425" s="12"/>
      <c r="Q425" s="12"/>
      <c r="R425" s="12">
        <f t="shared" si="106"/>
        <v>0</v>
      </c>
      <c r="S425" s="12"/>
      <c r="T425" s="12"/>
      <c r="U425" s="12">
        <f t="shared" si="107"/>
        <v>0</v>
      </c>
      <c r="V425" s="12"/>
      <c r="W425" s="12"/>
      <c r="X425" s="12">
        <f t="shared" si="108"/>
        <v>0</v>
      </c>
      <c r="Y425" s="12"/>
      <c r="Z425" s="12"/>
      <c r="AA425" s="13">
        <f t="shared" si="88"/>
        <v>3000000</v>
      </c>
      <c r="AB425" s="14"/>
    </row>
    <row r="426" spans="1:28" ht="15.75" hidden="1" x14ac:dyDescent="0.25">
      <c r="A426" s="65">
        <v>46062</v>
      </c>
      <c r="B426" s="10" t="s">
        <v>468</v>
      </c>
      <c r="C426" s="10"/>
      <c r="D426" s="10" t="s">
        <v>195</v>
      </c>
      <c r="E426" s="10" t="s">
        <v>214</v>
      </c>
      <c r="F426" s="10">
        <v>100</v>
      </c>
      <c r="G426" s="10" t="s">
        <v>39</v>
      </c>
      <c r="H426" s="10">
        <v>1700</v>
      </c>
      <c r="I426" s="10">
        <f t="shared" si="87"/>
        <v>170000</v>
      </c>
      <c r="J426" s="29" t="s">
        <v>113</v>
      </c>
      <c r="K426" s="10"/>
      <c r="L426" s="12">
        <f t="shared" si="104"/>
        <v>0</v>
      </c>
      <c r="M426" s="12"/>
      <c r="N426" s="12"/>
      <c r="O426" s="12">
        <f t="shared" si="105"/>
        <v>0</v>
      </c>
      <c r="P426" s="12"/>
      <c r="Q426" s="12"/>
      <c r="R426" s="12">
        <f t="shared" si="106"/>
        <v>0</v>
      </c>
      <c r="S426" s="12"/>
      <c r="T426" s="12"/>
      <c r="U426" s="12">
        <f t="shared" si="107"/>
        <v>170000</v>
      </c>
      <c r="V426" s="12">
        <v>170000</v>
      </c>
      <c r="W426" s="12"/>
      <c r="X426" s="12">
        <f t="shared" si="108"/>
        <v>0</v>
      </c>
      <c r="Y426" s="12"/>
      <c r="Z426" s="12"/>
      <c r="AA426" s="13">
        <f t="shared" si="88"/>
        <v>0</v>
      </c>
      <c r="AB426" s="14">
        <v>46062</v>
      </c>
    </row>
    <row r="427" spans="1:28" ht="15.75" hidden="1" x14ac:dyDescent="0.25">
      <c r="A427" s="65">
        <v>46062</v>
      </c>
      <c r="B427" s="10" t="s">
        <v>122</v>
      </c>
      <c r="C427" s="10"/>
      <c r="D427" s="10" t="s">
        <v>383</v>
      </c>
      <c r="E427" s="10" t="s">
        <v>116</v>
      </c>
      <c r="F427" s="10">
        <v>12</v>
      </c>
      <c r="G427" s="10" t="s">
        <v>67</v>
      </c>
      <c r="H427" s="10">
        <v>65000</v>
      </c>
      <c r="I427" s="10">
        <f t="shared" si="87"/>
        <v>780000</v>
      </c>
      <c r="J427" s="52" t="s">
        <v>30</v>
      </c>
      <c r="K427" s="10"/>
      <c r="L427" s="12">
        <f t="shared" si="104"/>
        <v>0</v>
      </c>
      <c r="M427" s="12"/>
      <c r="N427" s="12"/>
      <c r="O427" s="12">
        <f t="shared" si="105"/>
        <v>0</v>
      </c>
      <c r="P427" s="12"/>
      <c r="Q427" s="12"/>
      <c r="R427" s="12">
        <f t="shared" si="106"/>
        <v>0</v>
      </c>
      <c r="S427" s="12"/>
      <c r="T427" s="12"/>
      <c r="U427" s="12">
        <f t="shared" si="107"/>
        <v>0</v>
      </c>
      <c r="V427" s="12"/>
      <c r="W427" s="12"/>
      <c r="X427" s="12">
        <f t="shared" si="108"/>
        <v>0</v>
      </c>
      <c r="Y427" s="12"/>
      <c r="Z427" s="12"/>
      <c r="AA427" s="13">
        <f t="shared" si="88"/>
        <v>780000</v>
      </c>
      <c r="AB427" s="14"/>
    </row>
    <row r="428" spans="1:28" ht="15.75" x14ac:dyDescent="0.25">
      <c r="A428" s="65">
        <v>46062</v>
      </c>
      <c r="B428" s="10" t="s">
        <v>272</v>
      </c>
      <c r="C428" s="10"/>
      <c r="D428" s="10"/>
      <c r="E428" s="10" t="s">
        <v>443</v>
      </c>
      <c r="F428" s="10">
        <v>28.6</v>
      </c>
      <c r="G428" s="10" t="s">
        <v>36</v>
      </c>
      <c r="H428" s="10">
        <v>43000</v>
      </c>
      <c r="I428" s="10">
        <f t="shared" si="87"/>
        <v>1229800</v>
      </c>
      <c r="J428" s="115" t="s">
        <v>90</v>
      </c>
      <c r="K428" s="10"/>
      <c r="L428" s="12">
        <f t="shared" ref="L428:L431" si="109">M428+N428</f>
        <v>0</v>
      </c>
      <c r="M428" s="12"/>
      <c r="N428" s="12"/>
      <c r="O428" s="12">
        <f t="shared" ref="O428:O431" si="110">P428+Q428</f>
        <v>0</v>
      </c>
      <c r="P428" s="12"/>
      <c r="Q428" s="12"/>
      <c r="R428" s="12">
        <f t="shared" ref="R428:R431" si="111">S428+T428</f>
        <v>0</v>
      </c>
      <c r="S428" s="12"/>
      <c r="T428" s="12"/>
      <c r="U428" s="12">
        <f t="shared" ref="U428:U431" si="112">V428+W428</f>
        <v>0</v>
      </c>
      <c r="V428" s="12"/>
      <c r="W428" s="12"/>
      <c r="X428" s="12">
        <f t="shared" ref="X428:X431" si="113">Y428+Z428</f>
        <v>0</v>
      </c>
      <c r="Y428" s="12"/>
      <c r="Z428" s="12"/>
      <c r="AA428" s="13">
        <f t="shared" si="88"/>
        <v>1229800</v>
      </c>
      <c r="AB428" s="14"/>
    </row>
    <row r="429" spans="1:28" ht="15.75" x14ac:dyDescent="0.25">
      <c r="A429" s="65">
        <v>46062</v>
      </c>
      <c r="B429" s="10" t="s">
        <v>272</v>
      </c>
      <c r="C429" s="10"/>
      <c r="D429" s="10"/>
      <c r="E429" s="10" t="s">
        <v>306</v>
      </c>
      <c r="F429" s="10">
        <v>57.3</v>
      </c>
      <c r="G429" s="10" t="s">
        <v>36</v>
      </c>
      <c r="H429" s="10">
        <v>43000</v>
      </c>
      <c r="I429" s="10">
        <f t="shared" si="87"/>
        <v>2463900</v>
      </c>
      <c r="J429" s="86" t="s">
        <v>30</v>
      </c>
      <c r="K429" s="10"/>
      <c r="L429" s="12">
        <f t="shared" si="109"/>
        <v>0</v>
      </c>
      <c r="M429" s="12"/>
      <c r="N429" s="12"/>
      <c r="O429" s="12">
        <f t="shared" si="110"/>
        <v>0</v>
      </c>
      <c r="P429" s="12"/>
      <c r="Q429" s="12"/>
      <c r="R429" s="12">
        <f t="shared" si="111"/>
        <v>0</v>
      </c>
      <c r="S429" s="12"/>
      <c r="T429" s="12"/>
      <c r="U429" s="12">
        <f t="shared" si="112"/>
        <v>0</v>
      </c>
      <c r="V429" s="12"/>
      <c r="W429" s="12"/>
      <c r="X429" s="12">
        <f t="shared" si="113"/>
        <v>0</v>
      </c>
      <c r="Y429" s="12"/>
      <c r="Z429" s="12"/>
      <c r="AA429" s="13">
        <f t="shared" si="88"/>
        <v>2463900</v>
      </c>
      <c r="AB429" s="14"/>
    </row>
    <row r="430" spans="1:28" ht="15.75" x14ac:dyDescent="0.25">
      <c r="A430" s="28">
        <v>46062</v>
      </c>
      <c r="B430" s="10" t="s">
        <v>272</v>
      </c>
      <c r="C430" s="10"/>
      <c r="D430" s="10"/>
      <c r="E430" s="10" t="s">
        <v>92</v>
      </c>
      <c r="F430" s="10">
        <v>33.799999999999997</v>
      </c>
      <c r="G430" s="10" t="s">
        <v>36</v>
      </c>
      <c r="H430" s="10">
        <v>43000</v>
      </c>
      <c r="I430" s="10">
        <f t="shared" si="87"/>
        <v>1453399.9999999998</v>
      </c>
      <c r="J430" s="86" t="s">
        <v>30</v>
      </c>
      <c r="K430" s="10"/>
      <c r="L430" s="12">
        <f t="shared" si="109"/>
        <v>0</v>
      </c>
      <c r="M430" s="12"/>
      <c r="N430" s="12"/>
      <c r="O430" s="12">
        <f t="shared" si="110"/>
        <v>0</v>
      </c>
      <c r="P430" s="12"/>
      <c r="Q430" s="12"/>
      <c r="R430" s="12">
        <f t="shared" si="111"/>
        <v>0</v>
      </c>
      <c r="S430" s="12"/>
      <c r="T430" s="12"/>
      <c r="U430" s="12">
        <f t="shared" si="112"/>
        <v>0</v>
      </c>
      <c r="V430" s="12"/>
      <c r="W430" s="12"/>
      <c r="X430" s="12">
        <f t="shared" si="113"/>
        <v>0</v>
      </c>
      <c r="Y430" s="12"/>
      <c r="Z430" s="12"/>
      <c r="AA430" s="13">
        <f t="shared" si="88"/>
        <v>1453399.9999999998</v>
      </c>
      <c r="AB430" s="14"/>
    </row>
    <row r="431" spans="1:28" ht="16.5" thickBot="1" x14ac:dyDescent="0.3">
      <c r="A431" s="53">
        <v>46062</v>
      </c>
      <c r="B431" s="31" t="s">
        <v>272</v>
      </c>
      <c r="C431" s="31"/>
      <c r="D431" s="31"/>
      <c r="E431" s="31" t="s">
        <v>229</v>
      </c>
      <c r="F431" s="31">
        <v>14.3</v>
      </c>
      <c r="G431" s="31" t="s">
        <v>36</v>
      </c>
      <c r="H431" s="31">
        <v>43000</v>
      </c>
      <c r="I431" s="31">
        <f t="shared" si="87"/>
        <v>614900</v>
      </c>
      <c r="J431" s="116" t="s">
        <v>90</v>
      </c>
      <c r="K431" s="31"/>
      <c r="L431" s="34">
        <f t="shared" si="109"/>
        <v>0</v>
      </c>
      <c r="M431" s="34"/>
      <c r="N431" s="34"/>
      <c r="O431" s="34">
        <f t="shared" si="110"/>
        <v>0</v>
      </c>
      <c r="P431" s="34"/>
      <c r="Q431" s="34"/>
      <c r="R431" s="34">
        <f t="shared" si="111"/>
        <v>0</v>
      </c>
      <c r="S431" s="34"/>
      <c r="T431" s="34"/>
      <c r="U431" s="34">
        <f t="shared" si="112"/>
        <v>0</v>
      </c>
      <c r="V431" s="34"/>
      <c r="W431" s="34"/>
      <c r="X431" s="34">
        <f t="shared" si="113"/>
        <v>0</v>
      </c>
      <c r="Y431" s="34"/>
      <c r="Z431" s="34"/>
      <c r="AA431" s="35">
        <f t="shared" si="88"/>
        <v>614900</v>
      </c>
      <c r="AB431" s="36"/>
    </row>
    <row r="432" spans="1:28" ht="15.75" hidden="1" x14ac:dyDescent="0.25">
      <c r="A432" s="65">
        <v>46063</v>
      </c>
      <c r="B432" s="66" t="s">
        <v>109</v>
      </c>
      <c r="C432" s="66"/>
      <c r="D432" s="66" t="s">
        <v>383</v>
      </c>
      <c r="E432" s="66" t="s">
        <v>139</v>
      </c>
      <c r="F432" s="66">
        <v>19.600000000000001</v>
      </c>
      <c r="G432" s="66" t="s">
        <v>36</v>
      </c>
      <c r="H432" s="66">
        <v>43000</v>
      </c>
      <c r="I432" s="45">
        <f t="shared" si="87"/>
        <v>842800.00000000012</v>
      </c>
      <c r="J432" s="84" t="s">
        <v>113</v>
      </c>
      <c r="K432" s="45"/>
      <c r="L432" s="48">
        <f t="shared" ref="L432" si="114">M432+N432</f>
        <v>0</v>
      </c>
      <c r="M432" s="48"/>
      <c r="N432" s="48"/>
      <c r="O432" s="48">
        <f t="shared" ref="O432" si="115">P432+Q432</f>
        <v>0</v>
      </c>
      <c r="P432" s="48"/>
      <c r="Q432" s="48"/>
      <c r="R432" s="48">
        <f t="shared" ref="R432" si="116">S432+T432</f>
        <v>0</v>
      </c>
      <c r="S432" s="48"/>
      <c r="T432" s="48"/>
      <c r="U432" s="48">
        <f t="shared" ref="U432" si="117">V432+W432</f>
        <v>842800</v>
      </c>
      <c r="V432" s="48">
        <v>842800</v>
      </c>
      <c r="W432" s="48"/>
      <c r="X432" s="48">
        <f t="shared" ref="X432" si="118">Y432+Z432</f>
        <v>0</v>
      </c>
      <c r="Y432" s="48"/>
      <c r="Z432" s="48"/>
      <c r="AA432" s="49">
        <f t="shared" si="88"/>
        <v>1.1641532182693481E-10</v>
      </c>
      <c r="AB432" s="50">
        <v>46064</v>
      </c>
    </row>
    <row r="433" spans="1:28" ht="15.75" hidden="1" x14ac:dyDescent="0.25">
      <c r="A433" s="65">
        <v>46063</v>
      </c>
      <c r="B433" s="10" t="s">
        <v>280</v>
      </c>
      <c r="C433" s="10"/>
      <c r="D433" s="10" t="s">
        <v>195</v>
      </c>
      <c r="E433" s="10" t="s">
        <v>161</v>
      </c>
      <c r="F433" s="10">
        <v>2</v>
      </c>
      <c r="G433" s="10" t="s">
        <v>61</v>
      </c>
      <c r="H433" s="10">
        <v>230000</v>
      </c>
      <c r="I433" s="10">
        <f t="shared" si="87"/>
        <v>460000</v>
      </c>
      <c r="J433" s="29" t="s">
        <v>113</v>
      </c>
      <c r="K433" s="10"/>
      <c r="L433" s="12">
        <f t="shared" ref="L433:L454" si="119">M433+N433</f>
        <v>0</v>
      </c>
      <c r="M433" s="12"/>
      <c r="N433" s="12"/>
      <c r="O433" s="12">
        <f t="shared" ref="O433:O454" si="120">P433+Q433</f>
        <v>0</v>
      </c>
      <c r="P433" s="12"/>
      <c r="Q433" s="12"/>
      <c r="R433" s="12">
        <f t="shared" ref="R433:R454" si="121">S433+T433</f>
        <v>0</v>
      </c>
      <c r="S433" s="12"/>
      <c r="T433" s="12"/>
      <c r="U433" s="12">
        <f t="shared" ref="U433:U454" si="122">V433+W433</f>
        <v>460000</v>
      </c>
      <c r="V433" s="12">
        <v>460000</v>
      </c>
      <c r="W433" s="12"/>
      <c r="X433" s="12">
        <f t="shared" ref="X433:X454" si="123">Y433+Z433</f>
        <v>0</v>
      </c>
      <c r="Y433" s="12"/>
      <c r="Z433" s="12"/>
      <c r="AA433" s="13">
        <f t="shared" si="88"/>
        <v>0</v>
      </c>
      <c r="AB433" s="14">
        <v>46063</v>
      </c>
    </row>
    <row r="434" spans="1:28" ht="15.75" hidden="1" x14ac:dyDescent="0.25">
      <c r="A434" s="65">
        <v>46063</v>
      </c>
      <c r="B434" s="10" t="s">
        <v>470</v>
      </c>
      <c r="C434" s="10"/>
      <c r="D434" s="10" t="s">
        <v>195</v>
      </c>
      <c r="E434" s="10" t="s">
        <v>421</v>
      </c>
      <c r="F434" s="10">
        <v>3</v>
      </c>
      <c r="G434" s="10" t="s">
        <v>22</v>
      </c>
      <c r="H434" s="10">
        <v>400000</v>
      </c>
      <c r="I434" s="10">
        <f t="shared" si="87"/>
        <v>1200000</v>
      </c>
      <c r="J434" s="29" t="s">
        <v>110</v>
      </c>
      <c r="K434" s="10"/>
      <c r="L434" s="12">
        <f t="shared" si="119"/>
        <v>0</v>
      </c>
      <c r="M434" s="12"/>
      <c r="N434" s="12"/>
      <c r="O434" s="12">
        <f t="shared" si="120"/>
        <v>1200000</v>
      </c>
      <c r="P434" s="12">
        <v>1200000</v>
      </c>
      <c r="Q434" s="12"/>
      <c r="R434" s="12">
        <f t="shared" si="121"/>
        <v>0</v>
      </c>
      <c r="S434" s="12"/>
      <c r="T434" s="12"/>
      <c r="U434" s="12">
        <f t="shared" si="122"/>
        <v>0</v>
      </c>
      <c r="V434" s="12"/>
      <c r="W434" s="12"/>
      <c r="X434" s="12">
        <f t="shared" si="123"/>
        <v>0</v>
      </c>
      <c r="Y434" s="12"/>
      <c r="Z434" s="12"/>
      <c r="AA434" s="13">
        <f t="shared" si="88"/>
        <v>0</v>
      </c>
      <c r="AB434" s="14">
        <v>46063</v>
      </c>
    </row>
    <row r="435" spans="1:28" ht="15.75" hidden="1" x14ac:dyDescent="0.25">
      <c r="A435" s="65">
        <v>46063</v>
      </c>
      <c r="B435" s="10" t="s">
        <v>341</v>
      </c>
      <c r="C435" s="10"/>
      <c r="D435" s="10" t="s">
        <v>195</v>
      </c>
      <c r="E435" s="10" t="s">
        <v>107</v>
      </c>
      <c r="F435" s="10">
        <v>40</v>
      </c>
      <c r="G435" s="10" t="s">
        <v>36</v>
      </c>
      <c r="H435" s="10">
        <v>60000</v>
      </c>
      <c r="I435" s="10">
        <f t="shared" si="87"/>
        <v>2400000</v>
      </c>
      <c r="J435" s="29" t="s">
        <v>113</v>
      </c>
      <c r="K435" s="10"/>
      <c r="L435" s="12">
        <f t="shared" si="119"/>
        <v>0</v>
      </c>
      <c r="M435" s="12"/>
      <c r="N435" s="12"/>
      <c r="O435" s="12">
        <f t="shared" si="120"/>
        <v>0</v>
      </c>
      <c r="P435" s="12"/>
      <c r="Q435" s="12"/>
      <c r="R435" s="12">
        <f t="shared" si="121"/>
        <v>0</v>
      </c>
      <c r="S435" s="12"/>
      <c r="T435" s="12"/>
      <c r="U435" s="12">
        <f t="shared" si="122"/>
        <v>2400000</v>
      </c>
      <c r="V435" s="12">
        <v>2400000</v>
      </c>
      <c r="W435" s="12"/>
      <c r="X435" s="12">
        <f t="shared" si="123"/>
        <v>0</v>
      </c>
      <c r="Y435" s="12"/>
      <c r="Z435" s="12"/>
      <c r="AA435" s="13">
        <f t="shared" si="88"/>
        <v>0</v>
      </c>
      <c r="AB435" s="14">
        <v>46063</v>
      </c>
    </row>
    <row r="436" spans="1:28" ht="15.75" hidden="1" x14ac:dyDescent="0.25">
      <c r="A436" s="65">
        <v>46063</v>
      </c>
      <c r="B436" s="10" t="s">
        <v>471</v>
      </c>
      <c r="C436" s="10"/>
      <c r="D436" s="10" t="s">
        <v>195</v>
      </c>
      <c r="E436" s="10" t="s">
        <v>134</v>
      </c>
      <c r="F436" s="10">
        <v>2</v>
      </c>
      <c r="G436" s="10" t="s">
        <v>39</v>
      </c>
      <c r="H436" s="10">
        <v>75000</v>
      </c>
      <c r="I436" s="10">
        <f t="shared" si="87"/>
        <v>150000</v>
      </c>
      <c r="J436" s="29" t="s">
        <v>113</v>
      </c>
      <c r="K436" s="10"/>
      <c r="L436" s="12">
        <f t="shared" si="119"/>
        <v>0</v>
      </c>
      <c r="M436" s="12"/>
      <c r="N436" s="12"/>
      <c r="O436" s="12">
        <f t="shared" si="120"/>
        <v>0</v>
      </c>
      <c r="P436" s="12"/>
      <c r="Q436" s="12"/>
      <c r="R436" s="12">
        <f t="shared" si="121"/>
        <v>0</v>
      </c>
      <c r="S436" s="12"/>
      <c r="T436" s="12"/>
      <c r="U436" s="12">
        <f t="shared" si="122"/>
        <v>150000</v>
      </c>
      <c r="V436" s="12">
        <v>150000</v>
      </c>
      <c r="W436" s="12"/>
      <c r="X436" s="12">
        <f t="shared" si="123"/>
        <v>0</v>
      </c>
      <c r="Y436" s="12"/>
      <c r="Z436" s="12"/>
      <c r="AA436" s="13">
        <f t="shared" si="88"/>
        <v>0</v>
      </c>
      <c r="AB436" s="14">
        <v>46063</v>
      </c>
    </row>
    <row r="437" spans="1:28" ht="15.75" hidden="1" x14ac:dyDescent="0.25">
      <c r="A437" s="65">
        <v>46063</v>
      </c>
      <c r="B437" s="10" t="s">
        <v>471</v>
      </c>
      <c r="C437" s="10"/>
      <c r="D437" s="10" t="s">
        <v>195</v>
      </c>
      <c r="E437" s="10" t="s">
        <v>112</v>
      </c>
      <c r="F437" s="10">
        <v>5</v>
      </c>
      <c r="G437" s="10" t="s">
        <v>39</v>
      </c>
      <c r="H437" s="10">
        <v>95000</v>
      </c>
      <c r="I437" s="10">
        <f t="shared" si="87"/>
        <v>475000</v>
      </c>
      <c r="J437" s="29" t="s">
        <v>113</v>
      </c>
      <c r="K437" s="10"/>
      <c r="L437" s="12">
        <f t="shared" si="119"/>
        <v>0</v>
      </c>
      <c r="M437" s="12"/>
      <c r="N437" s="12"/>
      <c r="O437" s="12">
        <f t="shared" si="120"/>
        <v>0</v>
      </c>
      <c r="P437" s="12"/>
      <c r="Q437" s="12"/>
      <c r="R437" s="12">
        <f t="shared" si="121"/>
        <v>0</v>
      </c>
      <c r="S437" s="12"/>
      <c r="T437" s="12"/>
      <c r="U437" s="12">
        <f t="shared" si="122"/>
        <v>475000</v>
      </c>
      <c r="V437" s="12">
        <v>475000</v>
      </c>
      <c r="W437" s="12"/>
      <c r="X437" s="12">
        <f t="shared" si="123"/>
        <v>0</v>
      </c>
      <c r="Y437" s="12"/>
      <c r="Z437" s="12"/>
      <c r="AA437" s="13">
        <f t="shared" si="88"/>
        <v>0</v>
      </c>
      <c r="AB437" s="14">
        <v>46063</v>
      </c>
    </row>
    <row r="438" spans="1:28" ht="15.75" hidden="1" x14ac:dyDescent="0.25">
      <c r="A438" s="65">
        <v>46063</v>
      </c>
      <c r="B438" s="10" t="s">
        <v>232</v>
      </c>
      <c r="C438" s="10"/>
      <c r="D438" s="10" t="s">
        <v>383</v>
      </c>
      <c r="E438" s="10" t="s">
        <v>78</v>
      </c>
      <c r="F438" s="10">
        <v>40</v>
      </c>
      <c r="G438" s="10" t="s">
        <v>61</v>
      </c>
      <c r="H438" s="10">
        <v>230000</v>
      </c>
      <c r="I438" s="10">
        <f t="shared" si="87"/>
        <v>9200000</v>
      </c>
      <c r="J438" s="52" t="s">
        <v>30</v>
      </c>
      <c r="K438" s="10"/>
      <c r="L438" s="12">
        <f t="shared" si="119"/>
        <v>0</v>
      </c>
      <c r="M438" s="12"/>
      <c r="N438" s="12"/>
      <c r="O438" s="12">
        <f t="shared" si="120"/>
        <v>0</v>
      </c>
      <c r="P438" s="12"/>
      <c r="Q438" s="12"/>
      <c r="R438" s="12">
        <f t="shared" si="121"/>
        <v>0</v>
      </c>
      <c r="S438" s="12"/>
      <c r="T438" s="12"/>
      <c r="U438" s="12">
        <f t="shared" si="122"/>
        <v>0</v>
      </c>
      <c r="V438" s="12"/>
      <c r="W438" s="12"/>
      <c r="X438" s="12">
        <f t="shared" si="123"/>
        <v>0</v>
      </c>
      <c r="Y438" s="12"/>
      <c r="Z438" s="12"/>
      <c r="AA438" s="13">
        <f t="shared" si="88"/>
        <v>9200000</v>
      </c>
      <c r="AB438" s="14"/>
    </row>
    <row r="439" spans="1:28" ht="15.75" hidden="1" x14ac:dyDescent="0.25">
      <c r="A439" s="65">
        <v>46063</v>
      </c>
      <c r="B439" s="10" t="s">
        <v>232</v>
      </c>
      <c r="C439" s="10"/>
      <c r="D439" s="10" t="s">
        <v>383</v>
      </c>
      <c r="E439" s="10" t="s">
        <v>117</v>
      </c>
      <c r="F439" s="10">
        <v>1</v>
      </c>
      <c r="G439" s="10" t="s">
        <v>36</v>
      </c>
      <c r="H439" s="10">
        <v>70000</v>
      </c>
      <c r="I439" s="10">
        <f t="shared" si="87"/>
        <v>70000</v>
      </c>
      <c r="J439" s="52" t="s">
        <v>30</v>
      </c>
      <c r="K439" s="10"/>
      <c r="L439" s="12">
        <f t="shared" si="119"/>
        <v>0</v>
      </c>
      <c r="M439" s="12"/>
      <c r="N439" s="12"/>
      <c r="O439" s="12">
        <f t="shared" si="120"/>
        <v>0</v>
      </c>
      <c r="P439" s="12"/>
      <c r="Q439" s="12"/>
      <c r="R439" s="12">
        <f t="shared" si="121"/>
        <v>0</v>
      </c>
      <c r="S439" s="12"/>
      <c r="T439" s="12"/>
      <c r="U439" s="12">
        <f t="shared" si="122"/>
        <v>0</v>
      </c>
      <c r="V439" s="12"/>
      <c r="W439" s="12"/>
      <c r="X439" s="12">
        <f t="shared" si="123"/>
        <v>0</v>
      </c>
      <c r="Y439" s="12"/>
      <c r="Z439" s="12"/>
      <c r="AA439" s="13">
        <f t="shared" si="88"/>
        <v>70000</v>
      </c>
      <c r="AB439" s="14"/>
    </row>
    <row r="440" spans="1:28" ht="15.75" hidden="1" x14ac:dyDescent="0.25">
      <c r="A440" s="65">
        <v>46063</v>
      </c>
      <c r="B440" s="10" t="s">
        <v>472</v>
      </c>
      <c r="C440" s="10"/>
      <c r="D440" s="10" t="s">
        <v>195</v>
      </c>
      <c r="E440" s="10" t="s">
        <v>189</v>
      </c>
      <c r="F440" s="10">
        <v>1</v>
      </c>
      <c r="G440" s="10" t="s">
        <v>61</v>
      </c>
      <c r="H440" s="10">
        <v>300000</v>
      </c>
      <c r="I440" s="10">
        <f t="shared" si="87"/>
        <v>300000</v>
      </c>
      <c r="J440" s="29" t="s">
        <v>113</v>
      </c>
      <c r="K440" s="10"/>
      <c r="L440" s="12">
        <f t="shared" si="119"/>
        <v>0</v>
      </c>
      <c r="M440" s="12"/>
      <c r="N440" s="12"/>
      <c r="O440" s="12">
        <f t="shared" si="120"/>
        <v>0</v>
      </c>
      <c r="P440" s="12"/>
      <c r="Q440" s="12"/>
      <c r="R440" s="12">
        <f t="shared" si="121"/>
        <v>0</v>
      </c>
      <c r="S440" s="12"/>
      <c r="T440" s="12"/>
      <c r="U440" s="12">
        <f t="shared" si="122"/>
        <v>300000</v>
      </c>
      <c r="V440" s="12">
        <v>300000</v>
      </c>
      <c r="W440" s="12"/>
      <c r="X440" s="12">
        <f t="shared" si="123"/>
        <v>0</v>
      </c>
      <c r="Y440" s="12"/>
      <c r="Z440" s="12"/>
      <c r="AA440" s="13">
        <f t="shared" si="88"/>
        <v>0</v>
      </c>
      <c r="AB440" s="14">
        <v>46063</v>
      </c>
    </row>
    <row r="441" spans="1:28" ht="15.75" hidden="1" x14ac:dyDescent="0.25">
      <c r="A441" s="65">
        <v>46063</v>
      </c>
      <c r="B441" s="10" t="s">
        <v>267</v>
      </c>
      <c r="C441" s="10"/>
      <c r="D441" s="10" t="s">
        <v>195</v>
      </c>
      <c r="E441" s="10" t="s">
        <v>164</v>
      </c>
      <c r="F441" s="10">
        <v>16.2</v>
      </c>
      <c r="G441" s="10" t="s">
        <v>36</v>
      </c>
      <c r="H441" s="10">
        <v>43000</v>
      </c>
      <c r="I441" s="10">
        <f t="shared" si="87"/>
        <v>696600</v>
      </c>
      <c r="J441" s="29" t="s">
        <v>113</v>
      </c>
      <c r="K441" s="10"/>
      <c r="L441" s="12">
        <f t="shared" si="119"/>
        <v>696600</v>
      </c>
      <c r="M441" s="12">
        <v>696600</v>
      </c>
      <c r="N441" s="12"/>
      <c r="O441" s="12">
        <f t="shared" si="120"/>
        <v>0</v>
      </c>
      <c r="P441" s="12"/>
      <c r="Q441" s="12"/>
      <c r="R441" s="12">
        <f t="shared" si="121"/>
        <v>0</v>
      </c>
      <c r="S441" s="12"/>
      <c r="T441" s="12"/>
      <c r="U441" s="12">
        <f t="shared" si="122"/>
        <v>0</v>
      </c>
      <c r="V441" s="12"/>
      <c r="W441" s="12"/>
      <c r="X441" s="12">
        <f t="shared" si="123"/>
        <v>0</v>
      </c>
      <c r="Y441" s="12"/>
      <c r="Z441" s="12"/>
      <c r="AA441" s="13">
        <f t="shared" si="88"/>
        <v>0</v>
      </c>
      <c r="AB441" s="14">
        <v>46063</v>
      </c>
    </row>
    <row r="442" spans="1:28" ht="15.75" hidden="1" x14ac:dyDescent="0.25">
      <c r="A442" s="65">
        <v>46063</v>
      </c>
      <c r="B442" s="10" t="s">
        <v>267</v>
      </c>
      <c r="C442" s="10"/>
      <c r="D442" s="10" t="s">
        <v>195</v>
      </c>
      <c r="E442" s="10" t="s">
        <v>84</v>
      </c>
      <c r="F442" s="10">
        <v>17.399999999999999</v>
      </c>
      <c r="G442" s="10" t="s">
        <v>36</v>
      </c>
      <c r="H442" s="10">
        <v>43000</v>
      </c>
      <c r="I442" s="10">
        <f t="shared" si="87"/>
        <v>748199.99999999988</v>
      </c>
      <c r="J442" s="29" t="s">
        <v>113</v>
      </c>
      <c r="K442" s="10"/>
      <c r="L442" s="12">
        <f t="shared" si="119"/>
        <v>523400</v>
      </c>
      <c r="M442" s="12">
        <v>523400</v>
      </c>
      <c r="N442" s="12"/>
      <c r="O442" s="12">
        <f t="shared" si="120"/>
        <v>0</v>
      </c>
      <c r="P442" s="12"/>
      <c r="Q442" s="12"/>
      <c r="R442" s="12">
        <f t="shared" si="121"/>
        <v>0</v>
      </c>
      <c r="S442" s="12"/>
      <c r="T442" s="12"/>
      <c r="U442" s="12">
        <f t="shared" si="122"/>
        <v>224800</v>
      </c>
      <c r="V442" s="12">
        <v>224800</v>
      </c>
      <c r="W442" s="12"/>
      <c r="X442" s="12">
        <f t="shared" si="123"/>
        <v>0</v>
      </c>
      <c r="Y442" s="12"/>
      <c r="Z442" s="12"/>
      <c r="AA442" s="13">
        <f t="shared" si="88"/>
        <v>-1.1641532182693481E-10</v>
      </c>
      <c r="AB442" s="14">
        <v>46063</v>
      </c>
    </row>
    <row r="443" spans="1:28" ht="15.75" hidden="1" x14ac:dyDescent="0.25">
      <c r="A443" s="65">
        <v>46063</v>
      </c>
      <c r="B443" s="10" t="s">
        <v>285</v>
      </c>
      <c r="C443" s="10"/>
      <c r="D443" s="10" t="s">
        <v>195</v>
      </c>
      <c r="E443" s="10" t="s">
        <v>117</v>
      </c>
      <c r="F443" s="10">
        <v>3</v>
      </c>
      <c r="G443" s="10" t="s">
        <v>36</v>
      </c>
      <c r="H443" s="10">
        <v>70000</v>
      </c>
      <c r="I443" s="10">
        <f t="shared" si="87"/>
        <v>210000</v>
      </c>
      <c r="J443" s="29" t="s">
        <v>110</v>
      </c>
      <c r="K443" s="10"/>
      <c r="L443" s="12">
        <f t="shared" si="119"/>
        <v>0</v>
      </c>
      <c r="M443" s="12"/>
      <c r="N443" s="12"/>
      <c r="O443" s="12">
        <f t="shared" si="120"/>
        <v>210000</v>
      </c>
      <c r="P443" s="12">
        <v>210000</v>
      </c>
      <c r="Q443" s="12"/>
      <c r="R443" s="12">
        <f t="shared" si="121"/>
        <v>0</v>
      </c>
      <c r="S443" s="12"/>
      <c r="T443" s="12"/>
      <c r="U443" s="12">
        <f t="shared" si="122"/>
        <v>0</v>
      </c>
      <c r="V443" s="12"/>
      <c r="W443" s="12"/>
      <c r="X443" s="12">
        <f t="shared" si="123"/>
        <v>0</v>
      </c>
      <c r="Y443" s="12"/>
      <c r="Z443" s="12"/>
      <c r="AA443" s="13">
        <f t="shared" si="88"/>
        <v>0</v>
      </c>
      <c r="AB443" s="14">
        <v>46063</v>
      </c>
    </row>
    <row r="444" spans="1:28" ht="15.75" hidden="1" x14ac:dyDescent="0.25">
      <c r="A444" s="65">
        <v>46063</v>
      </c>
      <c r="B444" s="10" t="s">
        <v>285</v>
      </c>
      <c r="C444" s="10"/>
      <c r="D444" s="10" t="s">
        <v>195</v>
      </c>
      <c r="E444" s="10" t="s">
        <v>116</v>
      </c>
      <c r="F444" s="10">
        <v>4</v>
      </c>
      <c r="G444" s="10" t="s">
        <v>67</v>
      </c>
      <c r="H444" s="10">
        <v>65000</v>
      </c>
      <c r="I444" s="10">
        <f t="shared" si="87"/>
        <v>260000</v>
      </c>
      <c r="J444" s="29" t="s">
        <v>110</v>
      </c>
      <c r="K444" s="10"/>
      <c r="L444" s="12">
        <f t="shared" si="119"/>
        <v>0</v>
      </c>
      <c r="M444" s="12"/>
      <c r="N444" s="12"/>
      <c r="O444" s="12">
        <f t="shared" si="120"/>
        <v>260000</v>
      </c>
      <c r="P444" s="12">
        <v>260000</v>
      </c>
      <c r="Q444" s="12"/>
      <c r="R444" s="12">
        <f t="shared" si="121"/>
        <v>0</v>
      </c>
      <c r="S444" s="12"/>
      <c r="T444" s="12"/>
      <c r="U444" s="12">
        <f t="shared" si="122"/>
        <v>0</v>
      </c>
      <c r="V444" s="12"/>
      <c r="W444" s="12"/>
      <c r="X444" s="12">
        <f t="shared" si="123"/>
        <v>0</v>
      </c>
      <c r="Y444" s="12"/>
      <c r="Z444" s="12"/>
      <c r="AA444" s="13">
        <f t="shared" si="88"/>
        <v>0</v>
      </c>
      <c r="AB444" s="14">
        <v>46063</v>
      </c>
    </row>
    <row r="445" spans="1:28" ht="15.75" hidden="1" x14ac:dyDescent="0.25">
      <c r="A445" s="65">
        <v>46063</v>
      </c>
      <c r="B445" s="10" t="s">
        <v>285</v>
      </c>
      <c r="C445" s="10"/>
      <c r="D445" s="10" t="s">
        <v>195</v>
      </c>
      <c r="E445" s="10" t="s">
        <v>290</v>
      </c>
      <c r="F445" s="10">
        <v>2</v>
      </c>
      <c r="G445" s="10" t="s">
        <v>39</v>
      </c>
      <c r="H445" s="10">
        <v>25000</v>
      </c>
      <c r="I445" s="10">
        <f t="shared" si="87"/>
        <v>50000</v>
      </c>
      <c r="J445" s="29" t="s">
        <v>110</v>
      </c>
      <c r="K445" s="10"/>
      <c r="L445" s="12">
        <f t="shared" si="119"/>
        <v>0</v>
      </c>
      <c r="M445" s="12"/>
      <c r="N445" s="12"/>
      <c r="O445" s="12">
        <f t="shared" si="120"/>
        <v>50000</v>
      </c>
      <c r="P445" s="12">
        <v>50000</v>
      </c>
      <c r="Q445" s="12"/>
      <c r="R445" s="12">
        <f t="shared" si="121"/>
        <v>0</v>
      </c>
      <c r="S445" s="12"/>
      <c r="T445" s="12"/>
      <c r="U445" s="12">
        <f t="shared" si="122"/>
        <v>0</v>
      </c>
      <c r="V445" s="12"/>
      <c r="W445" s="12"/>
      <c r="X445" s="12">
        <f t="shared" si="123"/>
        <v>0</v>
      </c>
      <c r="Y445" s="12"/>
      <c r="Z445" s="12"/>
      <c r="AA445" s="13">
        <f t="shared" si="88"/>
        <v>0</v>
      </c>
      <c r="AB445" s="14">
        <v>46063</v>
      </c>
    </row>
    <row r="446" spans="1:28" ht="15.75" hidden="1" x14ac:dyDescent="0.25">
      <c r="A446" s="65">
        <v>46063</v>
      </c>
      <c r="B446" s="10" t="s">
        <v>285</v>
      </c>
      <c r="C446" s="10"/>
      <c r="D446" s="10" t="s">
        <v>195</v>
      </c>
      <c r="E446" s="10" t="s">
        <v>104</v>
      </c>
      <c r="F446" s="10">
        <v>600</v>
      </c>
      <c r="G446" s="10" t="s">
        <v>26</v>
      </c>
      <c r="H446" s="10">
        <v>2000</v>
      </c>
      <c r="I446" s="10">
        <f t="shared" si="87"/>
        <v>1200000</v>
      </c>
      <c r="J446" s="29" t="s">
        <v>110</v>
      </c>
      <c r="K446" s="10"/>
      <c r="L446" s="12">
        <f t="shared" si="119"/>
        <v>0</v>
      </c>
      <c r="M446" s="12"/>
      <c r="N446" s="12"/>
      <c r="O446" s="12">
        <f t="shared" si="120"/>
        <v>1200000</v>
      </c>
      <c r="P446" s="12">
        <v>1200000</v>
      </c>
      <c r="Q446" s="12"/>
      <c r="R446" s="12">
        <f t="shared" si="121"/>
        <v>0</v>
      </c>
      <c r="S446" s="12"/>
      <c r="T446" s="12"/>
      <c r="U446" s="12">
        <f t="shared" si="122"/>
        <v>0</v>
      </c>
      <c r="V446" s="12"/>
      <c r="W446" s="12"/>
      <c r="X446" s="12">
        <f t="shared" si="123"/>
        <v>0</v>
      </c>
      <c r="Y446" s="12"/>
      <c r="Z446" s="12"/>
      <c r="AA446" s="13">
        <f t="shared" si="88"/>
        <v>0</v>
      </c>
      <c r="AB446" s="14">
        <v>46063</v>
      </c>
    </row>
    <row r="447" spans="1:28" ht="15.75" hidden="1" x14ac:dyDescent="0.25">
      <c r="A447" s="65">
        <v>46063</v>
      </c>
      <c r="B447" s="10" t="s">
        <v>285</v>
      </c>
      <c r="C447" s="10"/>
      <c r="D447" s="10" t="s">
        <v>195</v>
      </c>
      <c r="E447" s="10" t="s">
        <v>98</v>
      </c>
      <c r="F447" s="10">
        <v>800</v>
      </c>
      <c r="G447" s="10" t="s">
        <v>26</v>
      </c>
      <c r="H447" s="10">
        <v>2000</v>
      </c>
      <c r="I447" s="10">
        <f t="shared" si="87"/>
        <v>1600000</v>
      </c>
      <c r="J447" s="29" t="s">
        <v>110</v>
      </c>
      <c r="K447" s="10"/>
      <c r="L447" s="12">
        <f t="shared" si="119"/>
        <v>0</v>
      </c>
      <c r="M447" s="12"/>
      <c r="N447" s="12"/>
      <c r="O447" s="12">
        <f t="shared" si="120"/>
        <v>1600000</v>
      </c>
      <c r="P447" s="12">
        <v>1600000</v>
      </c>
      <c r="Q447" s="12"/>
      <c r="R447" s="12">
        <f t="shared" si="121"/>
        <v>0</v>
      </c>
      <c r="S447" s="12"/>
      <c r="T447" s="12"/>
      <c r="U447" s="12">
        <f t="shared" si="122"/>
        <v>0</v>
      </c>
      <c r="V447" s="12"/>
      <c r="W447" s="12"/>
      <c r="X447" s="12">
        <f t="shared" si="123"/>
        <v>0</v>
      </c>
      <c r="Y447" s="12"/>
      <c r="Z447" s="12"/>
      <c r="AA447" s="13">
        <f t="shared" si="88"/>
        <v>0</v>
      </c>
      <c r="AB447" s="14">
        <v>46063</v>
      </c>
    </row>
    <row r="448" spans="1:28" ht="15.75" hidden="1" x14ac:dyDescent="0.25">
      <c r="A448" s="65">
        <v>46063</v>
      </c>
      <c r="B448" s="10" t="s">
        <v>285</v>
      </c>
      <c r="C448" s="10"/>
      <c r="D448" s="10" t="s">
        <v>195</v>
      </c>
      <c r="E448" s="10" t="s">
        <v>181</v>
      </c>
      <c r="F448" s="10">
        <v>500</v>
      </c>
      <c r="G448" s="10" t="s">
        <v>26</v>
      </c>
      <c r="H448" s="10">
        <v>4000</v>
      </c>
      <c r="I448" s="10">
        <f t="shared" si="87"/>
        <v>2000000</v>
      </c>
      <c r="J448" s="29" t="s">
        <v>110</v>
      </c>
      <c r="K448" s="10"/>
      <c r="L448" s="12">
        <f t="shared" si="119"/>
        <v>0</v>
      </c>
      <c r="M448" s="12"/>
      <c r="N448" s="12"/>
      <c r="O448" s="12">
        <f t="shared" si="120"/>
        <v>2000000</v>
      </c>
      <c r="P448" s="12">
        <v>2000000</v>
      </c>
      <c r="Q448" s="12"/>
      <c r="R448" s="12">
        <f t="shared" si="121"/>
        <v>0</v>
      </c>
      <c r="S448" s="12"/>
      <c r="T448" s="12"/>
      <c r="U448" s="12">
        <f t="shared" si="122"/>
        <v>0</v>
      </c>
      <c r="V448" s="12"/>
      <c r="W448" s="12"/>
      <c r="X448" s="12">
        <f t="shared" si="123"/>
        <v>0</v>
      </c>
      <c r="Y448" s="12"/>
      <c r="Z448" s="12"/>
      <c r="AA448" s="13">
        <f t="shared" si="88"/>
        <v>0</v>
      </c>
      <c r="AB448" s="14">
        <v>46063</v>
      </c>
    </row>
    <row r="449" spans="1:28" ht="15.75" hidden="1" x14ac:dyDescent="0.25">
      <c r="A449" s="65">
        <v>46063</v>
      </c>
      <c r="B449" s="10" t="s">
        <v>230</v>
      </c>
      <c r="C449" s="10"/>
      <c r="D449" s="10" t="s">
        <v>383</v>
      </c>
      <c r="E449" s="10" t="s">
        <v>104</v>
      </c>
      <c r="F449" s="10">
        <v>5000</v>
      </c>
      <c r="G449" s="10" t="s">
        <v>26</v>
      </c>
      <c r="H449" s="10">
        <v>1800</v>
      </c>
      <c r="I449" s="10">
        <f t="shared" si="87"/>
        <v>9000000</v>
      </c>
      <c r="J449" s="29" t="s">
        <v>113</v>
      </c>
      <c r="K449" s="10"/>
      <c r="L449" s="12">
        <f t="shared" si="119"/>
        <v>0</v>
      </c>
      <c r="M449" s="12"/>
      <c r="N449" s="12"/>
      <c r="O449" s="12">
        <f t="shared" si="120"/>
        <v>0</v>
      </c>
      <c r="P449" s="12"/>
      <c r="Q449" s="12"/>
      <c r="R449" s="12">
        <f t="shared" si="121"/>
        <v>0</v>
      </c>
      <c r="S449" s="12"/>
      <c r="T449" s="12"/>
      <c r="U449" s="12">
        <f t="shared" si="122"/>
        <v>9000000</v>
      </c>
      <c r="V449" s="12">
        <v>4500000</v>
      </c>
      <c r="W449" s="12">
        <f>3600000+900000</f>
        <v>4500000</v>
      </c>
      <c r="X449" s="12">
        <f t="shared" si="123"/>
        <v>0</v>
      </c>
      <c r="Y449" s="12"/>
      <c r="Z449" s="12"/>
      <c r="AA449" s="13">
        <f t="shared" si="88"/>
        <v>0</v>
      </c>
      <c r="AB449" s="14">
        <v>46063</v>
      </c>
    </row>
    <row r="450" spans="1:28" ht="15.75" hidden="1" x14ac:dyDescent="0.25">
      <c r="A450" s="65">
        <v>46063</v>
      </c>
      <c r="B450" s="10" t="s">
        <v>222</v>
      </c>
      <c r="C450" s="10"/>
      <c r="D450" s="10" t="s">
        <v>383</v>
      </c>
      <c r="E450" s="10" t="s">
        <v>104</v>
      </c>
      <c r="F450" s="10">
        <v>1200</v>
      </c>
      <c r="G450" s="10" t="s">
        <v>26</v>
      </c>
      <c r="H450" s="10">
        <v>1900</v>
      </c>
      <c r="I450" s="10">
        <f t="shared" si="87"/>
        <v>2280000</v>
      </c>
      <c r="J450" s="29" t="s">
        <v>110</v>
      </c>
      <c r="K450" s="10"/>
      <c r="L450" s="12">
        <f t="shared" si="119"/>
        <v>0</v>
      </c>
      <c r="M450" s="12"/>
      <c r="N450" s="12"/>
      <c r="O450" s="12">
        <f t="shared" si="120"/>
        <v>2280000</v>
      </c>
      <c r="P450" s="12">
        <v>2280000</v>
      </c>
      <c r="Q450" s="12"/>
      <c r="R450" s="12">
        <f t="shared" si="121"/>
        <v>0</v>
      </c>
      <c r="S450" s="12"/>
      <c r="T450" s="12"/>
      <c r="U450" s="12">
        <f t="shared" si="122"/>
        <v>0</v>
      </c>
      <c r="V450" s="12"/>
      <c r="W450" s="12"/>
      <c r="X450" s="12">
        <f t="shared" si="123"/>
        <v>0</v>
      </c>
      <c r="Y450" s="12"/>
      <c r="Z450" s="12"/>
      <c r="AA450" s="13">
        <f t="shared" si="88"/>
        <v>0</v>
      </c>
      <c r="AB450" s="14">
        <v>46064</v>
      </c>
    </row>
    <row r="451" spans="1:28" ht="15.75" x14ac:dyDescent="0.25">
      <c r="A451" s="65">
        <v>46063</v>
      </c>
      <c r="B451" s="10" t="s">
        <v>272</v>
      </c>
      <c r="C451" s="10"/>
      <c r="D451" s="10"/>
      <c r="E451" s="10" t="s">
        <v>315</v>
      </c>
      <c r="F451" s="10">
        <v>107.3</v>
      </c>
      <c r="G451" s="10" t="s">
        <v>36</v>
      </c>
      <c r="H451" s="10">
        <v>43000</v>
      </c>
      <c r="I451" s="10">
        <f t="shared" ref="I451:I514" si="124">F451*H451</f>
        <v>4613900</v>
      </c>
      <c r="J451" s="115" t="s">
        <v>90</v>
      </c>
      <c r="K451" s="10"/>
      <c r="L451" s="12">
        <f t="shared" si="119"/>
        <v>0</v>
      </c>
      <c r="M451" s="12"/>
      <c r="N451" s="12"/>
      <c r="O451" s="12">
        <f t="shared" si="120"/>
        <v>0</v>
      </c>
      <c r="P451" s="12"/>
      <c r="Q451" s="12"/>
      <c r="R451" s="12">
        <f t="shared" si="121"/>
        <v>0</v>
      </c>
      <c r="S451" s="12"/>
      <c r="T451" s="12"/>
      <c r="U451" s="12">
        <f t="shared" si="122"/>
        <v>0</v>
      </c>
      <c r="V451" s="12"/>
      <c r="W451" s="12"/>
      <c r="X451" s="12">
        <f t="shared" si="123"/>
        <v>0</v>
      </c>
      <c r="Y451" s="12"/>
      <c r="Z451" s="12"/>
      <c r="AA451" s="13">
        <f t="shared" si="88"/>
        <v>4613900</v>
      </c>
      <c r="AB451" s="14"/>
    </row>
    <row r="452" spans="1:28" ht="15.75" x14ac:dyDescent="0.25">
      <c r="A452" s="65">
        <v>46063</v>
      </c>
      <c r="B452" s="10" t="s">
        <v>272</v>
      </c>
      <c r="C452" s="10"/>
      <c r="D452" s="10"/>
      <c r="E452" s="10" t="s">
        <v>306</v>
      </c>
      <c r="F452" s="10">
        <v>56</v>
      </c>
      <c r="G452" s="10" t="s">
        <v>36</v>
      </c>
      <c r="H452" s="10">
        <v>43000</v>
      </c>
      <c r="I452" s="10">
        <f t="shared" si="124"/>
        <v>2408000</v>
      </c>
      <c r="J452" s="115" t="s">
        <v>90</v>
      </c>
      <c r="K452" s="10"/>
      <c r="L452" s="12">
        <f t="shared" si="119"/>
        <v>0</v>
      </c>
      <c r="M452" s="12"/>
      <c r="N452" s="12"/>
      <c r="O452" s="12">
        <f t="shared" si="120"/>
        <v>0</v>
      </c>
      <c r="P452" s="12"/>
      <c r="Q452" s="12"/>
      <c r="R452" s="12">
        <f t="shared" si="121"/>
        <v>0</v>
      </c>
      <c r="S452" s="12"/>
      <c r="T452" s="12"/>
      <c r="U452" s="12">
        <f t="shared" si="122"/>
        <v>0</v>
      </c>
      <c r="V452" s="12"/>
      <c r="W452" s="12"/>
      <c r="X452" s="12">
        <f t="shared" si="123"/>
        <v>0</v>
      </c>
      <c r="Y452" s="12"/>
      <c r="Z452" s="12"/>
      <c r="AA452" s="13">
        <f t="shared" ref="AA452:AA515" si="125">C452+I452-L452-O452-U452-X452-R452</f>
        <v>2408000</v>
      </c>
      <c r="AB452" s="14"/>
    </row>
    <row r="453" spans="1:28" ht="15.75" x14ac:dyDescent="0.25">
      <c r="A453" s="28">
        <v>46063</v>
      </c>
      <c r="B453" s="10" t="s">
        <v>272</v>
      </c>
      <c r="C453" s="10"/>
      <c r="D453" s="10"/>
      <c r="E453" s="10" t="s">
        <v>80</v>
      </c>
      <c r="F453" s="10">
        <v>22.9</v>
      </c>
      <c r="G453" s="10" t="s">
        <v>36</v>
      </c>
      <c r="H453" s="10">
        <v>43000</v>
      </c>
      <c r="I453" s="10">
        <f t="shared" si="124"/>
        <v>984699.99999999988</v>
      </c>
      <c r="J453" s="115" t="s">
        <v>90</v>
      </c>
      <c r="K453" s="10"/>
      <c r="L453" s="12">
        <f t="shared" si="119"/>
        <v>0</v>
      </c>
      <c r="M453" s="12"/>
      <c r="N453" s="12"/>
      <c r="O453" s="12">
        <f t="shared" si="120"/>
        <v>0</v>
      </c>
      <c r="P453" s="12"/>
      <c r="Q453" s="12"/>
      <c r="R453" s="12">
        <f t="shared" si="121"/>
        <v>0</v>
      </c>
      <c r="S453" s="12"/>
      <c r="T453" s="12"/>
      <c r="U453" s="12">
        <f t="shared" si="122"/>
        <v>0</v>
      </c>
      <c r="V453" s="12"/>
      <c r="W453" s="12"/>
      <c r="X453" s="12">
        <f t="shared" si="123"/>
        <v>0</v>
      </c>
      <c r="Y453" s="12"/>
      <c r="Z453" s="12"/>
      <c r="AA453" s="13">
        <f t="shared" si="125"/>
        <v>984699.99999999988</v>
      </c>
      <c r="AB453" s="14"/>
    </row>
    <row r="454" spans="1:28" ht="16.5" thickBot="1" x14ac:dyDescent="0.3">
      <c r="A454" s="53">
        <v>46063</v>
      </c>
      <c r="B454" s="31" t="s">
        <v>272</v>
      </c>
      <c r="C454" s="31"/>
      <c r="D454" s="31"/>
      <c r="E454" s="31" t="s">
        <v>139</v>
      </c>
      <c r="F454" s="31">
        <v>17.899999999999999</v>
      </c>
      <c r="G454" s="31" t="s">
        <v>36</v>
      </c>
      <c r="H454" s="31">
        <v>43000</v>
      </c>
      <c r="I454" s="31">
        <f t="shared" si="124"/>
        <v>769699.99999999988</v>
      </c>
      <c r="J454" s="103" t="s">
        <v>30</v>
      </c>
      <c r="K454" s="31"/>
      <c r="L454" s="34">
        <f t="shared" si="119"/>
        <v>0</v>
      </c>
      <c r="M454" s="34"/>
      <c r="N454" s="34"/>
      <c r="O454" s="34">
        <f t="shared" si="120"/>
        <v>0</v>
      </c>
      <c r="P454" s="34"/>
      <c r="Q454" s="34"/>
      <c r="R454" s="34">
        <f t="shared" si="121"/>
        <v>0</v>
      </c>
      <c r="S454" s="34"/>
      <c r="T454" s="34"/>
      <c r="U454" s="34">
        <f t="shared" si="122"/>
        <v>0</v>
      </c>
      <c r="V454" s="34"/>
      <c r="W454" s="34"/>
      <c r="X454" s="34">
        <f t="shared" si="123"/>
        <v>0</v>
      </c>
      <c r="Y454" s="34"/>
      <c r="Z454" s="34"/>
      <c r="AA454" s="35">
        <f t="shared" si="125"/>
        <v>769699.99999999988</v>
      </c>
      <c r="AB454" s="36"/>
    </row>
    <row r="455" spans="1:28" ht="15.75" hidden="1" x14ac:dyDescent="0.25">
      <c r="A455" s="65">
        <v>46064</v>
      </c>
      <c r="B455" s="66" t="s">
        <v>27</v>
      </c>
      <c r="C455" s="66"/>
      <c r="D455" s="66" t="s">
        <v>383</v>
      </c>
      <c r="E455" s="66" t="s">
        <v>189</v>
      </c>
      <c r="F455" s="66">
        <v>1</v>
      </c>
      <c r="G455" s="66" t="s">
        <v>61</v>
      </c>
      <c r="H455" s="66">
        <v>290000</v>
      </c>
      <c r="I455" s="45">
        <f t="shared" si="124"/>
        <v>290000</v>
      </c>
      <c r="J455" s="84" t="s">
        <v>113</v>
      </c>
      <c r="K455" s="45"/>
      <c r="L455" s="48">
        <f t="shared" ref="L455" si="126">M455+N455</f>
        <v>290000</v>
      </c>
      <c r="M455" s="48">
        <v>290000</v>
      </c>
      <c r="N455" s="48"/>
      <c r="O455" s="48">
        <f t="shared" ref="O455" si="127">P455+Q455</f>
        <v>0</v>
      </c>
      <c r="P455" s="48"/>
      <c r="Q455" s="48"/>
      <c r="R455" s="48">
        <f t="shared" ref="R455" si="128">S455+T455</f>
        <v>0</v>
      </c>
      <c r="S455" s="48"/>
      <c r="T455" s="48"/>
      <c r="U455" s="48">
        <f t="shared" ref="U455" si="129">V455+W455</f>
        <v>0</v>
      </c>
      <c r="V455" s="48"/>
      <c r="W455" s="48"/>
      <c r="X455" s="48">
        <f t="shared" ref="X455" si="130">Y455+Z455</f>
        <v>0</v>
      </c>
      <c r="Y455" s="48"/>
      <c r="Z455" s="48"/>
      <c r="AA455" s="49">
        <f t="shared" si="125"/>
        <v>0</v>
      </c>
      <c r="AB455" s="50">
        <v>46064</v>
      </c>
    </row>
    <row r="456" spans="1:28" ht="15.75" hidden="1" x14ac:dyDescent="0.25">
      <c r="A456" s="65">
        <v>46064</v>
      </c>
      <c r="B456" s="10" t="s">
        <v>474</v>
      </c>
      <c r="C456" s="10"/>
      <c r="D456" s="10" t="s">
        <v>195</v>
      </c>
      <c r="E456" s="10" t="s">
        <v>88</v>
      </c>
      <c r="F456" s="10">
        <v>25</v>
      </c>
      <c r="G456" s="10" t="s">
        <v>36</v>
      </c>
      <c r="H456" s="10">
        <v>125000</v>
      </c>
      <c r="I456" s="10">
        <f t="shared" si="124"/>
        <v>3125000</v>
      </c>
      <c r="J456" s="84" t="s">
        <v>110</v>
      </c>
      <c r="K456" s="10"/>
      <c r="L456" s="12">
        <f t="shared" ref="L456:L468" si="131">M456+N456</f>
        <v>0</v>
      </c>
      <c r="M456" s="12"/>
      <c r="N456" s="12"/>
      <c r="O456" s="12">
        <f t="shared" ref="O456:O468" si="132">P456+Q456</f>
        <v>3125000</v>
      </c>
      <c r="P456" s="12">
        <v>3125000</v>
      </c>
      <c r="Q456" s="12"/>
      <c r="R456" s="12">
        <f t="shared" ref="R456:R468" si="133">S456+T456</f>
        <v>0</v>
      </c>
      <c r="S456" s="12"/>
      <c r="T456" s="12"/>
      <c r="U456" s="12">
        <f t="shared" ref="U456:U468" si="134">V456+W456</f>
        <v>0</v>
      </c>
      <c r="V456" s="12"/>
      <c r="W456" s="12"/>
      <c r="X456" s="12">
        <f t="shared" ref="X456:X468" si="135">Y456+Z456</f>
        <v>0</v>
      </c>
      <c r="Y456" s="12"/>
      <c r="Z456" s="12"/>
      <c r="AA456" s="13">
        <f t="shared" si="125"/>
        <v>0</v>
      </c>
      <c r="AB456" s="14">
        <v>46064</v>
      </c>
    </row>
    <row r="457" spans="1:28" ht="15.75" hidden="1" x14ac:dyDescent="0.25">
      <c r="A457" s="65">
        <v>46064</v>
      </c>
      <c r="B457" s="10" t="s">
        <v>474</v>
      </c>
      <c r="C457" s="10"/>
      <c r="D457" s="10" t="s">
        <v>195</v>
      </c>
      <c r="E457" s="10" t="s">
        <v>298</v>
      </c>
      <c r="F457" s="10">
        <v>1</v>
      </c>
      <c r="G457" s="10" t="s">
        <v>61</v>
      </c>
      <c r="H457" s="10">
        <v>230000</v>
      </c>
      <c r="I457" s="10">
        <f t="shared" si="124"/>
        <v>230000</v>
      </c>
      <c r="J457" s="84" t="s">
        <v>113</v>
      </c>
      <c r="K457" s="10"/>
      <c r="L457" s="12">
        <f t="shared" si="131"/>
        <v>0</v>
      </c>
      <c r="M457" s="12"/>
      <c r="N457" s="12"/>
      <c r="O457" s="12">
        <f t="shared" si="132"/>
        <v>0</v>
      </c>
      <c r="P457" s="12"/>
      <c r="Q457" s="12"/>
      <c r="R457" s="12">
        <f t="shared" si="133"/>
        <v>0</v>
      </c>
      <c r="S457" s="12"/>
      <c r="T457" s="12"/>
      <c r="U457" s="12">
        <f t="shared" si="134"/>
        <v>230000</v>
      </c>
      <c r="V457" s="12">
        <v>230000</v>
      </c>
      <c r="W457" s="12"/>
      <c r="X457" s="12">
        <f t="shared" si="135"/>
        <v>0</v>
      </c>
      <c r="Y457" s="12"/>
      <c r="Z457" s="12"/>
      <c r="AA457" s="13">
        <f t="shared" si="125"/>
        <v>0</v>
      </c>
      <c r="AB457" s="14">
        <v>46064</v>
      </c>
    </row>
    <row r="458" spans="1:28" ht="15.75" hidden="1" x14ac:dyDescent="0.25">
      <c r="A458" s="65">
        <v>46064</v>
      </c>
      <c r="B458" s="10" t="s">
        <v>456</v>
      </c>
      <c r="C458" s="10"/>
      <c r="D458" s="10" t="s">
        <v>195</v>
      </c>
      <c r="E458" s="10" t="s">
        <v>66</v>
      </c>
      <c r="F458" s="10">
        <v>100</v>
      </c>
      <c r="G458" s="10" t="s">
        <v>67</v>
      </c>
      <c r="H458" s="10">
        <v>48000</v>
      </c>
      <c r="I458" s="10">
        <f t="shared" si="124"/>
        <v>4800000</v>
      </c>
      <c r="J458" s="84" t="s">
        <v>110</v>
      </c>
      <c r="K458" s="10"/>
      <c r="L458" s="12">
        <f t="shared" si="131"/>
        <v>0</v>
      </c>
      <c r="M458" s="12"/>
      <c r="N458" s="12"/>
      <c r="O458" s="12">
        <f t="shared" si="132"/>
        <v>4800000</v>
      </c>
      <c r="P458" s="12">
        <v>4800000</v>
      </c>
      <c r="Q458" s="12"/>
      <c r="R458" s="12">
        <f t="shared" si="133"/>
        <v>0</v>
      </c>
      <c r="S458" s="12"/>
      <c r="T458" s="12"/>
      <c r="U458" s="12">
        <f t="shared" si="134"/>
        <v>0</v>
      </c>
      <c r="V458" s="12"/>
      <c r="W458" s="12"/>
      <c r="X458" s="12">
        <f t="shared" si="135"/>
        <v>0</v>
      </c>
      <c r="Y458" s="12"/>
      <c r="Z458" s="12"/>
      <c r="AA458" s="13">
        <f t="shared" si="125"/>
        <v>0</v>
      </c>
      <c r="AB458" s="14">
        <v>46064</v>
      </c>
    </row>
    <row r="459" spans="1:28" ht="15.75" hidden="1" x14ac:dyDescent="0.25">
      <c r="A459" s="65">
        <v>46064</v>
      </c>
      <c r="B459" s="10" t="s">
        <v>334</v>
      </c>
      <c r="C459" s="10"/>
      <c r="D459" s="10" t="s">
        <v>383</v>
      </c>
      <c r="E459" s="10" t="s">
        <v>104</v>
      </c>
      <c r="F459" s="10">
        <v>1000</v>
      </c>
      <c r="G459" s="10" t="s">
        <v>26</v>
      </c>
      <c r="H459" s="10">
        <v>1800</v>
      </c>
      <c r="I459" s="10">
        <f t="shared" si="124"/>
        <v>1800000</v>
      </c>
      <c r="J459" s="29" t="s">
        <v>110</v>
      </c>
      <c r="K459" s="10"/>
      <c r="L459" s="12">
        <f t="shared" si="131"/>
        <v>0</v>
      </c>
      <c r="M459" s="12"/>
      <c r="N459" s="12"/>
      <c r="O459" s="12">
        <f t="shared" si="132"/>
        <v>1800000</v>
      </c>
      <c r="P459" s="12">
        <v>1800000</v>
      </c>
      <c r="Q459" s="12"/>
      <c r="R459" s="12">
        <f t="shared" si="133"/>
        <v>0</v>
      </c>
      <c r="S459" s="12"/>
      <c r="T459" s="12"/>
      <c r="U459" s="12">
        <f t="shared" si="134"/>
        <v>0</v>
      </c>
      <c r="V459" s="12"/>
      <c r="W459" s="12"/>
      <c r="X459" s="12">
        <f t="shared" si="135"/>
        <v>0</v>
      </c>
      <c r="Y459" s="12"/>
      <c r="Z459" s="12"/>
      <c r="AA459" s="13">
        <f t="shared" si="125"/>
        <v>0</v>
      </c>
      <c r="AB459" s="14">
        <v>46062</v>
      </c>
    </row>
    <row r="460" spans="1:28" ht="15.75" hidden="1" x14ac:dyDescent="0.25">
      <c r="A460" s="65">
        <v>46064</v>
      </c>
      <c r="B460" s="10" t="s">
        <v>475</v>
      </c>
      <c r="C460" s="10"/>
      <c r="D460" s="10" t="s">
        <v>195</v>
      </c>
      <c r="E460" s="10" t="s">
        <v>116</v>
      </c>
      <c r="F460" s="10">
        <v>10</v>
      </c>
      <c r="G460" s="10" t="s">
        <v>67</v>
      </c>
      <c r="H460" s="10">
        <v>65000</v>
      </c>
      <c r="I460" s="10">
        <f t="shared" si="124"/>
        <v>650000</v>
      </c>
      <c r="J460" s="29" t="s">
        <v>113</v>
      </c>
      <c r="K460" s="10"/>
      <c r="L460" s="12">
        <f t="shared" si="131"/>
        <v>0</v>
      </c>
      <c r="M460" s="12"/>
      <c r="N460" s="12"/>
      <c r="O460" s="12">
        <f t="shared" si="132"/>
        <v>0</v>
      </c>
      <c r="P460" s="12"/>
      <c r="Q460" s="12"/>
      <c r="R460" s="12">
        <f t="shared" si="133"/>
        <v>0</v>
      </c>
      <c r="S460" s="12"/>
      <c r="T460" s="12"/>
      <c r="U460" s="12">
        <f t="shared" si="134"/>
        <v>650000</v>
      </c>
      <c r="V460" s="12">
        <v>650000</v>
      </c>
      <c r="W460" s="12"/>
      <c r="X460" s="12">
        <f t="shared" si="135"/>
        <v>0</v>
      </c>
      <c r="Y460" s="12"/>
      <c r="Z460" s="12"/>
      <c r="AA460" s="13">
        <f t="shared" si="125"/>
        <v>0</v>
      </c>
      <c r="AB460" s="14">
        <v>46064</v>
      </c>
    </row>
    <row r="461" spans="1:28" ht="15.75" hidden="1" x14ac:dyDescent="0.25">
      <c r="A461" s="65">
        <v>46064</v>
      </c>
      <c r="B461" s="10" t="s">
        <v>475</v>
      </c>
      <c r="C461" s="10"/>
      <c r="D461" s="10" t="s">
        <v>195</v>
      </c>
      <c r="E461" s="10" t="s">
        <v>290</v>
      </c>
      <c r="F461" s="10">
        <v>10</v>
      </c>
      <c r="G461" s="10" t="s">
        <v>39</v>
      </c>
      <c r="H461" s="10">
        <v>25000</v>
      </c>
      <c r="I461" s="10">
        <f t="shared" si="124"/>
        <v>250000</v>
      </c>
      <c r="J461" s="29" t="s">
        <v>113</v>
      </c>
      <c r="K461" s="10"/>
      <c r="L461" s="12">
        <f t="shared" si="131"/>
        <v>0</v>
      </c>
      <c r="M461" s="12"/>
      <c r="N461" s="12"/>
      <c r="O461" s="12">
        <f t="shared" si="132"/>
        <v>0</v>
      </c>
      <c r="P461" s="12"/>
      <c r="Q461" s="12"/>
      <c r="R461" s="12">
        <f t="shared" si="133"/>
        <v>0</v>
      </c>
      <c r="S461" s="12"/>
      <c r="T461" s="12"/>
      <c r="U461" s="12">
        <f t="shared" si="134"/>
        <v>250000</v>
      </c>
      <c r="V461" s="12">
        <v>250000</v>
      </c>
      <c r="W461" s="12"/>
      <c r="X461" s="12">
        <f t="shared" si="135"/>
        <v>0</v>
      </c>
      <c r="Y461" s="12"/>
      <c r="Z461" s="12"/>
      <c r="AA461" s="13">
        <f t="shared" si="125"/>
        <v>0</v>
      </c>
      <c r="AB461" s="14">
        <v>46064</v>
      </c>
    </row>
    <row r="462" spans="1:28" ht="15.75" hidden="1" x14ac:dyDescent="0.25">
      <c r="A462" s="65">
        <v>46064</v>
      </c>
      <c r="B462" s="10" t="s">
        <v>454</v>
      </c>
      <c r="C462" s="10"/>
      <c r="D462" s="10" t="s">
        <v>383</v>
      </c>
      <c r="E462" s="10" t="s">
        <v>314</v>
      </c>
      <c r="F462" s="10">
        <v>1</v>
      </c>
      <c r="G462" s="10" t="s">
        <v>22</v>
      </c>
      <c r="H462" s="10">
        <v>400000</v>
      </c>
      <c r="I462" s="10">
        <f t="shared" si="124"/>
        <v>400000</v>
      </c>
      <c r="J462" s="29" t="s">
        <v>113</v>
      </c>
      <c r="K462" s="10"/>
      <c r="L462" s="12">
        <f t="shared" si="131"/>
        <v>0</v>
      </c>
      <c r="M462" s="12"/>
      <c r="N462" s="12"/>
      <c r="O462" s="12">
        <f t="shared" si="132"/>
        <v>0</v>
      </c>
      <c r="P462" s="12"/>
      <c r="Q462" s="12"/>
      <c r="R462" s="12">
        <f t="shared" si="133"/>
        <v>0</v>
      </c>
      <c r="S462" s="12"/>
      <c r="T462" s="12"/>
      <c r="U462" s="12">
        <f t="shared" si="134"/>
        <v>400000</v>
      </c>
      <c r="V462" s="12">
        <v>400000</v>
      </c>
      <c r="W462" s="12"/>
      <c r="X462" s="12">
        <f t="shared" si="135"/>
        <v>0</v>
      </c>
      <c r="Y462" s="12"/>
      <c r="Z462" s="12"/>
      <c r="AA462" s="13">
        <f t="shared" si="125"/>
        <v>0</v>
      </c>
      <c r="AB462" s="14">
        <v>46064</v>
      </c>
    </row>
    <row r="463" spans="1:28" ht="15.75" hidden="1" x14ac:dyDescent="0.25">
      <c r="A463" s="65">
        <v>46064</v>
      </c>
      <c r="B463" s="10" t="s">
        <v>239</v>
      </c>
      <c r="C463" s="10"/>
      <c r="D463" s="10" t="s">
        <v>195</v>
      </c>
      <c r="E463" s="10" t="s">
        <v>65</v>
      </c>
      <c r="F463" s="10">
        <v>500</v>
      </c>
      <c r="G463" s="10" t="s">
        <v>26</v>
      </c>
      <c r="H463" s="10">
        <v>4000</v>
      </c>
      <c r="I463" s="10">
        <f t="shared" si="124"/>
        <v>2000000</v>
      </c>
      <c r="J463" s="29" t="s">
        <v>110</v>
      </c>
      <c r="K463" s="10"/>
      <c r="L463" s="12">
        <f t="shared" si="131"/>
        <v>0</v>
      </c>
      <c r="M463" s="12"/>
      <c r="N463" s="12"/>
      <c r="O463" s="12">
        <f t="shared" si="132"/>
        <v>2000000</v>
      </c>
      <c r="P463" s="12">
        <v>2000000</v>
      </c>
      <c r="Q463" s="12"/>
      <c r="R463" s="12">
        <f t="shared" si="133"/>
        <v>0</v>
      </c>
      <c r="S463" s="12"/>
      <c r="T463" s="12"/>
      <c r="U463" s="12">
        <f t="shared" si="134"/>
        <v>0</v>
      </c>
      <c r="V463" s="12"/>
      <c r="W463" s="12"/>
      <c r="X463" s="12">
        <f t="shared" si="135"/>
        <v>0</v>
      </c>
      <c r="Y463" s="12"/>
      <c r="Z463" s="12"/>
      <c r="AA463" s="13">
        <f t="shared" si="125"/>
        <v>0</v>
      </c>
      <c r="AB463" s="14">
        <v>46064</v>
      </c>
    </row>
    <row r="464" spans="1:28" ht="15.75" hidden="1" x14ac:dyDescent="0.25">
      <c r="A464" s="65">
        <v>46064</v>
      </c>
      <c r="B464" s="10" t="s">
        <v>476</v>
      </c>
      <c r="C464" s="10"/>
      <c r="D464" s="10" t="s">
        <v>28</v>
      </c>
      <c r="E464" s="10" t="s">
        <v>291</v>
      </c>
      <c r="F464" s="10">
        <v>2</v>
      </c>
      <c r="G464" s="10" t="s">
        <v>39</v>
      </c>
      <c r="H464" s="10">
        <v>480000</v>
      </c>
      <c r="I464" s="10">
        <f t="shared" si="124"/>
        <v>960000</v>
      </c>
      <c r="J464" s="29" t="s">
        <v>110</v>
      </c>
      <c r="K464" s="10"/>
      <c r="L464" s="12">
        <f t="shared" si="131"/>
        <v>0</v>
      </c>
      <c r="M464" s="12"/>
      <c r="N464" s="12"/>
      <c r="O464" s="12">
        <f t="shared" si="132"/>
        <v>960000</v>
      </c>
      <c r="P464" s="12">
        <v>960000</v>
      </c>
      <c r="Q464" s="12"/>
      <c r="R464" s="12">
        <f t="shared" si="133"/>
        <v>0</v>
      </c>
      <c r="S464" s="12"/>
      <c r="T464" s="12"/>
      <c r="U464" s="12">
        <f t="shared" si="134"/>
        <v>0</v>
      </c>
      <c r="V464" s="12"/>
      <c r="W464" s="12"/>
      <c r="X464" s="12">
        <f t="shared" si="135"/>
        <v>0</v>
      </c>
      <c r="Y464" s="12"/>
      <c r="Z464" s="12"/>
      <c r="AA464" s="13">
        <f t="shared" si="125"/>
        <v>0</v>
      </c>
      <c r="AB464" s="14">
        <v>46064</v>
      </c>
    </row>
    <row r="465" spans="1:28" ht="15.75" hidden="1" x14ac:dyDescent="0.25">
      <c r="A465" s="65">
        <v>46064</v>
      </c>
      <c r="B465" s="10" t="s">
        <v>395</v>
      </c>
      <c r="C465" s="10"/>
      <c r="D465" s="10" t="s">
        <v>383</v>
      </c>
      <c r="E465" s="10" t="s">
        <v>104</v>
      </c>
      <c r="F465" s="10">
        <v>1000</v>
      </c>
      <c r="G465" s="10" t="s">
        <v>26</v>
      </c>
      <c r="H465" s="10">
        <v>2000</v>
      </c>
      <c r="I465" s="10">
        <f t="shared" si="124"/>
        <v>2000000</v>
      </c>
      <c r="J465" s="29" t="s">
        <v>110</v>
      </c>
      <c r="K465" s="10"/>
      <c r="L465" s="12">
        <f t="shared" si="131"/>
        <v>0</v>
      </c>
      <c r="M465" s="12"/>
      <c r="N465" s="12"/>
      <c r="O465" s="12">
        <f t="shared" si="132"/>
        <v>2000000</v>
      </c>
      <c r="P465" s="12">
        <v>2000000</v>
      </c>
      <c r="Q465" s="12"/>
      <c r="R465" s="12">
        <f t="shared" si="133"/>
        <v>0</v>
      </c>
      <c r="S465" s="12"/>
      <c r="T465" s="12"/>
      <c r="U465" s="12">
        <f t="shared" si="134"/>
        <v>0</v>
      </c>
      <c r="V465" s="12"/>
      <c r="W465" s="12"/>
      <c r="X465" s="12">
        <f t="shared" si="135"/>
        <v>0</v>
      </c>
      <c r="Y465" s="12"/>
      <c r="Z465" s="12"/>
      <c r="AA465" s="13">
        <f t="shared" si="125"/>
        <v>0</v>
      </c>
      <c r="AB465" s="14">
        <v>46065</v>
      </c>
    </row>
    <row r="466" spans="1:28" ht="15.75" x14ac:dyDescent="0.25">
      <c r="A466" s="28">
        <v>46064</v>
      </c>
      <c r="B466" s="10" t="s">
        <v>272</v>
      </c>
      <c r="C466" s="10"/>
      <c r="D466" s="10"/>
      <c r="E466" s="10" t="s">
        <v>304</v>
      </c>
      <c r="F466" s="10">
        <v>37.5</v>
      </c>
      <c r="G466" s="10" t="s">
        <v>36</v>
      </c>
      <c r="H466" s="10">
        <v>90000</v>
      </c>
      <c r="I466" s="10">
        <f t="shared" si="124"/>
        <v>3375000</v>
      </c>
      <c r="J466" s="86" t="s">
        <v>30</v>
      </c>
      <c r="K466" s="10"/>
      <c r="L466" s="12">
        <f t="shared" si="131"/>
        <v>0</v>
      </c>
      <c r="M466" s="12"/>
      <c r="N466" s="12"/>
      <c r="O466" s="12">
        <f t="shared" si="132"/>
        <v>0</v>
      </c>
      <c r="P466" s="12"/>
      <c r="Q466" s="12"/>
      <c r="R466" s="12">
        <f t="shared" si="133"/>
        <v>0</v>
      </c>
      <c r="S466" s="12"/>
      <c r="T466" s="12"/>
      <c r="U466" s="12">
        <f t="shared" si="134"/>
        <v>0</v>
      </c>
      <c r="V466" s="12"/>
      <c r="W466" s="12"/>
      <c r="X466" s="12">
        <f t="shared" si="135"/>
        <v>0</v>
      </c>
      <c r="Y466" s="12"/>
      <c r="Z466" s="12"/>
      <c r="AA466" s="13">
        <f t="shared" si="125"/>
        <v>3375000</v>
      </c>
      <c r="AB466" s="14"/>
    </row>
    <row r="467" spans="1:28" ht="15.75" x14ac:dyDescent="0.25">
      <c r="A467" s="65">
        <v>46064</v>
      </c>
      <c r="B467" s="10" t="s">
        <v>272</v>
      </c>
      <c r="C467" s="10"/>
      <c r="D467" s="10"/>
      <c r="E467" s="10" t="s">
        <v>139</v>
      </c>
      <c r="F467" s="10">
        <v>38.5</v>
      </c>
      <c r="G467" s="10" t="s">
        <v>36</v>
      </c>
      <c r="H467" s="10">
        <v>43000</v>
      </c>
      <c r="I467" s="10">
        <f t="shared" si="124"/>
        <v>1655500</v>
      </c>
      <c r="J467" s="115" t="s">
        <v>90</v>
      </c>
      <c r="K467" s="10"/>
      <c r="L467" s="12">
        <f t="shared" si="131"/>
        <v>0</v>
      </c>
      <c r="M467" s="12"/>
      <c r="N467" s="12"/>
      <c r="O467" s="12">
        <f t="shared" si="132"/>
        <v>0</v>
      </c>
      <c r="P467" s="12"/>
      <c r="Q467" s="12"/>
      <c r="R467" s="12">
        <f t="shared" si="133"/>
        <v>0</v>
      </c>
      <c r="S467" s="12"/>
      <c r="T467" s="12"/>
      <c r="U467" s="12">
        <f t="shared" si="134"/>
        <v>0</v>
      </c>
      <c r="V467" s="12"/>
      <c r="W467" s="12"/>
      <c r="X467" s="12">
        <f t="shared" si="135"/>
        <v>0</v>
      </c>
      <c r="Y467" s="12"/>
      <c r="Z467" s="12"/>
      <c r="AA467" s="13">
        <f t="shared" si="125"/>
        <v>1655500</v>
      </c>
      <c r="AB467" s="14"/>
    </row>
    <row r="468" spans="1:28" ht="16.5" thickBot="1" x14ac:dyDescent="0.3">
      <c r="A468" s="53">
        <v>46064</v>
      </c>
      <c r="B468" s="31" t="s">
        <v>272</v>
      </c>
      <c r="C468" s="31"/>
      <c r="D468" s="31"/>
      <c r="E468" s="31" t="s">
        <v>136</v>
      </c>
      <c r="F468" s="31">
        <v>96.7</v>
      </c>
      <c r="G468" s="31" t="s">
        <v>36</v>
      </c>
      <c r="H468" s="31">
        <v>43000</v>
      </c>
      <c r="I468" s="31">
        <f t="shared" si="124"/>
        <v>4158100</v>
      </c>
      <c r="J468" s="116" t="s">
        <v>90</v>
      </c>
      <c r="K468" s="31"/>
      <c r="L468" s="34">
        <f t="shared" si="131"/>
        <v>0</v>
      </c>
      <c r="M468" s="34"/>
      <c r="N468" s="34"/>
      <c r="O468" s="34">
        <f t="shared" si="132"/>
        <v>0</v>
      </c>
      <c r="P468" s="34"/>
      <c r="Q468" s="34"/>
      <c r="R468" s="34">
        <f t="shared" si="133"/>
        <v>0</v>
      </c>
      <c r="S468" s="34"/>
      <c r="T468" s="34"/>
      <c r="U468" s="34">
        <f t="shared" si="134"/>
        <v>0</v>
      </c>
      <c r="V468" s="34"/>
      <c r="W468" s="34"/>
      <c r="X468" s="34">
        <f t="shared" si="135"/>
        <v>0</v>
      </c>
      <c r="Y468" s="34"/>
      <c r="Z468" s="34"/>
      <c r="AA468" s="35">
        <f t="shared" si="125"/>
        <v>4158100</v>
      </c>
      <c r="AB468" s="36"/>
    </row>
    <row r="469" spans="1:28" ht="15.75" hidden="1" x14ac:dyDescent="0.25">
      <c r="A469" s="65">
        <v>46065</v>
      </c>
      <c r="B469" s="66" t="s">
        <v>196</v>
      </c>
      <c r="C469" s="66"/>
      <c r="D469" s="66" t="s">
        <v>28</v>
      </c>
      <c r="E469" s="66" t="s">
        <v>138</v>
      </c>
      <c r="F469" s="66">
        <v>5</v>
      </c>
      <c r="G469" s="66" t="s">
        <v>61</v>
      </c>
      <c r="H469" s="66">
        <v>300000</v>
      </c>
      <c r="I469" s="10">
        <f t="shared" si="124"/>
        <v>1500000</v>
      </c>
      <c r="J469" s="29" t="s">
        <v>110</v>
      </c>
      <c r="K469" s="10"/>
      <c r="L469" s="12">
        <f t="shared" ref="L469" si="136">M469+N469</f>
        <v>0</v>
      </c>
      <c r="M469" s="12"/>
      <c r="N469" s="12"/>
      <c r="O469" s="12">
        <f t="shared" ref="O469" si="137">P469+Q469</f>
        <v>1500000</v>
      </c>
      <c r="P469" s="12">
        <v>1500000</v>
      </c>
      <c r="Q469" s="12"/>
      <c r="R469" s="12">
        <f t="shared" ref="R469" si="138">S469+T469</f>
        <v>0</v>
      </c>
      <c r="S469" s="12"/>
      <c r="T469" s="12"/>
      <c r="U469" s="12">
        <f t="shared" ref="U469" si="139">V469+W469</f>
        <v>0</v>
      </c>
      <c r="V469" s="12"/>
      <c r="W469" s="12"/>
      <c r="X469" s="12">
        <f t="shared" ref="X469" si="140">Y469+Z469</f>
        <v>0</v>
      </c>
      <c r="Y469" s="12"/>
      <c r="Z469" s="12"/>
      <c r="AA469" s="13">
        <f t="shared" si="125"/>
        <v>0</v>
      </c>
      <c r="AB469" s="14">
        <v>46064</v>
      </c>
    </row>
    <row r="470" spans="1:28" ht="15.75" hidden="1" x14ac:dyDescent="0.25">
      <c r="A470" s="65">
        <v>46065</v>
      </c>
      <c r="B470" s="10" t="s">
        <v>477</v>
      </c>
      <c r="C470" s="10"/>
      <c r="D470" s="10" t="s">
        <v>28</v>
      </c>
      <c r="E470" s="10" t="s">
        <v>25</v>
      </c>
      <c r="F470" s="10">
        <v>1200</v>
      </c>
      <c r="G470" s="10" t="s">
        <v>26</v>
      </c>
      <c r="H470" s="10">
        <v>2700</v>
      </c>
      <c r="I470" s="10">
        <f t="shared" si="124"/>
        <v>3240000</v>
      </c>
      <c r="J470" s="29" t="s">
        <v>110</v>
      </c>
      <c r="K470" s="10"/>
      <c r="L470" s="12">
        <f t="shared" ref="L470:L475" si="141">M470+N470</f>
        <v>0</v>
      </c>
      <c r="M470" s="12"/>
      <c r="N470" s="12"/>
      <c r="O470" s="12">
        <f t="shared" ref="O470:O475" si="142">P470+Q470</f>
        <v>3240000</v>
      </c>
      <c r="P470" s="12">
        <v>3240000</v>
      </c>
      <c r="Q470" s="12"/>
      <c r="R470" s="12">
        <f t="shared" ref="R470:R475" si="143">S470+T470</f>
        <v>0</v>
      </c>
      <c r="S470" s="12"/>
      <c r="T470" s="12"/>
      <c r="U470" s="12">
        <f t="shared" ref="U470:U475" si="144">V470+W470</f>
        <v>0</v>
      </c>
      <c r="V470" s="12"/>
      <c r="W470" s="12"/>
      <c r="X470" s="12">
        <f t="shared" ref="X470:X475" si="145">Y470+Z470</f>
        <v>0</v>
      </c>
      <c r="Y470" s="12"/>
      <c r="Z470" s="12"/>
      <c r="AA470" s="13">
        <f t="shared" si="125"/>
        <v>0</v>
      </c>
      <c r="AB470" s="14">
        <v>46064</v>
      </c>
    </row>
    <row r="471" spans="1:28" ht="15.75" hidden="1" x14ac:dyDescent="0.25">
      <c r="A471" s="65">
        <v>46065</v>
      </c>
      <c r="B471" s="10" t="s">
        <v>478</v>
      </c>
      <c r="C471" s="10"/>
      <c r="D471" s="10" t="s">
        <v>383</v>
      </c>
      <c r="E471" s="10" t="s">
        <v>214</v>
      </c>
      <c r="F471" s="10">
        <v>200</v>
      </c>
      <c r="G471" s="10" t="s">
        <v>26</v>
      </c>
      <c r="H471" s="10">
        <v>1700</v>
      </c>
      <c r="I471" s="10">
        <f t="shared" si="124"/>
        <v>340000</v>
      </c>
      <c r="J471" s="29" t="s">
        <v>113</v>
      </c>
      <c r="K471" s="10"/>
      <c r="L471" s="12">
        <f t="shared" si="141"/>
        <v>0</v>
      </c>
      <c r="M471" s="12"/>
      <c r="N471" s="12"/>
      <c r="O471" s="12">
        <f t="shared" si="142"/>
        <v>0</v>
      </c>
      <c r="P471" s="12"/>
      <c r="Q471" s="12"/>
      <c r="R471" s="12">
        <f t="shared" si="143"/>
        <v>0</v>
      </c>
      <c r="S471" s="12"/>
      <c r="T471" s="12"/>
      <c r="U471" s="12">
        <f t="shared" si="144"/>
        <v>340000</v>
      </c>
      <c r="V471" s="12">
        <v>340000</v>
      </c>
      <c r="W471" s="12"/>
      <c r="X471" s="12">
        <f t="shared" si="145"/>
        <v>0</v>
      </c>
      <c r="Y471" s="12"/>
      <c r="Z471" s="12"/>
      <c r="AA471" s="13">
        <f t="shared" si="125"/>
        <v>0</v>
      </c>
      <c r="AB471" s="14">
        <v>46065</v>
      </c>
    </row>
    <row r="472" spans="1:28" ht="15.75" hidden="1" x14ac:dyDescent="0.25">
      <c r="A472" s="65">
        <v>46065</v>
      </c>
      <c r="B472" s="10" t="s">
        <v>255</v>
      </c>
      <c r="C472" s="10"/>
      <c r="D472" s="10" t="s">
        <v>383</v>
      </c>
      <c r="E472" s="10" t="s">
        <v>84</v>
      </c>
      <c r="F472" s="10">
        <v>34.700000000000003</v>
      </c>
      <c r="G472" s="10" t="s">
        <v>36</v>
      </c>
      <c r="H472" s="10">
        <v>43000</v>
      </c>
      <c r="I472" s="10">
        <f t="shared" si="124"/>
        <v>1492100.0000000002</v>
      </c>
      <c r="J472" s="29" t="s">
        <v>113</v>
      </c>
      <c r="K472" s="10"/>
      <c r="L472" s="12">
        <f t="shared" si="141"/>
        <v>0</v>
      </c>
      <c r="M472" s="12"/>
      <c r="N472" s="12"/>
      <c r="O472" s="12">
        <f t="shared" si="142"/>
        <v>0</v>
      </c>
      <c r="P472" s="12"/>
      <c r="Q472" s="12"/>
      <c r="R472" s="12">
        <f t="shared" si="143"/>
        <v>0</v>
      </c>
      <c r="S472" s="12"/>
      <c r="T472" s="12"/>
      <c r="U472" s="12">
        <f t="shared" si="144"/>
        <v>1492100</v>
      </c>
      <c r="V472" s="12">
        <v>1492100</v>
      </c>
      <c r="W472" s="12"/>
      <c r="X472" s="12">
        <f t="shared" si="145"/>
        <v>0</v>
      </c>
      <c r="Y472" s="12"/>
      <c r="Z472" s="12"/>
      <c r="AA472" s="13">
        <f t="shared" si="125"/>
        <v>2.3283064365386963E-10</v>
      </c>
      <c r="AB472" s="14">
        <v>46065</v>
      </c>
    </row>
    <row r="473" spans="1:28" ht="15.75" hidden="1" x14ac:dyDescent="0.25">
      <c r="A473" s="65">
        <v>46065</v>
      </c>
      <c r="B473" s="10" t="s">
        <v>292</v>
      </c>
      <c r="C473" s="10"/>
      <c r="D473" s="10" t="s">
        <v>383</v>
      </c>
      <c r="E473" s="10" t="s">
        <v>116</v>
      </c>
      <c r="F473" s="10">
        <v>2</v>
      </c>
      <c r="G473" s="10" t="s">
        <v>67</v>
      </c>
      <c r="H473" s="10">
        <v>65000</v>
      </c>
      <c r="I473" s="10">
        <f t="shared" si="124"/>
        <v>130000</v>
      </c>
      <c r="J473" s="29" t="s">
        <v>113</v>
      </c>
      <c r="K473" s="10"/>
      <c r="L473" s="12">
        <f t="shared" si="141"/>
        <v>0</v>
      </c>
      <c r="M473" s="12"/>
      <c r="N473" s="12"/>
      <c r="O473" s="12">
        <f t="shared" si="142"/>
        <v>0</v>
      </c>
      <c r="P473" s="12"/>
      <c r="Q473" s="12"/>
      <c r="R473" s="12">
        <f t="shared" si="143"/>
        <v>0</v>
      </c>
      <c r="S473" s="12"/>
      <c r="T473" s="12"/>
      <c r="U473" s="12">
        <f t="shared" si="144"/>
        <v>130000</v>
      </c>
      <c r="V473" s="12">
        <v>130000</v>
      </c>
      <c r="W473" s="12"/>
      <c r="X473" s="12">
        <f t="shared" si="145"/>
        <v>0</v>
      </c>
      <c r="Y473" s="12"/>
      <c r="Z473" s="12"/>
      <c r="AA473" s="13">
        <f t="shared" si="125"/>
        <v>0</v>
      </c>
      <c r="AB473" s="14">
        <v>46065</v>
      </c>
    </row>
    <row r="474" spans="1:28" ht="15.75" hidden="1" x14ac:dyDescent="0.25">
      <c r="A474" s="65">
        <v>46065</v>
      </c>
      <c r="B474" s="10" t="s">
        <v>69</v>
      </c>
      <c r="C474" s="10"/>
      <c r="D474" s="10" t="s">
        <v>383</v>
      </c>
      <c r="E474" s="10" t="s">
        <v>70</v>
      </c>
      <c r="F474" s="10">
        <v>100</v>
      </c>
      <c r="G474" s="10" t="s">
        <v>36</v>
      </c>
      <c r="H474" s="10">
        <v>55000</v>
      </c>
      <c r="I474" s="10">
        <f t="shared" si="124"/>
        <v>5500000</v>
      </c>
      <c r="J474" s="29" t="s">
        <v>110</v>
      </c>
      <c r="K474" s="10"/>
      <c r="L474" s="12">
        <f t="shared" si="141"/>
        <v>0</v>
      </c>
      <c r="M474" s="12"/>
      <c r="N474" s="12"/>
      <c r="O474" s="12">
        <f t="shared" si="142"/>
        <v>5500000</v>
      </c>
      <c r="P474" s="12">
        <v>5500000</v>
      </c>
      <c r="Q474" s="12"/>
      <c r="R474" s="12">
        <f t="shared" si="143"/>
        <v>0</v>
      </c>
      <c r="S474" s="12"/>
      <c r="T474" s="12"/>
      <c r="U474" s="12">
        <f t="shared" si="144"/>
        <v>0</v>
      </c>
      <c r="V474" s="12"/>
      <c r="W474" s="12"/>
      <c r="X474" s="12">
        <f t="shared" si="145"/>
        <v>0</v>
      </c>
      <c r="Y474" s="12"/>
      <c r="Z474" s="12"/>
      <c r="AA474" s="13">
        <f t="shared" si="125"/>
        <v>0</v>
      </c>
      <c r="AB474" s="14">
        <v>46065</v>
      </c>
    </row>
    <row r="475" spans="1:28" ht="15.75" hidden="1" x14ac:dyDescent="0.25">
      <c r="A475" s="65">
        <v>46065</v>
      </c>
      <c r="B475" s="10" t="s">
        <v>243</v>
      </c>
      <c r="C475" s="10"/>
      <c r="D475" s="10" t="s">
        <v>195</v>
      </c>
      <c r="E475" s="10" t="s">
        <v>265</v>
      </c>
      <c r="F475" s="10">
        <v>23</v>
      </c>
      <c r="G475" s="10" t="s">
        <v>36</v>
      </c>
      <c r="H475" s="10">
        <v>43000</v>
      </c>
      <c r="I475" s="10">
        <f t="shared" si="124"/>
        <v>989000</v>
      </c>
      <c r="J475" s="29" t="s">
        <v>113</v>
      </c>
      <c r="K475" s="10"/>
      <c r="L475" s="12">
        <f t="shared" si="141"/>
        <v>989000</v>
      </c>
      <c r="M475" s="12">
        <v>989000</v>
      </c>
      <c r="N475" s="12"/>
      <c r="O475" s="12">
        <f t="shared" si="142"/>
        <v>0</v>
      </c>
      <c r="P475" s="12"/>
      <c r="Q475" s="12"/>
      <c r="R475" s="12">
        <f t="shared" si="143"/>
        <v>0</v>
      </c>
      <c r="S475" s="12"/>
      <c r="T475" s="12"/>
      <c r="U475" s="12">
        <f t="shared" si="144"/>
        <v>0</v>
      </c>
      <c r="V475" s="12"/>
      <c r="W475" s="12"/>
      <c r="X475" s="12">
        <f t="shared" si="145"/>
        <v>0</v>
      </c>
      <c r="Y475" s="12"/>
      <c r="Z475" s="12"/>
      <c r="AA475" s="13">
        <f t="shared" si="125"/>
        <v>0</v>
      </c>
      <c r="AB475" s="14">
        <v>46065</v>
      </c>
    </row>
    <row r="476" spans="1:28" ht="15.75" hidden="1" x14ac:dyDescent="0.25">
      <c r="A476" s="65">
        <v>46065</v>
      </c>
      <c r="B476" s="10" t="s">
        <v>318</v>
      </c>
      <c r="C476" s="10"/>
      <c r="D476" s="10" t="s">
        <v>195</v>
      </c>
      <c r="E476" s="10" t="s">
        <v>66</v>
      </c>
      <c r="F476" s="10">
        <v>20</v>
      </c>
      <c r="G476" s="10" t="s">
        <v>67</v>
      </c>
      <c r="H476" s="10">
        <v>50000</v>
      </c>
      <c r="I476" s="10">
        <f t="shared" si="124"/>
        <v>1000000</v>
      </c>
      <c r="J476" s="29" t="s">
        <v>110</v>
      </c>
      <c r="K476" s="10"/>
      <c r="L476" s="12">
        <f t="shared" ref="L476" si="146">M476+N476</f>
        <v>0</v>
      </c>
      <c r="M476" s="12"/>
      <c r="N476" s="12"/>
      <c r="O476" s="12">
        <f t="shared" ref="O476" si="147">P476+Q476</f>
        <v>1000000</v>
      </c>
      <c r="P476" s="12">
        <v>1000000</v>
      </c>
      <c r="Q476" s="12"/>
      <c r="R476" s="12">
        <f t="shared" ref="R476" si="148">S476+T476</f>
        <v>0</v>
      </c>
      <c r="S476" s="12"/>
      <c r="T476" s="12"/>
      <c r="U476" s="12">
        <f t="shared" ref="U476" si="149">V476+W476</f>
        <v>0</v>
      </c>
      <c r="V476" s="12"/>
      <c r="W476" s="12"/>
      <c r="X476" s="12">
        <f t="shared" ref="X476" si="150">Y476+Z476</f>
        <v>0</v>
      </c>
      <c r="Y476" s="12"/>
      <c r="Z476" s="12"/>
      <c r="AA476" s="13">
        <f t="shared" si="125"/>
        <v>0</v>
      </c>
      <c r="AB476" s="14">
        <v>46065</v>
      </c>
    </row>
    <row r="477" spans="1:28" ht="15.75" hidden="1" x14ac:dyDescent="0.25">
      <c r="A477" s="65">
        <v>46065</v>
      </c>
      <c r="B477" s="10" t="s">
        <v>149</v>
      </c>
      <c r="C477" s="10"/>
      <c r="D477" s="10" t="s">
        <v>383</v>
      </c>
      <c r="E477" s="10" t="s">
        <v>107</v>
      </c>
      <c r="F477" s="10">
        <v>300</v>
      </c>
      <c r="G477" s="10" t="s">
        <v>36</v>
      </c>
      <c r="H477" s="10">
        <v>62500</v>
      </c>
      <c r="I477" s="10">
        <f t="shared" si="124"/>
        <v>18750000</v>
      </c>
      <c r="J477" s="52" t="s">
        <v>90</v>
      </c>
      <c r="K477" s="10"/>
      <c r="L477" s="12">
        <f t="shared" ref="L477:L479" si="151">M477+N477</f>
        <v>0</v>
      </c>
      <c r="M477" s="12"/>
      <c r="N477" s="12"/>
      <c r="O477" s="12">
        <f t="shared" ref="O477:O479" si="152">P477+Q477</f>
        <v>0</v>
      </c>
      <c r="P477" s="12"/>
      <c r="Q477" s="12"/>
      <c r="R477" s="12">
        <f t="shared" ref="R477:R479" si="153">S477+T477</f>
        <v>0</v>
      </c>
      <c r="S477" s="12"/>
      <c r="T477" s="12"/>
      <c r="U477" s="12">
        <f t="shared" ref="U477:U479" si="154">V477+W477</f>
        <v>0</v>
      </c>
      <c r="V477" s="12"/>
      <c r="W477" s="12"/>
      <c r="X477" s="12">
        <f t="shared" ref="X477:X479" si="155">Y477+Z477</f>
        <v>0</v>
      </c>
      <c r="Y477" s="12"/>
      <c r="Z477" s="12"/>
      <c r="AA477" s="13">
        <f t="shared" si="125"/>
        <v>18750000</v>
      </c>
      <c r="AB477" s="14"/>
    </row>
    <row r="478" spans="1:28" ht="15.75" hidden="1" x14ac:dyDescent="0.25">
      <c r="A478" s="65">
        <v>46065</v>
      </c>
      <c r="B478" s="10" t="s">
        <v>319</v>
      </c>
      <c r="C478" s="10"/>
      <c r="D478" s="10" t="s">
        <v>383</v>
      </c>
      <c r="E478" s="10" t="s">
        <v>88</v>
      </c>
      <c r="F478" s="10">
        <v>25</v>
      </c>
      <c r="G478" s="10" t="s">
        <v>36</v>
      </c>
      <c r="H478" s="10">
        <v>125000</v>
      </c>
      <c r="I478" s="10">
        <f t="shared" si="124"/>
        <v>3125000</v>
      </c>
      <c r="J478" s="29" t="s">
        <v>110</v>
      </c>
      <c r="K478" s="10"/>
      <c r="L478" s="12">
        <f t="shared" si="151"/>
        <v>0</v>
      </c>
      <c r="M478" s="12"/>
      <c r="N478" s="12"/>
      <c r="O478" s="12">
        <f t="shared" si="152"/>
        <v>3125000</v>
      </c>
      <c r="P478" s="12">
        <v>3125000</v>
      </c>
      <c r="Q478" s="12"/>
      <c r="R478" s="12">
        <f t="shared" si="153"/>
        <v>0</v>
      </c>
      <c r="S478" s="12"/>
      <c r="T478" s="12"/>
      <c r="U478" s="12">
        <f t="shared" si="154"/>
        <v>0</v>
      </c>
      <c r="V478" s="12"/>
      <c r="W478" s="12"/>
      <c r="X478" s="12">
        <f t="shared" si="155"/>
        <v>0</v>
      </c>
      <c r="Y478" s="12"/>
      <c r="Z478" s="12"/>
      <c r="AA478" s="13">
        <f t="shared" si="125"/>
        <v>0</v>
      </c>
      <c r="AB478" s="14">
        <v>46072</v>
      </c>
    </row>
    <row r="479" spans="1:28" ht="15.75" hidden="1" x14ac:dyDescent="0.25">
      <c r="A479" s="65">
        <v>46065</v>
      </c>
      <c r="B479" s="10" t="s">
        <v>437</v>
      </c>
      <c r="C479" s="10"/>
      <c r="D479" s="10" t="s">
        <v>195</v>
      </c>
      <c r="E479" s="10" t="s">
        <v>228</v>
      </c>
      <c r="F479" s="10">
        <v>6</v>
      </c>
      <c r="G479" s="10" t="s">
        <v>36</v>
      </c>
      <c r="H479" s="10">
        <v>300000</v>
      </c>
      <c r="I479" s="10">
        <f t="shared" si="124"/>
        <v>1800000</v>
      </c>
      <c r="J479" s="29" t="s">
        <v>110</v>
      </c>
      <c r="K479" s="10"/>
      <c r="L479" s="12">
        <f t="shared" si="151"/>
        <v>0</v>
      </c>
      <c r="M479" s="12"/>
      <c r="N479" s="12"/>
      <c r="O479" s="12">
        <f t="shared" si="152"/>
        <v>1800000</v>
      </c>
      <c r="P479" s="12">
        <v>1800000</v>
      </c>
      <c r="Q479" s="12"/>
      <c r="R479" s="12">
        <f t="shared" si="153"/>
        <v>0</v>
      </c>
      <c r="S479" s="12"/>
      <c r="T479" s="12"/>
      <c r="U479" s="12">
        <f t="shared" si="154"/>
        <v>0</v>
      </c>
      <c r="V479" s="12"/>
      <c r="W479" s="12"/>
      <c r="X479" s="12">
        <f t="shared" si="155"/>
        <v>0</v>
      </c>
      <c r="Y479" s="12"/>
      <c r="Z479" s="12"/>
      <c r="AA479" s="13">
        <f t="shared" si="125"/>
        <v>0</v>
      </c>
      <c r="AB479" s="14">
        <v>46065</v>
      </c>
    </row>
    <row r="480" spans="1:28" ht="15.75" hidden="1" x14ac:dyDescent="0.25">
      <c r="A480" s="65">
        <v>46065</v>
      </c>
      <c r="B480" s="10" t="s">
        <v>246</v>
      </c>
      <c r="C480" s="10"/>
      <c r="D480" s="10" t="s">
        <v>383</v>
      </c>
      <c r="E480" s="10" t="s">
        <v>325</v>
      </c>
      <c r="F480" s="10">
        <v>6</v>
      </c>
      <c r="G480" s="10" t="s">
        <v>61</v>
      </c>
      <c r="H480" s="10">
        <v>150000</v>
      </c>
      <c r="I480" s="10">
        <f t="shared" si="124"/>
        <v>900000</v>
      </c>
      <c r="J480" s="29" t="s">
        <v>113</v>
      </c>
      <c r="K480" s="10"/>
      <c r="L480" s="12">
        <f t="shared" ref="L480:L481" si="156">M480+N480</f>
        <v>0</v>
      </c>
      <c r="M480" s="12"/>
      <c r="N480" s="12"/>
      <c r="O480" s="12">
        <f t="shared" ref="O480:O481" si="157">P480+Q480</f>
        <v>0</v>
      </c>
      <c r="P480" s="12"/>
      <c r="Q480" s="12"/>
      <c r="R480" s="12">
        <f t="shared" ref="R480:R481" si="158">S480+T480</f>
        <v>900000</v>
      </c>
      <c r="S480" s="12">
        <v>900000</v>
      </c>
      <c r="T480" s="12"/>
      <c r="U480" s="12">
        <f t="shared" ref="U480:U481" si="159">V480+W480</f>
        <v>0</v>
      </c>
      <c r="V480" s="12"/>
      <c r="W480" s="12"/>
      <c r="X480" s="12">
        <f t="shared" ref="X480:X481" si="160">Y480+Z480</f>
        <v>0</v>
      </c>
      <c r="Y480" s="12"/>
      <c r="Z480" s="12"/>
      <c r="AA480" s="13">
        <f t="shared" si="125"/>
        <v>0</v>
      </c>
      <c r="AB480" s="14">
        <v>46065</v>
      </c>
    </row>
    <row r="481" spans="1:28" ht="15.75" hidden="1" x14ac:dyDescent="0.25">
      <c r="A481" s="65">
        <v>46065</v>
      </c>
      <c r="B481" s="10" t="s">
        <v>342</v>
      </c>
      <c r="C481" s="10"/>
      <c r="D481" s="10" t="s">
        <v>383</v>
      </c>
      <c r="E481" s="10" t="s">
        <v>205</v>
      </c>
      <c r="F481" s="120">
        <v>50</v>
      </c>
      <c r="G481" s="10" t="s">
        <v>36</v>
      </c>
      <c r="H481" s="10">
        <v>70000</v>
      </c>
      <c r="I481" s="10">
        <f t="shared" si="124"/>
        <v>3500000</v>
      </c>
      <c r="J481" s="29" t="s">
        <v>110</v>
      </c>
      <c r="K481" s="10"/>
      <c r="L481" s="12">
        <f t="shared" si="156"/>
        <v>0</v>
      </c>
      <c r="M481" s="12"/>
      <c r="N481" s="12"/>
      <c r="O481" s="12">
        <f t="shared" si="157"/>
        <v>3500000</v>
      </c>
      <c r="P481" s="12">
        <v>3500000</v>
      </c>
      <c r="Q481" s="12"/>
      <c r="R481" s="12">
        <f t="shared" si="158"/>
        <v>0</v>
      </c>
      <c r="S481" s="12"/>
      <c r="T481" s="12"/>
      <c r="U481" s="12">
        <f t="shared" si="159"/>
        <v>0</v>
      </c>
      <c r="V481" s="12"/>
      <c r="W481" s="12"/>
      <c r="X481" s="12">
        <f t="shared" si="160"/>
        <v>0</v>
      </c>
      <c r="Y481" s="12"/>
      <c r="Z481" s="12"/>
      <c r="AA481" s="13">
        <f t="shared" si="125"/>
        <v>0</v>
      </c>
      <c r="AB481" s="14">
        <v>46065</v>
      </c>
    </row>
    <row r="482" spans="1:28" ht="15.75" x14ac:dyDescent="0.25">
      <c r="A482" s="28">
        <v>46065</v>
      </c>
      <c r="B482" s="10" t="s">
        <v>272</v>
      </c>
      <c r="C482" s="10"/>
      <c r="D482" s="10"/>
      <c r="E482" s="10" t="s">
        <v>436</v>
      </c>
      <c r="F482" s="10">
        <v>33.299999999999997</v>
      </c>
      <c r="G482" s="10" t="s">
        <v>36</v>
      </c>
      <c r="H482" s="10">
        <v>43000</v>
      </c>
      <c r="I482" s="10">
        <f t="shared" si="124"/>
        <v>1431899.9999999998</v>
      </c>
      <c r="J482" s="86" t="s">
        <v>30</v>
      </c>
      <c r="K482" s="10"/>
      <c r="L482" s="12">
        <f t="shared" ref="L482:L485" si="161">M482+N482</f>
        <v>0</v>
      </c>
      <c r="M482" s="12"/>
      <c r="N482" s="12"/>
      <c r="O482" s="12">
        <f t="shared" ref="O482:O485" si="162">P482+Q482</f>
        <v>0</v>
      </c>
      <c r="P482" s="12"/>
      <c r="Q482" s="12"/>
      <c r="R482" s="12">
        <f t="shared" ref="R482:R485" si="163">S482+T482</f>
        <v>0</v>
      </c>
      <c r="S482" s="12"/>
      <c r="T482" s="12"/>
      <c r="U482" s="12">
        <f t="shared" ref="U482:U485" si="164">V482+W482</f>
        <v>0</v>
      </c>
      <c r="V482" s="12"/>
      <c r="W482" s="12"/>
      <c r="X482" s="12">
        <f t="shared" ref="X482:X485" si="165">Y482+Z482</f>
        <v>0</v>
      </c>
      <c r="Y482" s="12"/>
      <c r="Z482" s="12"/>
      <c r="AA482" s="13">
        <f t="shared" si="125"/>
        <v>1431899.9999999998</v>
      </c>
      <c r="AB482" s="14"/>
    </row>
    <row r="483" spans="1:28" ht="15.75" x14ac:dyDescent="0.25">
      <c r="A483" s="65">
        <v>46065</v>
      </c>
      <c r="B483" s="66" t="s">
        <v>272</v>
      </c>
      <c r="C483" s="10"/>
      <c r="D483" s="10"/>
      <c r="E483" s="10" t="s">
        <v>136</v>
      </c>
      <c r="F483" s="10">
        <v>24</v>
      </c>
      <c r="G483" s="10" t="s">
        <v>36</v>
      </c>
      <c r="H483" s="10">
        <v>43000</v>
      </c>
      <c r="I483" s="10">
        <f t="shared" si="124"/>
        <v>1032000</v>
      </c>
      <c r="J483" s="115" t="s">
        <v>90</v>
      </c>
      <c r="K483" s="10"/>
      <c r="L483" s="12">
        <f t="shared" si="161"/>
        <v>0</v>
      </c>
      <c r="M483" s="12"/>
      <c r="N483" s="12"/>
      <c r="O483" s="12">
        <f t="shared" si="162"/>
        <v>0</v>
      </c>
      <c r="P483" s="12"/>
      <c r="Q483" s="12"/>
      <c r="R483" s="12">
        <f t="shared" si="163"/>
        <v>0</v>
      </c>
      <c r="S483" s="12"/>
      <c r="T483" s="12"/>
      <c r="U483" s="12">
        <f t="shared" si="164"/>
        <v>0</v>
      </c>
      <c r="V483" s="12"/>
      <c r="W483" s="12"/>
      <c r="X483" s="12">
        <f t="shared" si="165"/>
        <v>0</v>
      </c>
      <c r="Y483" s="12"/>
      <c r="Z483" s="12"/>
      <c r="AA483" s="13">
        <f t="shared" si="125"/>
        <v>1032000</v>
      </c>
      <c r="AB483" s="14"/>
    </row>
    <row r="484" spans="1:28" ht="15.75" x14ac:dyDescent="0.25">
      <c r="A484" s="65">
        <v>46065</v>
      </c>
      <c r="B484" s="66" t="s">
        <v>272</v>
      </c>
      <c r="C484" s="10"/>
      <c r="D484" s="10"/>
      <c r="E484" s="10" t="s">
        <v>136</v>
      </c>
      <c r="F484" s="10">
        <v>22.2</v>
      </c>
      <c r="G484" s="10" t="s">
        <v>36</v>
      </c>
      <c r="H484" s="10">
        <v>43000</v>
      </c>
      <c r="I484" s="10">
        <f t="shared" si="124"/>
        <v>954600</v>
      </c>
      <c r="J484" s="115" t="s">
        <v>90</v>
      </c>
      <c r="K484" s="10"/>
      <c r="L484" s="12">
        <f t="shared" si="161"/>
        <v>0</v>
      </c>
      <c r="M484" s="12"/>
      <c r="N484" s="12"/>
      <c r="O484" s="12">
        <f t="shared" si="162"/>
        <v>0</v>
      </c>
      <c r="P484" s="12"/>
      <c r="Q484" s="12"/>
      <c r="R484" s="12">
        <f t="shared" si="163"/>
        <v>0</v>
      </c>
      <c r="S484" s="12"/>
      <c r="T484" s="12"/>
      <c r="U484" s="12">
        <f t="shared" si="164"/>
        <v>0</v>
      </c>
      <c r="V484" s="12"/>
      <c r="W484" s="12"/>
      <c r="X484" s="12">
        <f t="shared" si="165"/>
        <v>0</v>
      </c>
      <c r="Y484" s="12"/>
      <c r="Z484" s="12"/>
      <c r="AA484" s="13">
        <f t="shared" si="125"/>
        <v>954600</v>
      </c>
      <c r="AB484" s="14"/>
    </row>
    <row r="485" spans="1:28" ht="16.5" thickBot="1" x14ac:dyDescent="0.3">
      <c r="A485" s="53">
        <v>46065</v>
      </c>
      <c r="B485" s="54" t="s">
        <v>272</v>
      </c>
      <c r="C485" s="31"/>
      <c r="D485" s="31"/>
      <c r="E485" s="31" t="s">
        <v>377</v>
      </c>
      <c r="F485" s="31">
        <v>31.2</v>
      </c>
      <c r="G485" s="31" t="s">
        <v>36</v>
      </c>
      <c r="H485" s="31">
        <v>43000</v>
      </c>
      <c r="I485" s="31">
        <f t="shared" si="124"/>
        <v>1341600</v>
      </c>
      <c r="J485" s="103" t="s">
        <v>30</v>
      </c>
      <c r="K485" s="31"/>
      <c r="L485" s="34">
        <f t="shared" si="161"/>
        <v>0</v>
      </c>
      <c r="M485" s="34"/>
      <c r="N485" s="34"/>
      <c r="O485" s="34">
        <f t="shared" si="162"/>
        <v>0</v>
      </c>
      <c r="P485" s="34"/>
      <c r="Q485" s="34"/>
      <c r="R485" s="34">
        <f t="shared" si="163"/>
        <v>0</v>
      </c>
      <c r="S485" s="34"/>
      <c r="T485" s="34"/>
      <c r="U485" s="34">
        <f t="shared" si="164"/>
        <v>0</v>
      </c>
      <c r="V485" s="34"/>
      <c r="W485" s="34"/>
      <c r="X485" s="34">
        <f t="shared" si="165"/>
        <v>0</v>
      </c>
      <c r="Y485" s="34"/>
      <c r="Z485" s="34"/>
      <c r="AA485" s="35">
        <f t="shared" si="125"/>
        <v>1341600</v>
      </c>
      <c r="AB485" s="36"/>
    </row>
    <row r="486" spans="1:28" ht="15.75" hidden="1" x14ac:dyDescent="0.25">
      <c r="A486" s="65">
        <v>46066</v>
      </c>
      <c r="B486" s="66" t="s">
        <v>233</v>
      </c>
      <c r="C486" s="66"/>
      <c r="D486" s="66" t="s">
        <v>195</v>
      </c>
      <c r="E486" s="66" t="s">
        <v>65</v>
      </c>
      <c r="F486" s="66">
        <v>300</v>
      </c>
      <c r="G486" s="66" t="s">
        <v>26</v>
      </c>
      <c r="H486" s="66">
        <v>4000</v>
      </c>
      <c r="I486" s="10">
        <f t="shared" si="124"/>
        <v>1200000</v>
      </c>
      <c r="J486" s="29" t="s">
        <v>113</v>
      </c>
      <c r="K486" s="10"/>
      <c r="L486" s="12">
        <f t="shared" ref="L486" si="166">M486+N486</f>
        <v>0</v>
      </c>
      <c r="M486" s="12"/>
      <c r="N486" s="12"/>
      <c r="O486" s="12">
        <f t="shared" ref="O486" si="167">P486+Q486</f>
        <v>0</v>
      </c>
      <c r="P486" s="12"/>
      <c r="Q486" s="12"/>
      <c r="R486" s="12">
        <f t="shared" ref="R486" si="168">S486+T486</f>
        <v>0</v>
      </c>
      <c r="S486" s="12"/>
      <c r="T486" s="12"/>
      <c r="U486" s="12">
        <f t="shared" ref="U486" si="169">V486+W486</f>
        <v>1200000</v>
      </c>
      <c r="V486" s="12">
        <v>1200000</v>
      </c>
      <c r="W486" s="12"/>
      <c r="X486" s="12">
        <f t="shared" ref="X486" si="170">Y486+Z486</f>
        <v>0</v>
      </c>
      <c r="Y486" s="12"/>
      <c r="Z486" s="12"/>
      <c r="AA486" s="13">
        <f t="shared" si="125"/>
        <v>0</v>
      </c>
      <c r="AB486" s="14">
        <v>46066</v>
      </c>
    </row>
    <row r="487" spans="1:28" ht="15.75" hidden="1" x14ac:dyDescent="0.25">
      <c r="A487" s="65">
        <v>46066</v>
      </c>
      <c r="B487" s="66" t="s">
        <v>233</v>
      </c>
      <c r="C487" s="10"/>
      <c r="D487" s="10" t="s">
        <v>383</v>
      </c>
      <c r="E487" s="10" t="s">
        <v>412</v>
      </c>
      <c r="F487" s="10">
        <v>10</v>
      </c>
      <c r="G487" s="10" t="s">
        <v>67</v>
      </c>
      <c r="H487" s="10">
        <v>50000</v>
      </c>
      <c r="I487" s="10">
        <f t="shared" si="124"/>
        <v>500000</v>
      </c>
      <c r="J487" s="52" t="s">
        <v>76</v>
      </c>
      <c r="K487" s="10"/>
      <c r="L487" s="12">
        <f t="shared" ref="L487:L508" si="171">M487+N487</f>
        <v>0</v>
      </c>
      <c r="M487" s="12"/>
      <c r="N487" s="12"/>
      <c r="O487" s="12">
        <f t="shared" ref="O487:O508" si="172">P487+Q487</f>
        <v>0</v>
      </c>
      <c r="P487" s="12"/>
      <c r="Q487" s="12"/>
      <c r="R487" s="12">
        <f t="shared" ref="R487:R508" si="173">S487+T487</f>
        <v>0</v>
      </c>
      <c r="S487" s="12"/>
      <c r="T487" s="12"/>
      <c r="U487" s="12">
        <f t="shared" ref="U487:U508" si="174">V487+W487</f>
        <v>0</v>
      </c>
      <c r="V487" s="12"/>
      <c r="W487" s="12"/>
      <c r="X487" s="12">
        <f t="shared" ref="X487:X508" si="175">Y487+Z487</f>
        <v>0</v>
      </c>
      <c r="Y487" s="12"/>
      <c r="Z487" s="12"/>
      <c r="AA487" s="13">
        <f t="shared" si="125"/>
        <v>500000</v>
      </c>
      <c r="AB487" s="14"/>
    </row>
    <row r="488" spans="1:28" ht="15.75" hidden="1" x14ac:dyDescent="0.25">
      <c r="A488" s="65">
        <v>46066</v>
      </c>
      <c r="B488" s="10" t="s">
        <v>480</v>
      </c>
      <c r="C488" s="10"/>
      <c r="D488" s="10" t="s">
        <v>195</v>
      </c>
      <c r="E488" s="10" t="s">
        <v>344</v>
      </c>
      <c r="F488" s="10">
        <v>14.5</v>
      </c>
      <c r="G488" s="10" t="s">
        <v>36</v>
      </c>
      <c r="H488" s="10">
        <v>43000</v>
      </c>
      <c r="I488" s="10">
        <f t="shared" si="124"/>
        <v>623500</v>
      </c>
      <c r="J488" s="29" t="s">
        <v>110</v>
      </c>
      <c r="K488" s="10"/>
      <c r="L488" s="12">
        <f t="shared" si="171"/>
        <v>0</v>
      </c>
      <c r="M488" s="12"/>
      <c r="N488" s="12"/>
      <c r="O488" s="12">
        <f t="shared" si="172"/>
        <v>623500</v>
      </c>
      <c r="P488" s="12">
        <v>623500</v>
      </c>
      <c r="Q488" s="12"/>
      <c r="R488" s="12">
        <f t="shared" si="173"/>
        <v>0</v>
      </c>
      <c r="S488" s="12"/>
      <c r="T488" s="12"/>
      <c r="U488" s="12">
        <f t="shared" si="174"/>
        <v>0</v>
      </c>
      <c r="V488" s="12"/>
      <c r="W488" s="12"/>
      <c r="X488" s="12">
        <f t="shared" si="175"/>
        <v>0</v>
      </c>
      <c r="Y488" s="12"/>
      <c r="Z488" s="12"/>
      <c r="AA488" s="13">
        <f t="shared" si="125"/>
        <v>0</v>
      </c>
      <c r="AB488" s="14">
        <v>46063</v>
      </c>
    </row>
    <row r="489" spans="1:28" ht="15.75" hidden="1" x14ac:dyDescent="0.25">
      <c r="A489" s="65">
        <v>46066</v>
      </c>
      <c r="B489" s="10" t="s">
        <v>273</v>
      </c>
      <c r="C489" s="10"/>
      <c r="D489" s="10"/>
      <c r="E489" s="10" t="s">
        <v>119</v>
      </c>
      <c r="F489" s="10">
        <v>25</v>
      </c>
      <c r="G489" s="10" t="s">
        <v>36</v>
      </c>
      <c r="H489" s="10">
        <v>105000</v>
      </c>
      <c r="I489" s="10">
        <f t="shared" si="124"/>
        <v>2625000</v>
      </c>
      <c r="J489" s="115" t="s">
        <v>90</v>
      </c>
      <c r="K489" s="10"/>
      <c r="L489" s="12">
        <f t="shared" si="171"/>
        <v>0</v>
      </c>
      <c r="M489" s="12"/>
      <c r="N489" s="12"/>
      <c r="O489" s="12">
        <f t="shared" si="172"/>
        <v>0</v>
      </c>
      <c r="P489" s="12"/>
      <c r="Q489" s="12"/>
      <c r="R489" s="12">
        <f t="shared" si="173"/>
        <v>0</v>
      </c>
      <c r="S489" s="12"/>
      <c r="T489" s="12"/>
      <c r="U489" s="12">
        <f t="shared" si="174"/>
        <v>0</v>
      </c>
      <c r="V489" s="12"/>
      <c r="W489" s="12"/>
      <c r="X489" s="12">
        <f t="shared" si="175"/>
        <v>0</v>
      </c>
      <c r="Y489" s="12"/>
      <c r="Z489" s="12"/>
      <c r="AA489" s="13">
        <f t="shared" si="125"/>
        <v>2625000</v>
      </c>
      <c r="AB489" s="14"/>
    </row>
    <row r="490" spans="1:28" ht="15.75" hidden="1" x14ac:dyDescent="0.25">
      <c r="A490" s="65">
        <v>46066</v>
      </c>
      <c r="B490" s="10" t="s">
        <v>122</v>
      </c>
      <c r="C490" s="10"/>
      <c r="D490" s="10" t="s">
        <v>383</v>
      </c>
      <c r="E490" s="10" t="s">
        <v>65</v>
      </c>
      <c r="F490" s="94">
        <v>10400</v>
      </c>
      <c r="G490" s="10" t="s">
        <v>26</v>
      </c>
      <c r="H490" s="10">
        <v>3800</v>
      </c>
      <c r="I490" s="10">
        <f t="shared" si="124"/>
        <v>39520000</v>
      </c>
      <c r="J490" s="52" t="s">
        <v>30</v>
      </c>
      <c r="K490" s="10"/>
      <c r="L490" s="12">
        <f t="shared" si="171"/>
        <v>0</v>
      </c>
      <c r="M490" s="12"/>
      <c r="N490" s="12"/>
      <c r="O490" s="12">
        <f t="shared" si="172"/>
        <v>0</v>
      </c>
      <c r="P490" s="12"/>
      <c r="Q490" s="12"/>
      <c r="R490" s="12">
        <f t="shared" si="173"/>
        <v>0</v>
      </c>
      <c r="S490" s="12"/>
      <c r="T490" s="12"/>
      <c r="U490" s="12">
        <f t="shared" si="174"/>
        <v>0</v>
      </c>
      <c r="V490" s="12"/>
      <c r="W490" s="12"/>
      <c r="X490" s="12">
        <f t="shared" si="175"/>
        <v>0</v>
      </c>
      <c r="Y490" s="12"/>
      <c r="Z490" s="12"/>
      <c r="AA490" s="13">
        <f t="shared" si="125"/>
        <v>39520000</v>
      </c>
      <c r="AB490" s="14"/>
    </row>
    <row r="491" spans="1:28" ht="15.75" hidden="1" x14ac:dyDescent="0.25">
      <c r="A491" s="65">
        <v>46066</v>
      </c>
      <c r="B491" s="10" t="s">
        <v>122</v>
      </c>
      <c r="C491" s="10"/>
      <c r="D491" s="10" t="s">
        <v>383</v>
      </c>
      <c r="E491" s="10" t="s">
        <v>80</v>
      </c>
      <c r="F491" s="10">
        <v>225.3</v>
      </c>
      <c r="G491" s="10" t="s">
        <v>36</v>
      </c>
      <c r="H491" s="10">
        <v>43000</v>
      </c>
      <c r="I491" s="10">
        <f t="shared" si="124"/>
        <v>9687900</v>
      </c>
      <c r="J491" s="52" t="s">
        <v>30</v>
      </c>
      <c r="K491" s="10"/>
      <c r="L491" s="12">
        <f t="shared" si="171"/>
        <v>0</v>
      </c>
      <c r="M491" s="12"/>
      <c r="N491" s="12"/>
      <c r="O491" s="12">
        <f t="shared" si="172"/>
        <v>0</v>
      </c>
      <c r="P491" s="12"/>
      <c r="Q491" s="12"/>
      <c r="R491" s="12">
        <f t="shared" si="173"/>
        <v>0</v>
      </c>
      <c r="S491" s="12"/>
      <c r="T491" s="12"/>
      <c r="U491" s="12">
        <f t="shared" si="174"/>
        <v>0</v>
      </c>
      <c r="V491" s="12"/>
      <c r="W491" s="12"/>
      <c r="X491" s="12">
        <f t="shared" si="175"/>
        <v>0</v>
      </c>
      <c r="Y491" s="12"/>
      <c r="Z491" s="12"/>
      <c r="AA491" s="13">
        <f t="shared" si="125"/>
        <v>9687900</v>
      </c>
      <c r="AB491" s="14"/>
    </row>
    <row r="492" spans="1:28" ht="15.75" hidden="1" x14ac:dyDescent="0.25">
      <c r="A492" s="65">
        <v>46066</v>
      </c>
      <c r="B492" s="10" t="s">
        <v>122</v>
      </c>
      <c r="C492" s="10"/>
      <c r="D492" s="10" t="s">
        <v>383</v>
      </c>
      <c r="E492" s="10" t="s">
        <v>198</v>
      </c>
      <c r="F492" s="10">
        <v>64.599999999999994</v>
      </c>
      <c r="G492" s="10" t="s">
        <v>36</v>
      </c>
      <c r="H492" s="10">
        <v>43000</v>
      </c>
      <c r="I492" s="10">
        <f t="shared" si="124"/>
        <v>2777799.9999999995</v>
      </c>
      <c r="J492" s="52" t="s">
        <v>30</v>
      </c>
      <c r="K492" s="10"/>
      <c r="L492" s="12">
        <f t="shared" si="171"/>
        <v>0</v>
      </c>
      <c r="M492" s="12"/>
      <c r="N492" s="12"/>
      <c r="O492" s="12">
        <f t="shared" si="172"/>
        <v>0</v>
      </c>
      <c r="P492" s="12"/>
      <c r="Q492" s="12"/>
      <c r="R492" s="12">
        <f t="shared" si="173"/>
        <v>0</v>
      </c>
      <c r="S492" s="12"/>
      <c r="T492" s="12"/>
      <c r="U492" s="12">
        <f t="shared" si="174"/>
        <v>0</v>
      </c>
      <c r="V492" s="12"/>
      <c r="W492" s="12"/>
      <c r="X492" s="12">
        <f t="shared" si="175"/>
        <v>0</v>
      </c>
      <c r="Y492" s="12"/>
      <c r="Z492" s="12"/>
      <c r="AA492" s="13">
        <f t="shared" si="125"/>
        <v>2777799.9999999995</v>
      </c>
      <c r="AB492" s="14"/>
    </row>
    <row r="493" spans="1:28" ht="15.75" hidden="1" x14ac:dyDescent="0.25">
      <c r="A493" s="65">
        <v>46066</v>
      </c>
      <c r="B493" s="10" t="s">
        <v>122</v>
      </c>
      <c r="C493" s="10"/>
      <c r="D493" s="10" t="s">
        <v>383</v>
      </c>
      <c r="E493" s="10" t="s">
        <v>137</v>
      </c>
      <c r="F493" s="10">
        <v>50</v>
      </c>
      <c r="G493" s="10" t="s">
        <v>36</v>
      </c>
      <c r="H493" s="10">
        <v>200000</v>
      </c>
      <c r="I493" s="10">
        <f t="shared" si="124"/>
        <v>10000000</v>
      </c>
      <c r="J493" s="52" t="s">
        <v>30</v>
      </c>
      <c r="K493" s="10"/>
      <c r="L493" s="12">
        <f t="shared" si="171"/>
        <v>0</v>
      </c>
      <c r="M493" s="12"/>
      <c r="N493" s="12"/>
      <c r="O493" s="12">
        <f t="shared" si="172"/>
        <v>0</v>
      </c>
      <c r="P493" s="12"/>
      <c r="Q493" s="12"/>
      <c r="R493" s="12">
        <f t="shared" si="173"/>
        <v>0</v>
      </c>
      <c r="S493" s="12"/>
      <c r="T493" s="12"/>
      <c r="U493" s="12">
        <f t="shared" si="174"/>
        <v>0</v>
      </c>
      <c r="V493" s="12"/>
      <c r="W493" s="12"/>
      <c r="X493" s="12">
        <f t="shared" si="175"/>
        <v>0</v>
      </c>
      <c r="Y493" s="12"/>
      <c r="Z493" s="12"/>
      <c r="AA493" s="13">
        <f t="shared" si="125"/>
        <v>10000000</v>
      </c>
      <c r="AB493" s="14"/>
    </row>
    <row r="494" spans="1:28" ht="15.75" hidden="1" x14ac:dyDescent="0.25">
      <c r="A494" s="65">
        <v>46066</v>
      </c>
      <c r="B494" s="10" t="s">
        <v>286</v>
      </c>
      <c r="C494" s="10"/>
      <c r="D494" s="10" t="s">
        <v>195</v>
      </c>
      <c r="E494" s="10" t="s">
        <v>112</v>
      </c>
      <c r="F494" s="10">
        <v>30</v>
      </c>
      <c r="G494" s="10" t="s">
        <v>26</v>
      </c>
      <c r="H494" s="10">
        <v>95000</v>
      </c>
      <c r="I494" s="10">
        <f t="shared" si="124"/>
        <v>2850000</v>
      </c>
      <c r="J494" s="29" t="s">
        <v>113</v>
      </c>
      <c r="K494" s="10"/>
      <c r="L494" s="12">
        <f t="shared" si="171"/>
        <v>0</v>
      </c>
      <c r="M494" s="12"/>
      <c r="N494" s="12"/>
      <c r="O494" s="12">
        <f t="shared" si="172"/>
        <v>0</v>
      </c>
      <c r="P494" s="12"/>
      <c r="Q494" s="12"/>
      <c r="R494" s="12">
        <f t="shared" si="173"/>
        <v>0</v>
      </c>
      <c r="S494" s="12"/>
      <c r="T494" s="12"/>
      <c r="U494" s="12">
        <f t="shared" si="174"/>
        <v>2850000</v>
      </c>
      <c r="V494" s="12">
        <v>2850000</v>
      </c>
      <c r="W494" s="12"/>
      <c r="X494" s="12">
        <f t="shared" si="175"/>
        <v>0</v>
      </c>
      <c r="Y494" s="12"/>
      <c r="Z494" s="12"/>
      <c r="AA494" s="13">
        <f t="shared" si="125"/>
        <v>0</v>
      </c>
      <c r="AB494" s="14">
        <v>46066</v>
      </c>
    </row>
    <row r="495" spans="1:28" ht="15.75" hidden="1" x14ac:dyDescent="0.25">
      <c r="A495" s="65">
        <v>46066</v>
      </c>
      <c r="B495" s="10" t="s">
        <v>286</v>
      </c>
      <c r="C495" s="10"/>
      <c r="D495" s="10" t="s">
        <v>195</v>
      </c>
      <c r="E495" s="10" t="s">
        <v>481</v>
      </c>
      <c r="F495" s="10">
        <v>30</v>
      </c>
      <c r="G495" s="10" t="s">
        <v>26</v>
      </c>
      <c r="H495" s="10">
        <v>115000</v>
      </c>
      <c r="I495" s="10">
        <f t="shared" si="124"/>
        <v>3450000</v>
      </c>
      <c r="J495" s="29" t="s">
        <v>113</v>
      </c>
      <c r="K495" s="10"/>
      <c r="L495" s="12">
        <f t="shared" si="171"/>
        <v>0</v>
      </c>
      <c r="M495" s="12"/>
      <c r="N495" s="12"/>
      <c r="O495" s="12">
        <f t="shared" si="172"/>
        <v>0</v>
      </c>
      <c r="P495" s="12"/>
      <c r="Q495" s="12"/>
      <c r="R495" s="12">
        <f t="shared" si="173"/>
        <v>0</v>
      </c>
      <c r="S495" s="12"/>
      <c r="T495" s="12"/>
      <c r="U495" s="12">
        <f t="shared" si="174"/>
        <v>3450000</v>
      </c>
      <c r="V495" s="12">
        <v>3450000</v>
      </c>
      <c r="W495" s="12"/>
      <c r="X495" s="12">
        <f t="shared" si="175"/>
        <v>0</v>
      </c>
      <c r="Y495" s="12"/>
      <c r="Z495" s="12"/>
      <c r="AA495" s="13">
        <f t="shared" si="125"/>
        <v>0</v>
      </c>
      <c r="AB495" s="14">
        <v>46066</v>
      </c>
    </row>
    <row r="496" spans="1:28" ht="15.75" hidden="1" x14ac:dyDescent="0.25">
      <c r="A496" s="65">
        <v>46066</v>
      </c>
      <c r="B496" s="10" t="s">
        <v>330</v>
      </c>
      <c r="C496" s="10"/>
      <c r="D496" s="10" t="s">
        <v>195</v>
      </c>
      <c r="E496" s="10" t="s">
        <v>371</v>
      </c>
      <c r="F496" s="10">
        <v>50</v>
      </c>
      <c r="G496" s="10" t="s">
        <v>67</v>
      </c>
      <c r="H496" s="10">
        <v>50000</v>
      </c>
      <c r="I496" s="10">
        <f t="shared" si="124"/>
        <v>2500000</v>
      </c>
      <c r="J496" s="29" t="s">
        <v>113</v>
      </c>
      <c r="K496" s="10"/>
      <c r="L496" s="12">
        <f t="shared" si="171"/>
        <v>2500000</v>
      </c>
      <c r="M496" s="12">
        <v>2500000</v>
      </c>
      <c r="N496" s="12"/>
      <c r="O496" s="12">
        <f t="shared" si="172"/>
        <v>0</v>
      </c>
      <c r="P496" s="12"/>
      <c r="Q496" s="12"/>
      <c r="R496" s="12">
        <f t="shared" si="173"/>
        <v>0</v>
      </c>
      <c r="S496" s="12"/>
      <c r="T496" s="12"/>
      <c r="U496" s="12">
        <f t="shared" si="174"/>
        <v>0</v>
      </c>
      <c r="V496" s="12"/>
      <c r="W496" s="12"/>
      <c r="X496" s="12">
        <f t="shared" si="175"/>
        <v>0</v>
      </c>
      <c r="Y496" s="12"/>
      <c r="Z496" s="12"/>
      <c r="AA496" s="13">
        <f t="shared" si="125"/>
        <v>0</v>
      </c>
      <c r="AB496" s="14">
        <v>46067</v>
      </c>
    </row>
    <row r="497" spans="1:28" ht="15.75" hidden="1" x14ac:dyDescent="0.25">
      <c r="A497" s="65">
        <v>46066</v>
      </c>
      <c r="B497" s="10" t="s">
        <v>330</v>
      </c>
      <c r="C497" s="10"/>
      <c r="D497" s="10" t="s">
        <v>195</v>
      </c>
      <c r="E497" s="10" t="s">
        <v>130</v>
      </c>
      <c r="F497" s="10">
        <v>100</v>
      </c>
      <c r="G497" s="10" t="s">
        <v>67</v>
      </c>
      <c r="H497" s="10">
        <v>50000</v>
      </c>
      <c r="I497" s="10">
        <f t="shared" si="124"/>
        <v>5000000</v>
      </c>
      <c r="J497" s="29" t="s">
        <v>113</v>
      </c>
      <c r="K497" s="10"/>
      <c r="L497" s="12">
        <f t="shared" si="171"/>
        <v>5000000</v>
      </c>
      <c r="M497" s="12">
        <v>5000000</v>
      </c>
      <c r="N497" s="12"/>
      <c r="O497" s="12">
        <f t="shared" si="172"/>
        <v>0</v>
      </c>
      <c r="P497" s="12"/>
      <c r="Q497" s="12"/>
      <c r="R497" s="12">
        <f t="shared" si="173"/>
        <v>0</v>
      </c>
      <c r="S497" s="12"/>
      <c r="T497" s="12"/>
      <c r="U497" s="12">
        <f t="shared" si="174"/>
        <v>0</v>
      </c>
      <c r="V497" s="12"/>
      <c r="W497" s="12"/>
      <c r="X497" s="12">
        <f t="shared" si="175"/>
        <v>0</v>
      </c>
      <c r="Y497" s="12"/>
      <c r="Z497" s="12"/>
      <c r="AA497" s="13">
        <f t="shared" si="125"/>
        <v>0</v>
      </c>
      <c r="AB497" s="14">
        <v>46067</v>
      </c>
    </row>
    <row r="498" spans="1:28" ht="15.75" hidden="1" x14ac:dyDescent="0.25">
      <c r="A498" s="28">
        <v>46066</v>
      </c>
      <c r="B498" s="10" t="s">
        <v>312</v>
      </c>
      <c r="C498" s="10"/>
      <c r="D498" s="10" t="s">
        <v>195</v>
      </c>
      <c r="E498" s="10" t="s">
        <v>313</v>
      </c>
      <c r="F498" s="10">
        <v>2000</v>
      </c>
      <c r="G498" s="10" t="s">
        <v>26</v>
      </c>
      <c r="H498" s="10">
        <v>5400</v>
      </c>
      <c r="I498" s="10">
        <f t="shared" si="124"/>
        <v>10800000</v>
      </c>
      <c r="J498" s="29" t="s">
        <v>110</v>
      </c>
      <c r="K498" s="10"/>
      <c r="L498" s="12">
        <f t="shared" si="171"/>
        <v>0</v>
      </c>
      <c r="M498" s="12"/>
      <c r="N498" s="12"/>
      <c r="O498" s="12">
        <f t="shared" si="172"/>
        <v>10800000</v>
      </c>
      <c r="P498" s="12">
        <v>10800000</v>
      </c>
      <c r="Q498" s="12"/>
      <c r="R498" s="12">
        <f t="shared" si="173"/>
        <v>0</v>
      </c>
      <c r="S498" s="12"/>
      <c r="T498" s="12"/>
      <c r="U498" s="12">
        <f t="shared" si="174"/>
        <v>0</v>
      </c>
      <c r="V498" s="12"/>
      <c r="W498" s="12"/>
      <c r="X498" s="12">
        <f t="shared" si="175"/>
        <v>0</v>
      </c>
      <c r="Y498" s="12"/>
      <c r="Z498" s="12"/>
      <c r="AA498" s="13">
        <f t="shared" si="125"/>
        <v>0</v>
      </c>
      <c r="AB498" s="14">
        <v>46066</v>
      </c>
    </row>
    <row r="499" spans="1:28" ht="15.75" x14ac:dyDescent="0.25">
      <c r="A499" s="65">
        <v>46066</v>
      </c>
      <c r="B499" s="10" t="s">
        <v>272</v>
      </c>
      <c r="C499" s="10"/>
      <c r="D499" s="10"/>
      <c r="E499" s="10" t="s">
        <v>92</v>
      </c>
      <c r="F499" s="10">
        <v>33.9</v>
      </c>
      <c r="G499" s="10" t="s">
        <v>36</v>
      </c>
      <c r="H499" s="10">
        <v>43000</v>
      </c>
      <c r="I499" s="10">
        <f t="shared" si="124"/>
        <v>1457700</v>
      </c>
      <c r="J499" s="115" t="s">
        <v>90</v>
      </c>
      <c r="K499" s="10"/>
      <c r="L499" s="12">
        <f t="shared" si="171"/>
        <v>0</v>
      </c>
      <c r="M499" s="12"/>
      <c r="N499" s="12"/>
      <c r="O499" s="12">
        <f t="shared" si="172"/>
        <v>0</v>
      </c>
      <c r="P499" s="12"/>
      <c r="Q499" s="12"/>
      <c r="R499" s="12">
        <f t="shared" si="173"/>
        <v>0</v>
      </c>
      <c r="S499" s="12"/>
      <c r="T499" s="12"/>
      <c r="U499" s="12">
        <f t="shared" si="174"/>
        <v>0</v>
      </c>
      <c r="V499" s="12"/>
      <c r="W499" s="12"/>
      <c r="X499" s="12">
        <f t="shared" si="175"/>
        <v>0</v>
      </c>
      <c r="Y499" s="12"/>
      <c r="Z499" s="12"/>
      <c r="AA499" s="13">
        <f t="shared" si="125"/>
        <v>1457700</v>
      </c>
      <c r="AB499" s="14"/>
    </row>
    <row r="500" spans="1:28" ht="15.75" x14ac:dyDescent="0.25">
      <c r="A500" s="65">
        <v>46066</v>
      </c>
      <c r="B500" s="10" t="s">
        <v>272</v>
      </c>
      <c r="C500" s="10"/>
      <c r="D500" s="10"/>
      <c r="E500" s="10" t="s">
        <v>306</v>
      </c>
      <c r="F500" s="10">
        <v>56.1</v>
      </c>
      <c r="G500" s="10" t="s">
        <v>36</v>
      </c>
      <c r="H500" s="10">
        <v>43000</v>
      </c>
      <c r="I500" s="10">
        <f t="shared" si="124"/>
        <v>2412300</v>
      </c>
      <c r="J500" s="115" t="s">
        <v>90</v>
      </c>
      <c r="K500" s="10"/>
      <c r="L500" s="12">
        <f t="shared" si="171"/>
        <v>0</v>
      </c>
      <c r="M500" s="12"/>
      <c r="N500" s="12"/>
      <c r="O500" s="12">
        <f t="shared" si="172"/>
        <v>0</v>
      </c>
      <c r="P500" s="12"/>
      <c r="Q500" s="12"/>
      <c r="R500" s="12">
        <f t="shared" si="173"/>
        <v>0</v>
      </c>
      <c r="S500" s="12"/>
      <c r="T500" s="12"/>
      <c r="U500" s="12">
        <f t="shared" si="174"/>
        <v>0</v>
      </c>
      <c r="V500" s="12"/>
      <c r="W500" s="12"/>
      <c r="X500" s="12">
        <f t="shared" si="175"/>
        <v>0</v>
      </c>
      <c r="Y500" s="12"/>
      <c r="Z500" s="12"/>
      <c r="AA500" s="13">
        <f t="shared" si="125"/>
        <v>2412300</v>
      </c>
      <c r="AB500" s="14"/>
    </row>
    <row r="501" spans="1:28" ht="16.5" thickBot="1" x14ac:dyDescent="0.3">
      <c r="A501" s="53">
        <v>46066</v>
      </c>
      <c r="B501" s="31" t="s">
        <v>272</v>
      </c>
      <c r="C501" s="31"/>
      <c r="D501" s="31"/>
      <c r="E501" s="31" t="s">
        <v>307</v>
      </c>
      <c r="F501" s="31">
        <v>27.3</v>
      </c>
      <c r="G501" s="31" t="s">
        <v>36</v>
      </c>
      <c r="H501" s="31">
        <v>43000</v>
      </c>
      <c r="I501" s="31">
        <f t="shared" si="124"/>
        <v>1173900</v>
      </c>
      <c r="J501" s="103" t="s">
        <v>30</v>
      </c>
      <c r="K501" s="31"/>
      <c r="L501" s="34">
        <f t="shared" si="171"/>
        <v>0</v>
      </c>
      <c r="M501" s="34"/>
      <c r="N501" s="34"/>
      <c r="O501" s="34">
        <f t="shared" si="172"/>
        <v>0</v>
      </c>
      <c r="P501" s="34"/>
      <c r="Q501" s="34"/>
      <c r="R501" s="34">
        <f t="shared" si="173"/>
        <v>0</v>
      </c>
      <c r="S501" s="34"/>
      <c r="T501" s="34"/>
      <c r="U501" s="34">
        <f t="shared" si="174"/>
        <v>0</v>
      </c>
      <c r="V501" s="34"/>
      <c r="W501" s="34"/>
      <c r="X501" s="34">
        <f t="shared" si="175"/>
        <v>0</v>
      </c>
      <c r="Y501" s="34"/>
      <c r="Z501" s="34"/>
      <c r="AA501" s="35">
        <f t="shared" si="125"/>
        <v>1173900</v>
      </c>
      <c r="AB501" s="36"/>
    </row>
    <row r="502" spans="1:28" ht="15.75" hidden="1" x14ac:dyDescent="0.25">
      <c r="A502" s="65">
        <v>46067</v>
      </c>
      <c r="B502" s="66" t="s">
        <v>106</v>
      </c>
      <c r="C502" s="66"/>
      <c r="D502" s="66" t="s">
        <v>383</v>
      </c>
      <c r="E502" s="66" t="s">
        <v>482</v>
      </c>
      <c r="F502" s="66">
        <v>3000</v>
      </c>
      <c r="G502" s="66" t="s">
        <v>26</v>
      </c>
      <c r="H502" s="66">
        <v>1120</v>
      </c>
      <c r="I502" s="66">
        <f t="shared" si="124"/>
        <v>3360000</v>
      </c>
      <c r="J502" s="114" t="s">
        <v>90</v>
      </c>
      <c r="K502" s="66"/>
      <c r="L502" s="67">
        <f t="shared" si="171"/>
        <v>0</v>
      </c>
      <c r="M502" s="67"/>
      <c r="N502" s="67"/>
      <c r="O502" s="67">
        <f t="shared" si="172"/>
        <v>0</v>
      </c>
      <c r="P502" s="67"/>
      <c r="Q502" s="67"/>
      <c r="R502" s="67">
        <f t="shared" si="173"/>
        <v>0</v>
      </c>
      <c r="S502" s="67"/>
      <c r="T502" s="67"/>
      <c r="U502" s="67">
        <f t="shared" si="174"/>
        <v>0</v>
      </c>
      <c r="V502" s="67"/>
      <c r="W502" s="67"/>
      <c r="X502" s="67">
        <f t="shared" si="175"/>
        <v>0</v>
      </c>
      <c r="Y502" s="67"/>
      <c r="Z502" s="67"/>
      <c r="AA502" s="68">
        <f t="shared" si="125"/>
        <v>3360000</v>
      </c>
      <c r="AB502" s="69"/>
    </row>
    <row r="503" spans="1:28" ht="15.75" hidden="1" x14ac:dyDescent="0.25">
      <c r="A503" s="65">
        <v>46067</v>
      </c>
      <c r="B503" s="10" t="s">
        <v>176</v>
      </c>
      <c r="C503" s="10"/>
      <c r="D503" s="66" t="s">
        <v>383</v>
      </c>
      <c r="E503" s="10" t="s">
        <v>60</v>
      </c>
      <c r="F503" s="10">
        <v>10</v>
      </c>
      <c r="G503" s="10" t="s">
        <v>61</v>
      </c>
      <c r="H503" s="10">
        <v>150000</v>
      </c>
      <c r="I503" s="10">
        <f t="shared" si="124"/>
        <v>1500000</v>
      </c>
      <c r="J503" s="52" t="s">
        <v>30</v>
      </c>
      <c r="K503" s="10"/>
      <c r="L503" s="12">
        <f t="shared" si="171"/>
        <v>0</v>
      </c>
      <c r="M503" s="12"/>
      <c r="N503" s="12"/>
      <c r="O503" s="12">
        <f t="shared" si="172"/>
        <v>0</v>
      </c>
      <c r="P503" s="12"/>
      <c r="Q503" s="12"/>
      <c r="R503" s="12">
        <f t="shared" si="173"/>
        <v>0</v>
      </c>
      <c r="S503" s="12"/>
      <c r="T503" s="12"/>
      <c r="U503" s="12">
        <f t="shared" si="174"/>
        <v>0</v>
      </c>
      <c r="V503" s="12"/>
      <c r="W503" s="12"/>
      <c r="X503" s="12">
        <f t="shared" si="175"/>
        <v>0</v>
      </c>
      <c r="Y503" s="12"/>
      <c r="Z503" s="12"/>
      <c r="AA503" s="13">
        <f t="shared" si="125"/>
        <v>1500000</v>
      </c>
      <c r="AB503" s="14"/>
    </row>
    <row r="504" spans="1:28" ht="15.75" hidden="1" x14ac:dyDescent="0.25">
      <c r="A504" s="65">
        <v>46067</v>
      </c>
      <c r="B504" s="10" t="s">
        <v>176</v>
      </c>
      <c r="C504" s="10"/>
      <c r="D504" s="66" t="s">
        <v>383</v>
      </c>
      <c r="E504" s="10" t="s">
        <v>483</v>
      </c>
      <c r="F504" s="10">
        <v>2</v>
      </c>
      <c r="G504" s="10" t="s">
        <v>61</v>
      </c>
      <c r="H504" s="10">
        <v>230000</v>
      </c>
      <c r="I504" s="10">
        <f t="shared" si="124"/>
        <v>460000</v>
      </c>
      <c r="J504" s="52" t="s">
        <v>30</v>
      </c>
      <c r="K504" s="10"/>
      <c r="L504" s="12">
        <f t="shared" si="171"/>
        <v>0</v>
      </c>
      <c r="M504" s="12"/>
      <c r="N504" s="12"/>
      <c r="O504" s="12">
        <f t="shared" si="172"/>
        <v>0</v>
      </c>
      <c r="P504" s="12"/>
      <c r="Q504" s="12"/>
      <c r="R504" s="12">
        <f t="shared" si="173"/>
        <v>0</v>
      </c>
      <c r="S504" s="12"/>
      <c r="T504" s="12"/>
      <c r="U504" s="12">
        <f t="shared" si="174"/>
        <v>0</v>
      </c>
      <c r="V504" s="12"/>
      <c r="W504" s="12"/>
      <c r="X504" s="12">
        <f t="shared" si="175"/>
        <v>0</v>
      </c>
      <c r="Y504" s="12"/>
      <c r="Z504" s="12"/>
      <c r="AA504" s="13">
        <f t="shared" si="125"/>
        <v>460000</v>
      </c>
      <c r="AB504" s="14"/>
    </row>
    <row r="505" spans="1:28" ht="15.75" hidden="1" x14ac:dyDescent="0.25">
      <c r="A505" s="65">
        <v>46067</v>
      </c>
      <c r="B505" s="10" t="s">
        <v>151</v>
      </c>
      <c r="C505" s="10"/>
      <c r="D505" s="10" t="s">
        <v>383</v>
      </c>
      <c r="E505" s="10" t="s">
        <v>65</v>
      </c>
      <c r="F505" s="10">
        <v>5200</v>
      </c>
      <c r="G505" s="10" t="s">
        <v>26</v>
      </c>
      <c r="H505" s="10">
        <v>4000</v>
      </c>
      <c r="I505" s="10">
        <f t="shared" si="124"/>
        <v>20800000</v>
      </c>
      <c r="J505" s="29" t="s">
        <v>40</v>
      </c>
      <c r="K505" s="10"/>
      <c r="L505" s="12">
        <f t="shared" si="171"/>
        <v>0</v>
      </c>
      <c r="M505" s="12"/>
      <c r="N505" s="12"/>
      <c r="O505" s="12">
        <f t="shared" si="172"/>
        <v>88448000</v>
      </c>
      <c r="P505" s="12">
        <v>88448000</v>
      </c>
      <c r="Q505" s="12"/>
      <c r="R505" s="12">
        <f t="shared" si="173"/>
        <v>0</v>
      </c>
      <c r="S505" s="12"/>
      <c r="T505" s="12"/>
      <c r="U505" s="12">
        <f t="shared" si="174"/>
        <v>0</v>
      </c>
      <c r="V505" s="12"/>
      <c r="W505" s="12"/>
      <c r="X505" s="12">
        <f t="shared" si="175"/>
        <v>0</v>
      </c>
      <c r="Y505" s="12"/>
      <c r="Z505" s="12"/>
      <c r="AA505" s="13">
        <f t="shared" si="125"/>
        <v>-67648000</v>
      </c>
      <c r="AB505" s="14">
        <v>45978</v>
      </c>
    </row>
    <row r="506" spans="1:28" ht="15.75" hidden="1" x14ac:dyDescent="0.25">
      <c r="A506" s="65">
        <v>46067</v>
      </c>
      <c r="B506" s="10" t="s">
        <v>292</v>
      </c>
      <c r="C506" s="10"/>
      <c r="D506" s="10" t="s">
        <v>383</v>
      </c>
      <c r="E506" s="10" t="s">
        <v>51</v>
      </c>
      <c r="F506" s="10">
        <v>1</v>
      </c>
      <c r="G506" s="96" t="s">
        <v>22</v>
      </c>
      <c r="H506" s="10">
        <v>400000</v>
      </c>
      <c r="I506" s="10">
        <f t="shared" si="124"/>
        <v>400000</v>
      </c>
      <c r="J506" s="29" t="s">
        <v>113</v>
      </c>
      <c r="K506" s="10"/>
      <c r="L506" s="12">
        <f t="shared" si="171"/>
        <v>0</v>
      </c>
      <c r="M506" s="12"/>
      <c r="N506" s="12"/>
      <c r="O506" s="12">
        <f t="shared" si="172"/>
        <v>0</v>
      </c>
      <c r="P506" s="12"/>
      <c r="Q506" s="12"/>
      <c r="R506" s="12">
        <f t="shared" si="173"/>
        <v>0</v>
      </c>
      <c r="S506" s="12"/>
      <c r="T506" s="12"/>
      <c r="U506" s="12">
        <f t="shared" si="174"/>
        <v>400000</v>
      </c>
      <c r="V506" s="12">
        <v>400000</v>
      </c>
      <c r="W506" s="12"/>
      <c r="X506" s="12">
        <f t="shared" si="175"/>
        <v>0</v>
      </c>
      <c r="Y506" s="12"/>
      <c r="Z506" s="12"/>
      <c r="AA506" s="13">
        <f t="shared" si="125"/>
        <v>0</v>
      </c>
      <c r="AB506" s="14">
        <v>46067</v>
      </c>
    </row>
    <row r="507" spans="1:28" ht="15.75" x14ac:dyDescent="0.25">
      <c r="A507" s="65">
        <v>46067</v>
      </c>
      <c r="B507" s="10" t="s">
        <v>272</v>
      </c>
      <c r="C507" s="10"/>
      <c r="D507" s="10"/>
      <c r="E507" s="10" t="s">
        <v>198</v>
      </c>
      <c r="F507" s="10">
        <v>32.1</v>
      </c>
      <c r="G507" s="96" t="s">
        <v>36</v>
      </c>
      <c r="H507" s="10">
        <v>43000</v>
      </c>
      <c r="I507" s="10">
        <f t="shared" si="124"/>
        <v>1380300</v>
      </c>
      <c r="J507" s="115" t="s">
        <v>90</v>
      </c>
      <c r="K507" s="10"/>
      <c r="L507" s="12">
        <f t="shared" si="171"/>
        <v>0</v>
      </c>
      <c r="M507" s="12"/>
      <c r="N507" s="12"/>
      <c r="O507" s="12">
        <f t="shared" si="172"/>
        <v>0</v>
      </c>
      <c r="P507" s="12"/>
      <c r="Q507" s="12"/>
      <c r="R507" s="12">
        <f t="shared" si="173"/>
        <v>0</v>
      </c>
      <c r="S507" s="12"/>
      <c r="T507" s="12"/>
      <c r="U507" s="12">
        <f t="shared" si="174"/>
        <v>0</v>
      </c>
      <c r="V507" s="12"/>
      <c r="W507" s="12"/>
      <c r="X507" s="12">
        <f t="shared" si="175"/>
        <v>0</v>
      </c>
      <c r="Y507" s="12"/>
      <c r="Z507" s="12"/>
      <c r="AA507" s="13">
        <f t="shared" si="125"/>
        <v>1380300</v>
      </c>
      <c r="AB507" s="14"/>
    </row>
    <row r="508" spans="1:28" ht="15.75" x14ac:dyDescent="0.25">
      <c r="A508" s="28">
        <v>46067</v>
      </c>
      <c r="B508" s="10" t="s">
        <v>272</v>
      </c>
      <c r="C508" s="10"/>
      <c r="D508" s="10"/>
      <c r="E508" s="10" t="s">
        <v>80</v>
      </c>
      <c r="F508" s="10">
        <v>22.5</v>
      </c>
      <c r="G508" s="96" t="s">
        <v>36</v>
      </c>
      <c r="H508" s="10">
        <v>43000</v>
      </c>
      <c r="I508" s="10">
        <f t="shared" si="124"/>
        <v>967500</v>
      </c>
      <c r="J508" s="86" t="s">
        <v>30</v>
      </c>
      <c r="K508" s="10"/>
      <c r="L508" s="12">
        <f t="shared" si="171"/>
        <v>0</v>
      </c>
      <c r="M508" s="12"/>
      <c r="N508" s="12"/>
      <c r="O508" s="12">
        <f t="shared" si="172"/>
        <v>0</v>
      </c>
      <c r="P508" s="12"/>
      <c r="Q508" s="12"/>
      <c r="R508" s="12">
        <f t="shared" si="173"/>
        <v>0</v>
      </c>
      <c r="S508" s="12"/>
      <c r="T508" s="12"/>
      <c r="U508" s="12">
        <f t="shared" si="174"/>
        <v>0</v>
      </c>
      <c r="V508" s="12"/>
      <c r="W508" s="12"/>
      <c r="X508" s="12">
        <f t="shared" si="175"/>
        <v>0</v>
      </c>
      <c r="Y508" s="12"/>
      <c r="Z508" s="12"/>
      <c r="AA508" s="13">
        <f t="shared" si="125"/>
        <v>967500</v>
      </c>
      <c r="AB508" s="14"/>
    </row>
    <row r="509" spans="1:28" ht="15.75" hidden="1" x14ac:dyDescent="0.25">
      <c r="A509" s="65">
        <v>46067</v>
      </c>
      <c r="B509" s="10" t="s">
        <v>460</v>
      </c>
      <c r="C509" s="10"/>
      <c r="D509" s="10" t="s">
        <v>195</v>
      </c>
      <c r="E509" s="10" t="s">
        <v>107</v>
      </c>
      <c r="F509" s="10">
        <v>20</v>
      </c>
      <c r="G509" s="96" t="s">
        <v>36</v>
      </c>
      <c r="H509" s="10">
        <v>60000</v>
      </c>
      <c r="I509" s="10">
        <f t="shared" si="124"/>
        <v>1200000</v>
      </c>
      <c r="J509" s="29" t="s">
        <v>113</v>
      </c>
      <c r="K509" s="10"/>
      <c r="L509" s="12">
        <f t="shared" ref="L509" si="176">M509+N509</f>
        <v>0</v>
      </c>
      <c r="M509" s="12"/>
      <c r="N509" s="12"/>
      <c r="O509" s="12">
        <f t="shared" ref="O509" si="177">P509+Q509</f>
        <v>0</v>
      </c>
      <c r="P509" s="12"/>
      <c r="Q509" s="12"/>
      <c r="R509" s="12">
        <f t="shared" ref="R509" si="178">S509+T509</f>
        <v>0</v>
      </c>
      <c r="S509" s="12"/>
      <c r="T509" s="12"/>
      <c r="U509" s="12">
        <f t="shared" ref="U509" si="179">V509+W509</f>
        <v>1200000</v>
      </c>
      <c r="V509" s="12">
        <v>1200000</v>
      </c>
      <c r="W509" s="12"/>
      <c r="X509" s="12">
        <f t="shared" ref="X509" si="180">Y509+Z509</f>
        <v>0</v>
      </c>
      <c r="Y509" s="12"/>
      <c r="Z509" s="12"/>
      <c r="AA509" s="13">
        <f t="shared" si="125"/>
        <v>0</v>
      </c>
      <c r="AB509" s="14">
        <v>46067</v>
      </c>
    </row>
    <row r="510" spans="1:28" ht="16.5" hidden="1" thickBot="1" x14ac:dyDescent="0.3">
      <c r="A510" s="53">
        <v>46067</v>
      </c>
      <c r="B510" s="31" t="s">
        <v>274</v>
      </c>
      <c r="C510" s="31"/>
      <c r="D510" s="31" t="s">
        <v>383</v>
      </c>
      <c r="E510" s="31" t="s">
        <v>129</v>
      </c>
      <c r="F510" s="31">
        <v>2000</v>
      </c>
      <c r="G510" s="97" t="s">
        <v>26</v>
      </c>
      <c r="H510" s="31">
        <v>3800</v>
      </c>
      <c r="I510" s="31">
        <f t="shared" si="124"/>
        <v>7600000</v>
      </c>
      <c r="J510" s="51" t="s">
        <v>113</v>
      </c>
      <c r="K510" s="31"/>
      <c r="L510" s="34">
        <f t="shared" ref="L510:L511" si="181">M510+N510</f>
        <v>7600000</v>
      </c>
      <c r="M510" s="34">
        <v>7600000</v>
      </c>
      <c r="N510" s="34"/>
      <c r="O510" s="34">
        <f t="shared" ref="O510:O511" si="182">P510+Q510</f>
        <v>0</v>
      </c>
      <c r="P510" s="34"/>
      <c r="Q510" s="34"/>
      <c r="R510" s="34">
        <f t="shared" ref="R510:R511" si="183">S510+T510</f>
        <v>0</v>
      </c>
      <c r="S510" s="34"/>
      <c r="T510" s="34"/>
      <c r="U510" s="34">
        <f t="shared" ref="U510:U511" si="184">V510+W510</f>
        <v>0</v>
      </c>
      <c r="V510" s="34"/>
      <c r="W510" s="34"/>
      <c r="X510" s="34">
        <f t="shared" ref="X510:X511" si="185">Y510+Z510</f>
        <v>0</v>
      </c>
      <c r="Y510" s="34"/>
      <c r="Z510" s="34"/>
      <c r="AA510" s="35">
        <f t="shared" si="125"/>
        <v>0</v>
      </c>
      <c r="AB510" s="36">
        <v>46067</v>
      </c>
    </row>
    <row r="511" spans="1:28" ht="15.75" hidden="1" x14ac:dyDescent="0.25">
      <c r="A511" s="65">
        <v>46069</v>
      </c>
      <c r="B511" s="66" t="s">
        <v>233</v>
      </c>
      <c r="C511" s="66"/>
      <c r="D511" s="66" t="s">
        <v>383</v>
      </c>
      <c r="E511" s="66" t="s">
        <v>65</v>
      </c>
      <c r="F511" s="66">
        <v>500</v>
      </c>
      <c r="G511" s="98" t="s">
        <v>26</v>
      </c>
      <c r="H511" s="66">
        <v>4000</v>
      </c>
      <c r="I511" s="10">
        <f t="shared" si="124"/>
        <v>2000000</v>
      </c>
      <c r="J511" s="84" t="s">
        <v>113</v>
      </c>
      <c r="K511" s="10"/>
      <c r="L511" s="12">
        <f t="shared" si="181"/>
        <v>0</v>
      </c>
      <c r="M511" s="12"/>
      <c r="N511" s="12"/>
      <c r="O511" s="12">
        <f t="shared" si="182"/>
        <v>0</v>
      </c>
      <c r="P511" s="12"/>
      <c r="Q511" s="12"/>
      <c r="R511" s="12">
        <f t="shared" si="183"/>
        <v>0</v>
      </c>
      <c r="S511" s="12"/>
      <c r="T511" s="12"/>
      <c r="U511" s="12">
        <f t="shared" si="184"/>
        <v>2000000</v>
      </c>
      <c r="V511" s="12">
        <v>2000000</v>
      </c>
      <c r="W511" s="12"/>
      <c r="X511" s="12">
        <f t="shared" si="185"/>
        <v>0</v>
      </c>
      <c r="Y511" s="12"/>
      <c r="Z511" s="12"/>
      <c r="AA511" s="13">
        <f t="shared" si="125"/>
        <v>0</v>
      </c>
      <c r="AB511" s="14">
        <v>46069</v>
      </c>
    </row>
    <row r="512" spans="1:28" ht="15.75" hidden="1" x14ac:dyDescent="0.25">
      <c r="A512" s="65">
        <v>46069</v>
      </c>
      <c r="B512" s="10" t="s">
        <v>484</v>
      </c>
      <c r="C512" s="10"/>
      <c r="D512" s="10" t="s">
        <v>195</v>
      </c>
      <c r="E512" s="10" t="s">
        <v>134</v>
      </c>
      <c r="F512" s="10">
        <v>1</v>
      </c>
      <c r="G512" s="96" t="s">
        <v>39</v>
      </c>
      <c r="H512" s="10">
        <v>75000</v>
      </c>
      <c r="I512" s="10">
        <f t="shared" si="124"/>
        <v>75000</v>
      </c>
      <c r="J512" s="29" t="s">
        <v>113</v>
      </c>
      <c r="K512" s="10"/>
      <c r="L512" s="12">
        <f t="shared" ref="L512:L523" si="186">M512+N512</f>
        <v>75000</v>
      </c>
      <c r="M512" s="12">
        <v>75000</v>
      </c>
      <c r="N512" s="12"/>
      <c r="O512" s="12">
        <f t="shared" ref="O512:O523" si="187">P512+Q512</f>
        <v>0</v>
      </c>
      <c r="P512" s="12"/>
      <c r="Q512" s="12"/>
      <c r="R512" s="12">
        <f t="shared" ref="R512:R523" si="188">S512+T512</f>
        <v>0</v>
      </c>
      <c r="S512" s="12"/>
      <c r="T512" s="12"/>
      <c r="U512" s="12">
        <f t="shared" ref="U512:U523" si="189">V512+W512</f>
        <v>0</v>
      </c>
      <c r="V512" s="12"/>
      <c r="W512" s="12"/>
      <c r="X512" s="12">
        <f t="shared" ref="X512:X523" si="190">Y512+Z512</f>
        <v>0</v>
      </c>
      <c r="Y512" s="12"/>
      <c r="Z512" s="12"/>
      <c r="AA512" s="13">
        <f t="shared" si="125"/>
        <v>0</v>
      </c>
      <c r="AB512" s="14">
        <v>46069</v>
      </c>
    </row>
    <row r="513" spans="1:28" ht="15.75" hidden="1" x14ac:dyDescent="0.25">
      <c r="A513" s="65">
        <v>46069</v>
      </c>
      <c r="B513" s="10" t="s">
        <v>196</v>
      </c>
      <c r="C513" s="10"/>
      <c r="D513" s="10" t="s">
        <v>195</v>
      </c>
      <c r="E513" s="10" t="s">
        <v>138</v>
      </c>
      <c r="F513" s="10">
        <v>8</v>
      </c>
      <c r="G513" s="96" t="s">
        <v>61</v>
      </c>
      <c r="H513" s="10">
        <v>300000</v>
      </c>
      <c r="I513" s="10">
        <f t="shared" si="124"/>
        <v>2400000</v>
      </c>
      <c r="J513" s="29" t="s">
        <v>110</v>
      </c>
      <c r="K513" s="10"/>
      <c r="L513" s="12">
        <f t="shared" si="186"/>
        <v>0</v>
      </c>
      <c r="M513" s="12"/>
      <c r="N513" s="12"/>
      <c r="O513" s="12">
        <f t="shared" si="187"/>
        <v>2400000</v>
      </c>
      <c r="P513" s="12">
        <v>2400000</v>
      </c>
      <c r="Q513" s="12"/>
      <c r="R513" s="12">
        <f t="shared" si="188"/>
        <v>0</v>
      </c>
      <c r="S513" s="12"/>
      <c r="T513" s="12"/>
      <c r="U513" s="12">
        <f t="shared" si="189"/>
        <v>0</v>
      </c>
      <c r="V513" s="12"/>
      <c r="W513" s="12"/>
      <c r="X513" s="12">
        <f t="shared" si="190"/>
        <v>0</v>
      </c>
      <c r="Y513" s="12"/>
      <c r="Z513" s="12"/>
      <c r="AA513" s="13">
        <f t="shared" si="125"/>
        <v>0</v>
      </c>
      <c r="AB513" s="14">
        <v>46069</v>
      </c>
    </row>
    <row r="514" spans="1:28" ht="15.75" hidden="1" x14ac:dyDescent="0.25">
      <c r="A514" s="65">
        <v>46069</v>
      </c>
      <c r="B514" s="10" t="s">
        <v>55</v>
      </c>
      <c r="C514" s="10"/>
      <c r="D514" s="10" t="s">
        <v>195</v>
      </c>
      <c r="E514" s="10" t="s">
        <v>104</v>
      </c>
      <c r="F514" s="10">
        <v>2000</v>
      </c>
      <c r="G514" s="96" t="s">
        <v>26</v>
      </c>
      <c r="H514" s="10">
        <v>2000</v>
      </c>
      <c r="I514" s="10">
        <f t="shared" si="124"/>
        <v>4000000</v>
      </c>
      <c r="J514" s="29" t="s">
        <v>110</v>
      </c>
      <c r="K514" s="10"/>
      <c r="L514" s="12">
        <f t="shared" si="186"/>
        <v>0</v>
      </c>
      <c r="M514" s="12"/>
      <c r="N514" s="12"/>
      <c r="O514" s="12">
        <f t="shared" si="187"/>
        <v>4000000</v>
      </c>
      <c r="P514" s="12">
        <v>4000000</v>
      </c>
      <c r="Q514" s="12"/>
      <c r="R514" s="12">
        <f t="shared" si="188"/>
        <v>0</v>
      </c>
      <c r="S514" s="12"/>
      <c r="T514" s="12"/>
      <c r="U514" s="12">
        <f t="shared" si="189"/>
        <v>0</v>
      </c>
      <c r="V514" s="12"/>
      <c r="W514" s="12"/>
      <c r="X514" s="12">
        <f t="shared" si="190"/>
        <v>0</v>
      </c>
      <c r="Y514" s="12"/>
      <c r="Z514" s="12"/>
      <c r="AA514" s="13">
        <f t="shared" si="125"/>
        <v>0</v>
      </c>
      <c r="AB514" s="14">
        <v>46069</v>
      </c>
    </row>
    <row r="515" spans="1:28" ht="15.75" hidden="1" x14ac:dyDescent="0.25">
      <c r="A515" s="65">
        <v>46069</v>
      </c>
      <c r="B515" s="10" t="s">
        <v>485</v>
      </c>
      <c r="C515" s="10"/>
      <c r="D515" s="10" t="s">
        <v>195</v>
      </c>
      <c r="E515" s="10" t="s">
        <v>175</v>
      </c>
      <c r="F515" s="10">
        <v>4400</v>
      </c>
      <c r="G515" s="96" t="s">
        <v>26</v>
      </c>
      <c r="H515" s="10">
        <v>1000</v>
      </c>
      <c r="I515" s="10">
        <f t="shared" ref="I515:I578" si="191">F515*H515</f>
        <v>4400000</v>
      </c>
      <c r="J515" s="29" t="s">
        <v>110</v>
      </c>
      <c r="K515" s="10"/>
      <c r="L515" s="12">
        <f t="shared" si="186"/>
        <v>0</v>
      </c>
      <c r="M515" s="12"/>
      <c r="N515" s="12"/>
      <c r="O515" s="12">
        <f t="shared" si="187"/>
        <v>4400000</v>
      </c>
      <c r="P515" s="12">
        <v>4400000</v>
      </c>
      <c r="Q515" s="12"/>
      <c r="R515" s="12">
        <f t="shared" si="188"/>
        <v>0</v>
      </c>
      <c r="S515" s="12"/>
      <c r="T515" s="12"/>
      <c r="U515" s="12">
        <f t="shared" si="189"/>
        <v>0</v>
      </c>
      <c r="V515" s="12"/>
      <c r="W515" s="12"/>
      <c r="X515" s="12">
        <f t="shared" si="190"/>
        <v>0</v>
      </c>
      <c r="Y515" s="12"/>
      <c r="Z515" s="12"/>
      <c r="AA515" s="13">
        <f t="shared" si="125"/>
        <v>0</v>
      </c>
      <c r="AB515" s="14">
        <v>46069</v>
      </c>
    </row>
    <row r="516" spans="1:28" ht="15.75" hidden="1" x14ac:dyDescent="0.25">
      <c r="A516" s="65">
        <v>46069</v>
      </c>
      <c r="B516" s="10" t="s">
        <v>486</v>
      </c>
      <c r="C516" s="10"/>
      <c r="D516" s="10" t="s">
        <v>195</v>
      </c>
      <c r="E516" s="10" t="s">
        <v>65</v>
      </c>
      <c r="F516" s="10">
        <v>100</v>
      </c>
      <c r="G516" s="96" t="s">
        <v>26</v>
      </c>
      <c r="H516" s="10">
        <v>4000</v>
      </c>
      <c r="I516" s="10">
        <f t="shared" si="191"/>
        <v>400000</v>
      </c>
      <c r="J516" s="29" t="s">
        <v>113</v>
      </c>
      <c r="K516" s="10"/>
      <c r="L516" s="12">
        <f t="shared" si="186"/>
        <v>0</v>
      </c>
      <c r="M516" s="12"/>
      <c r="N516" s="12"/>
      <c r="O516" s="12">
        <f t="shared" si="187"/>
        <v>0</v>
      </c>
      <c r="P516" s="12"/>
      <c r="Q516" s="12"/>
      <c r="R516" s="12">
        <f t="shared" si="188"/>
        <v>0</v>
      </c>
      <c r="S516" s="12"/>
      <c r="T516" s="12"/>
      <c r="U516" s="12">
        <f t="shared" si="189"/>
        <v>400000</v>
      </c>
      <c r="V516" s="12">
        <v>400000</v>
      </c>
      <c r="W516" s="12"/>
      <c r="X516" s="12">
        <f t="shared" si="190"/>
        <v>0</v>
      </c>
      <c r="Y516" s="12"/>
      <c r="Z516" s="12"/>
      <c r="AA516" s="13">
        <f t="shared" ref="AA516:AA579" si="192">C516+I516-L516-O516-U516-X516-R516</f>
        <v>0</v>
      </c>
      <c r="AB516" s="14">
        <v>46069</v>
      </c>
    </row>
    <row r="517" spans="1:28" ht="15.75" hidden="1" x14ac:dyDescent="0.25">
      <c r="A517" s="65">
        <v>46069</v>
      </c>
      <c r="B517" s="10" t="s">
        <v>246</v>
      </c>
      <c r="C517" s="10"/>
      <c r="D517" s="10" t="s">
        <v>195</v>
      </c>
      <c r="E517" s="10" t="s">
        <v>315</v>
      </c>
      <c r="F517" s="10">
        <v>81</v>
      </c>
      <c r="G517" s="10" t="s">
        <v>36</v>
      </c>
      <c r="H517" s="10">
        <v>43000</v>
      </c>
      <c r="I517" s="10">
        <f t="shared" si="191"/>
        <v>3483000</v>
      </c>
      <c r="J517" s="29" t="s">
        <v>110</v>
      </c>
      <c r="K517" s="10"/>
      <c r="L517" s="12">
        <f t="shared" si="186"/>
        <v>0</v>
      </c>
      <c r="M517" s="12"/>
      <c r="N517" s="12"/>
      <c r="O517" s="12">
        <f t="shared" si="187"/>
        <v>3483000</v>
      </c>
      <c r="P517" s="12">
        <v>3483000</v>
      </c>
      <c r="Q517" s="12"/>
      <c r="R517" s="12">
        <f t="shared" si="188"/>
        <v>0</v>
      </c>
      <c r="S517" s="12"/>
      <c r="T517" s="12"/>
      <c r="U517" s="12">
        <f t="shared" si="189"/>
        <v>0</v>
      </c>
      <c r="V517" s="12"/>
      <c r="W517" s="12"/>
      <c r="X517" s="12">
        <f t="shared" si="190"/>
        <v>0</v>
      </c>
      <c r="Y517" s="12"/>
      <c r="Z517" s="12"/>
      <c r="AA517" s="13">
        <f t="shared" si="192"/>
        <v>0</v>
      </c>
      <c r="AB517" s="14">
        <v>46069</v>
      </c>
    </row>
    <row r="518" spans="1:28" ht="15.75" hidden="1" x14ac:dyDescent="0.25">
      <c r="A518" s="65">
        <v>46069</v>
      </c>
      <c r="B518" s="10" t="s">
        <v>346</v>
      </c>
      <c r="C518" s="10"/>
      <c r="D518" s="10" t="s">
        <v>195</v>
      </c>
      <c r="E518" s="10" t="s">
        <v>60</v>
      </c>
      <c r="F518" s="10">
        <v>5</v>
      </c>
      <c r="G518" s="10" t="s">
        <v>61</v>
      </c>
      <c r="H518" s="10">
        <v>150000</v>
      </c>
      <c r="I518" s="10">
        <f t="shared" si="191"/>
        <v>750000</v>
      </c>
      <c r="J518" s="29" t="s">
        <v>110</v>
      </c>
      <c r="K518" s="10"/>
      <c r="L518" s="12">
        <f t="shared" si="186"/>
        <v>0</v>
      </c>
      <c r="M518" s="12"/>
      <c r="N518" s="12"/>
      <c r="O518" s="12">
        <f t="shared" si="187"/>
        <v>750000</v>
      </c>
      <c r="P518" s="12">
        <v>750000</v>
      </c>
      <c r="Q518" s="12"/>
      <c r="R518" s="12">
        <f t="shared" si="188"/>
        <v>0</v>
      </c>
      <c r="S518" s="12"/>
      <c r="T518" s="12"/>
      <c r="U518" s="12">
        <f t="shared" si="189"/>
        <v>0</v>
      </c>
      <c r="V518" s="12"/>
      <c r="W518" s="12"/>
      <c r="X518" s="12">
        <f t="shared" si="190"/>
        <v>0</v>
      </c>
      <c r="Y518" s="12"/>
      <c r="Z518" s="12"/>
      <c r="AA518" s="13">
        <f t="shared" si="192"/>
        <v>0</v>
      </c>
      <c r="AB518" s="14">
        <v>46069</v>
      </c>
    </row>
    <row r="519" spans="1:28" ht="15.75" hidden="1" x14ac:dyDescent="0.25">
      <c r="A519" s="28">
        <v>46069</v>
      </c>
      <c r="B519" s="10" t="s">
        <v>267</v>
      </c>
      <c r="C519" s="10"/>
      <c r="D519" s="10" t="s">
        <v>195</v>
      </c>
      <c r="E519" s="10" t="s">
        <v>84</v>
      </c>
      <c r="F519" s="10">
        <v>17.8</v>
      </c>
      <c r="G519" s="10" t="s">
        <v>36</v>
      </c>
      <c r="H519" s="10">
        <v>43000</v>
      </c>
      <c r="I519" s="10">
        <f t="shared" si="191"/>
        <v>765400</v>
      </c>
      <c r="J519" s="29" t="s">
        <v>113</v>
      </c>
      <c r="K519" s="10"/>
      <c r="L519" s="12">
        <f t="shared" si="186"/>
        <v>765400</v>
      </c>
      <c r="M519" s="12">
        <v>765400</v>
      </c>
      <c r="N519" s="12"/>
      <c r="O519" s="12">
        <f t="shared" si="187"/>
        <v>0</v>
      </c>
      <c r="P519" s="12"/>
      <c r="Q519" s="12"/>
      <c r="R519" s="12">
        <f t="shared" si="188"/>
        <v>0</v>
      </c>
      <c r="S519" s="12"/>
      <c r="T519" s="12"/>
      <c r="U519" s="12">
        <f t="shared" si="189"/>
        <v>0</v>
      </c>
      <c r="V519" s="12"/>
      <c r="W519" s="12"/>
      <c r="X519" s="12">
        <f t="shared" si="190"/>
        <v>0</v>
      </c>
      <c r="Y519" s="12"/>
      <c r="Z519" s="12"/>
      <c r="AA519" s="13">
        <f t="shared" si="192"/>
        <v>0</v>
      </c>
      <c r="AB519" s="14">
        <v>46069</v>
      </c>
    </row>
    <row r="520" spans="1:28" ht="15.75" hidden="1" x14ac:dyDescent="0.25">
      <c r="A520" s="65">
        <v>46069</v>
      </c>
      <c r="B520" s="10" t="s">
        <v>267</v>
      </c>
      <c r="C520" s="10"/>
      <c r="D520" s="10" t="s">
        <v>195</v>
      </c>
      <c r="E520" s="10" t="s">
        <v>104</v>
      </c>
      <c r="F520" s="10">
        <v>600</v>
      </c>
      <c r="G520" s="10" t="s">
        <v>26</v>
      </c>
      <c r="H520" s="10">
        <v>1900</v>
      </c>
      <c r="I520" s="10">
        <f t="shared" si="191"/>
        <v>1140000</v>
      </c>
      <c r="J520" s="29" t="s">
        <v>113</v>
      </c>
      <c r="K520" s="10"/>
      <c r="L520" s="12">
        <f t="shared" si="186"/>
        <v>1140000</v>
      </c>
      <c r="M520" s="12">
        <v>1140000</v>
      </c>
      <c r="N520" s="12"/>
      <c r="O520" s="12">
        <f t="shared" si="187"/>
        <v>0</v>
      </c>
      <c r="P520" s="12"/>
      <c r="Q520" s="12"/>
      <c r="R520" s="12">
        <f t="shared" si="188"/>
        <v>0</v>
      </c>
      <c r="S520" s="12"/>
      <c r="T520" s="12"/>
      <c r="U520" s="12">
        <f t="shared" si="189"/>
        <v>0</v>
      </c>
      <c r="V520" s="12"/>
      <c r="W520" s="12"/>
      <c r="X520" s="12">
        <f t="shared" si="190"/>
        <v>0</v>
      </c>
      <c r="Y520" s="12"/>
      <c r="Z520" s="12"/>
      <c r="AA520" s="13">
        <f t="shared" si="192"/>
        <v>0</v>
      </c>
      <c r="AB520" s="14">
        <v>46069</v>
      </c>
    </row>
    <row r="521" spans="1:28" ht="15.75" hidden="1" x14ac:dyDescent="0.25">
      <c r="A521" s="65">
        <v>46069</v>
      </c>
      <c r="B521" s="10" t="s">
        <v>267</v>
      </c>
      <c r="C521" s="10"/>
      <c r="D521" s="10" t="s">
        <v>195</v>
      </c>
      <c r="E521" s="10" t="s">
        <v>300</v>
      </c>
      <c r="F521" s="10">
        <v>1</v>
      </c>
      <c r="G521" s="10" t="s">
        <v>61</v>
      </c>
      <c r="H521" s="10">
        <v>150000</v>
      </c>
      <c r="I521" s="10">
        <f t="shared" si="191"/>
        <v>150000</v>
      </c>
      <c r="J521" s="29" t="s">
        <v>113</v>
      </c>
      <c r="K521" s="10"/>
      <c r="L521" s="12">
        <f t="shared" si="186"/>
        <v>150000</v>
      </c>
      <c r="M521" s="12">
        <v>150000</v>
      </c>
      <c r="N521" s="12"/>
      <c r="O521" s="12">
        <f t="shared" si="187"/>
        <v>0</v>
      </c>
      <c r="P521" s="12"/>
      <c r="Q521" s="12"/>
      <c r="R521" s="12">
        <f t="shared" si="188"/>
        <v>0</v>
      </c>
      <c r="S521" s="12"/>
      <c r="T521" s="12"/>
      <c r="U521" s="12">
        <f t="shared" si="189"/>
        <v>0</v>
      </c>
      <c r="V521" s="12"/>
      <c r="W521" s="12"/>
      <c r="X521" s="12">
        <f t="shared" si="190"/>
        <v>0</v>
      </c>
      <c r="Y521" s="12"/>
      <c r="Z521" s="12"/>
      <c r="AA521" s="13">
        <f t="shared" si="192"/>
        <v>0</v>
      </c>
      <c r="AB521" s="14">
        <v>46069</v>
      </c>
    </row>
    <row r="522" spans="1:28" ht="15.75" x14ac:dyDescent="0.25">
      <c r="A522" s="65">
        <v>46069</v>
      </c>
      <c r="B522" s="10" t="s">
        <v>272</v>
      </c>
      <c r="C522" s="10"/>
      <c r="D522" s="10"/>
      <c r="E522" s="10" t="s">
        <v>265</v>
      </c>
      <c r="F522" s="10">
        <v>23.6</v>
      </c>
      <c r="G522" s="10" t="s">
        <v>36</v>
      </c>
      <c r="H522" s="10">
        <v>43000</v>
      </c>
      <c r="I522" s="10">
        <f t="shared" si="191"/>
        <v>1014800.0000000001</v>
      </c>
      <c r="J522" s="115" t="s">
        <v>90</v>
      </c>
      <c r="K522" s="10"/>
      <c r="L522" s="12">
        <f t="shared" si="186"/>
        <v>0</v>
      </c>
      <c r="M522" s="12"/>
      <c r="N522" s="12"/>
      <c r="O522" s="12">
        <f t="shared" si="187"/>
        <v>0</v>
      </c>
      <c r="P522" s="12"/>
      <c r="Q522" s="12"/>
      <c r="R522" s="12">
        <f t="shared" si="188"/>
        <v>0</v>
      </c>
      <c r="S522" s="12"/>
      <c r="T522" s="12"/>
      <c r="U522" s="12">
        <f t="shared" si="189"/>
        <v>0</v>
      </c>
      <c r="V522" s="12"/>
      <c r="W522" s="12"/>
      <c r="X522" s="12">
        <f t="shared" si="190"/>
        <v>0</v>
      </c>
      <c r="Y522" s="12"/>
      <c r="Z522" s="12"/>
      <c r="AA522" s="13">
        <f t="shared" si="192"/>
        <v>1014800.0000000001</v>
      </c>
      <c r="AB522" s="14"/>
    </row>
    <row r="523" spans="1:28" ht="16.5" thickBot="1" x14ac:dyDescent="0.3">
      <c r="A523" s="53">
        <v>46069</v>
      </c>
      <c r="B523" s="31" t="s">
        <v>272</v>
      </c>
      <c r="C523" s="31"/>
      <c r="D523" s="31"/>
      <c r="E523" s="31" t="s">
        <v>92</v>
      </c>
      <c r="F523" s="31">
        <v>68.2</v>
      </c>
      <c r="G523" s="31" t="s">
        <v>36</v>
      </c>
      <c r="H523" s="31">
        <v>43000</v>
      </c>
      <c r="I523" s="31">
        <f t="shared" si="191"/>
        <v>2932600</v>
      </c>
      <c r="J523" s="116" t="s">
        <v>90</v>
      </c>
      <c r="K523" s="31"/>
      <c r="L523" s="34">
        <f t="shared" si="186"/>
        <v>0</v>
      </c>
      <c r="M523" s="34"/>
      <c r="N523" s="34"/>
      <c r="O523" s="34">
        <f t="shared" si="187"/>
        <v>0</v>
      </c>
      <c r="P523" s="34"/>
      <c r="Q523" s="34"/>
      <c r="R523" s="34">
        <f t="shared" si="188"/>
        <v>0</v>
      </c>
      <c r="S523" s="34"/>
      <c r="T523" s="34"/>
      <c r="U523" s="34">
        <f t="shared" si="189"/>
        <v>0</v>
      </c>
      <c r="V523" s="34"/>
      <c r="W523" s="34"/>
      <c r="X523" s="34">
        <f t="shared" si="190"/>
        <v>0</v>
      </c>
      <c r="Y523" s="34"/>
      <c r="Z523" s="34"/>
      <c r="AA523" s="35">
        <f t="shared" si="192"/>
        <v>2932600</v>
      </c>
      <c r="AB523" s="36"/>
    </row>
    <row r="524" spans="1:28" ht="15.75" hidden="1" x14ac:dyDescent="0.25">
      <c r="A524" s="65">
        <v>46070</v>
      </c>
      <c r="B524" s="66" t="s">
        <v>283</v>
      </c>
      <c r="C524" s="66"/>
      <c r="D524" s="66" t="s">
        <v>195</v>
      </c>
      <c r="E524" s="66" t="s">
        <v>116</v>
      </c>
      <c r="F524" s="66">
        <v>12</v>
      </c>
      <c r="G524" s="66" t="s">
        <v>67</v>
      </c>
      <c r="H524" s="66">
        <v>65000</v>
      </c>
      <c r="I524" s="10">
        <f t="shared" si="191"/>
        <v>780000</v>
      </c>
      <c r="J524" s="84" t="s">
        <v>110</v>
      </c>
      <c r="K524" s="10"/>
      <c r="L524" s="12">
        <f t="shared" ref="L524" si="193">M524+N524</f>
        <v>0</v>
      </c>
      <c r="M524" s="12"/>
      <c r="N524" s="12"/>
      <c r="O524" s="12">
        <f t="shared" ref="O524" si="194">P524+Q524</f>
        <v>780000</v>
      </c>
      <c r="P524" s="12">
        <v>780000</v>
      </c>
      <c r="Q524" s="12"/>
      <c r="R524" s="12">
        <f t="shared" ref="R524" si="195">S524+T524</f>
        <v>0</v>
      </c>
      <c r="S524" s="12"/>
      <c r="T524" s="12"/>
      <c r="U524" s="12">
        <f t="shared" ref="U524" si="196">V524+W524</f>
        <v>0</v>
      </c>
      <c r="V524" s="12"/>
      <c r="W524" s="12"/>
      <c r="X524" s="12">
        <f t="shared" ref="X524" si="197">Y524+Z524</f>
        <v>0</v>
      </c>
      <c r="Y524" s="12"/>
      <c r="Z524" s="12"/>
      <c r="AA524" s="13">
        <f t="shared" si="192"/>
        <v>0</v>
      </c>
      <c r="AB524" s="14">
        <v>46069</v>
      </c>
    </row>
    <row r="525" spans="1:28" ht="15.75" hidden="1" x14ac:dyDescent="0.25">
      <c r="A525" s="65">
        <v>46070</v>
      </c>
      <c r="B525" s="66" t="s">
        <v>283</v>
      </c>
      <c r="C525" s="10"/>
      <c r="D525" s="10" t="s">
        <v>383</v>
      </c>
      <c r="E525" s="10" t="s">
        <v>141</v>
      </c>
      <c r="F525" s="10">
        <v>7800</v>
      </c>
      <c r="G525" s="10" t="s">
        <v>26</v>
      </c>
      <c r="H525" s="10">
        <v>2000</v>
      </c>
      <c r="I525" s="10">
        <f t="shared" si="191"/>
        <v>15600000</v>
      </c>
      <c r="J525" s="52" t="s">
        <v>90</v>
      </c>
      <c r="K525" s="10"/>
      <c r="L525" s="12">
        <f t="shared" ref="L525:L550" si="198">M525+N525</f>
        <v>0</v>
      </c>
      <c r="M525" s="12"/>
      <c r="N525" s="12"/>
      <c r="O525" s="12">
        <f t="shared" ref="O525:O550" si="199">P525+Q525</f>
        <v>9000000</v>
      </c>
      <c r="P525" s="12">
        <v>9000000</v>
      </c>
      <c r="Q525" s="12"/>
      <c r="R525" s="12">
        <f t="shared" ref="R525:R550" si="200">S525+T525</f>
        <v>0</v>
      </c>
      <c r="S525" s="12"/>
      <c r="T525" s="12"/>
      <c r="U525" s="12">
        <f t="shared" ref="U525:U550" si="201">V525+W525</f>
        <v>0</v>
      </c>
      <c r="V525" s="12"/>
      <c r="W525" s="12"/>
      <c r="X525" s="12">
        <f t="shared" ref="X525:X550" si="202">Y525+Z525</f>
        <v>0</v>
      </c>
      <c r="Y525" s="12"/>
      <c r="Z525" s="12"/>
      <c r="AA525" s="13">
        <f t="shared" si="192"/>
        <v>6600000</v>
      </c>
      <c r="AB525" s="14">
        <v>46079</v>
      </c>
    </row>
    <row r="526" spans="1:28" ht="15.75" hidden="1" x14ac:dyDescent="0.25">
      <c r="A526" s="65">
        <v>46070</v>
      </c>
      <c r="B526" s="10" t="s">
        <v>430</v>
      </c>
      <c r="C526" s="10"/>
      <c r="D526" s="10" t="s">
        <v>383</v>
      </c>
      <c r="E526" s="10" t="s">
        <v>250</v>
      </c>
      <c r="F526" s="10">
        <v>136</v>
      </c>
      <c r="G526" s="10" t="s">
        <v>36</v>
      </c>
      <c r="H526" s="10">
        <v>100000</v>
      </c>
      <c r="I526" s="10">
        <f t="shared" si="191"/>
        <v>13600000</v>
      </c>
      <c r="J526" s="29" t="s">
        <v>40</v>
      </c>
      <c r="K526" s="10"/>
      <c r="L526" s="12">
        <f t="shared" si="198"/>
        <v>0</v>
      </c>
      <c r="M526" s="12"/>
      <c r="N526" s="12"/>
      <c r="O526" s="12">
        <f t="shared" si="199"/>
        <v>14590000</v>
      </c>
      <c r="P526" s="12">
        <v>14590000</v>
      </c>
      <c r="Q526" s="12"/>
      <c r="R526" s="12">
        <f t="shared" si="200"/>
        <v>0</v>
      </c>
      <c r="S526" s="12"/>
      <c r="T526" s="12"/>
      <c r="U526" s="12">
        <f t="shared" si="201"/>
        <v>0</v>
      </c>
      <c r="V526" s="12"/>
      <c r="W526" s="12"/>
      <c r="X526" s="12">
        <f t="shared" si="202"/>
        <v>0</v>
      </c>
      <c r="Y526" s="12"/>
      <c r="Z526" s="12"/>
      <c r="AA526" s="13">
        <f t="shared" si="192"/>
        <v>-990000</v>
      </c>
      <c r="AB526" s="14">
        <v>46066</v>
      </c>
    </row>
    <row r="527" spans="1:28" ht="15.75" hidden="1" x14ac:dyDescent="0.25">
      <c r="A527" s="65">
        <v>46070</v>
      </c>
      <c r="B527" s="10" t="s">
        <v>430</v>
      </c>
      <c r="C527" s="10"/>
      <c r="D527" s="10" t="s">
        <v>383</v>
      </c>
      <c r="E527" s="10" t="s">
        <v>304</v>
      </c>
      <c r="F527" s="10">
        <v>109.9</v>
      </c>
      <c r="G527" s="10" t="s">
        <v>36</v>
      </c>
      <c r="H527" s="10">
        <v>100000</v>
      </c>
      <c r="I527" s="10">
        <f t="shared" si="191"/>
        <v>10990000</v>
      </c>
      <c r="J527" s="29" t="s">
        <v>110</v>
      </c>
      <c r="K527" s="10"/>
      <c r="L527" s="12">
        <f t="shared" si="198"/>
        <v>0</v>
      </c>
      <c r="M527" s="12"/>
      <c r="N527" s="12"/>
      <c r="O527" s="12">
        <f t="shared" si="199"/>
        <v>10990000</v>
      </c>
      <c r="P527" s="12">
        <v>10990000</v>
      </c>
      <c r="Q527" s="12"/>
      <c r="R527" s="12">
        <f t="shared" si="200"/>
        <v>0</v>
      </c>
      <c r="S527" s="12"/>
      <c r="T527" s="12"/>
      <c r="U527" s="12">
        <f t="shared" si="201"/>
        <v>0</v>
      </c>
      <c r="V527" s="12"/>
      <c r="W527" s="12"/>
      <c r="X527" s="12">
        <f t="shared" si="202"/>
        <v>0</v>
      </c>
      <c r="Y527" s="12"/>
      <c r="Z527" s="12"/>
      <c r="AA527" s="13">
        <f t="shared" si="192"/>
        <v>0</v>
      </c>
      <c r="AB527" s="14">
        <v>46066</v>
      </c>
    </row>
    <row r="528" spans="1:28" ht="15.75" hidden="1" x14ac:dyDescent="0.25">
      <c r="A528" s="65">
        <v>46070</v>
      </c>
      <c r="B528" s="10" t="s">
        <v>430</v>
      </c>
      <c r="C528" s="10"/>
      <c r="D528" s="10" t="s">
        <v>383</v>
      </c>
      <c r="E528" s="10" t="s">
        <v>168</v>
      </c>
      <c r="F528" s="10">
        <v>220</v>
      </c>
      <c r="G528" s="10" t="s">
        <v>36</v>
      </c>
      <c r="H528" s="10">
        <v>42000</v>
      </c>
      <c r="I528" s="10">
        <f t="shared" si="191"/>
        <v>9240000</v>
      </c>
      <c r="J528" s="29" t="s">
        <v>110</v>
      </c>
      <c r="K528" s="10"/>
      <c r="L528" s="12">
        <f t="shared" si="198"/>
        <v>0</v>
      </c>
      <c r="M528" s="12"/>
      <c r="N528" s="12"/>
      <c r="O528" s="12">
        <f t="shared" si="199"/>
        <v>9240000</v>
      </c>
      <c r="P528" s="12">
        <v>9240000</v>
      </c>
      <c r="Q528" s="12"/>
      <c r="R528" s="12">
        <f t="shared" si="200"/>
        <v>0</v>
      </c>
      <c r="S528" s="12"/>
      <c r="T528" s="12"/>
      <c r="U528" s="12">
        <f t="shared" si="201"/>
        <v>0</v>
      </c>
      <c r="V528" s="12"/>
      <c r="W528" s="12"/>
      <c r="X528" s="12">
        <f t="shared" si="202"/>
        <v>0</v>
      </c>
      <c r="Y528" s="12"/>
      <c r="Z528" s="12"/>
      <c r="AA528" s="13">
        <f t="shared" si="192"/>
        <v>0</v>
      </c>
      <c r="AB528" s="14">
        <v>46066</v>
      </c>
    </row>
    <row r="529" spans="1:28" ht="15.75" hidden="1" x14ac:dyDescent="0.25">
      <c r="A529" s="65">
        <v>46070</v>
      </c>
      <c r="B529" s="10" t="s">
        <v>430</v>
      </c>
      <c r="C529" s="10"/>
      <c r="D529" s="10" t="s">
        <v>383</v>
      </c>
      <c r="E529" s="10" t="s">
        <v>119</v>
      </c>
      <c r="F529" s="10">
        <v>300</v>
      </c>
      <c r="G529" s="10" t="s">
        <v>36</v>
      </c>
      <c r="H529" s="10">
        <v>130000</v>
      </c>
      <c r="I529" s="10">
        <f t="shared" si="191"/>
        <v>39000000</v>
      </c>
      <c r="J529" s="29" t="s">
        <v>110</v>
      </c>
      <c r="K529" s="10"/>
      <c r="L529" s="12">
        <f t="shared" si="198"/>
        <v>0</v>
      </c>
      <c r="M529" s="12"/>
      <c r="N529" s="12"/>
      <c r="O529" s="12">
        <f t="shared" si="199"/>
        <v>39000000</v>
      </c>
      <c r="P529" s="12">
        <v>39000000</v>
      </c>
      <c r="Q529" s="12"/>
      <c r="R529" s="12">
        <f t="shared" si="200"/>
        <v>0</v>
      </c>
      <c r="S529" s="12"/>
      <c r="T529" s="12"/>
      <c r="U529" s="12">
        <f t="shared" si="201"/>
        <v>0</v>
      </c>
      <c r="V529" s="12"/>
      <c r="W529" s="12"/>
      <c r="X529" s="12">
        <f t="shared" si="202"/>
        <v>0</v>
      </c>
      <c r="Y529" s="12"/>
      <c r="Z529" s="12"/>
      <c r="AA529" s="13">
        <f t="shared" si="192"/>
        <v>0</v>
      </c>
      <c r="AB529" s="14">
        <v>46066</v>
      </c>
    </row>
    <row r="530" spans="1:28" ht="15.75" hidden="1" x14ac:dyDescent="0.25">
      <c r="A530" s="65">
        <v>46070</v>
      </c>
      <c r="B530" s="10" t="s">
        <v>430</v>
      </c>
      <c r="C530" s="10"/>
      <c r="D530" s="10" t="s">
        <v>383</v>
      </c>
      <c r="E530" s="10" t="s">
        <v>51</v>
      </c>
      <c r="F530" s="10">
        <v>5</v>
      </c>
      <c r="G530" s="10" t="s">
        <v>22</v>
      </c>
      <c r="H530" s="10">
        <v>350000</v>
      </c>
      <c r="I530" s="10">
        <f t="shared" si="191"/>
        <v>1750000</v>
      </c>
      <c r="J530" s="29" t="s">
        <v>110</v>
      </c>
      <c r="K530" s="10"/>
      <c r="L530" s="12">
        <f t="shared" si="198"/>
        <v>0</v>
      </c>
      <c r="M530" s="12"/>
      <c r="N530" s="12"/>
      <c r="O530" s="12">
        <f t="shared" si="199"/>
        <v>1750000</v>
      </c>
      <c r="P530" s="12">
        <v>1750000</v>
      </c>
      <c r="Q530" s="12"/>
      <c r="R530" s="12">
        <f t="shared" si="200"/>
        <v>0</v>
      </c>
      <c r="S530" s="12"/>
      <c r="T530" s="12"/>
      <c r="U530" s="12">
        <f t="shared" si="201"/>
        <v>0</v>
      </c>
      <c r="V530" s="12"/>
      <c r="W530" s="12"/>
      <c r="X530" s="12">
        <f t="shared" si="202"/>
        <v>0</v>
      </c>
      <c r="Y530" s="12"/>
      <c r="Z530" s="12"/>
      <c r="AA530" s="13">
        <f t="shared" si="192"/>
        <v>0</v>
      </c>
      <c r="AB530" s="14">
        <v>46066</v>
      </c>
    </row>
    <row r="531" spans="1:28" ht="15.75" hidden="1" x14ac:dyDescent="0.25">
      <c r="A531" s="65">
        <v>46070</v>
      </c>
      <c r="B531" s="10" t="s">
        <v>69</v>
      </c>
      <c r="C531" s="10"/>
      <c r="D531" s="10" t="s">
        <v>383</v>
      </c>
      <c r="E531" s="10" t="s">
        <v>119</v>
      </c>
      <c r="F531" s="10">
        <v>25</v>
      </c>
      <c r="G531" s="10" t="s">
        <v>36</v>
      </c>
      <c r="H531" s="10">
        <v>105000</v>
      </c>
      <c r="I531" s="10">
        <f t="shared" si="191"/>
        <v>2625000</v>
      </c>
      <c r="J531" s="29" t="s">
        <v>110</v>
      </c>
      <c r="K531" s="10"/>
      <c r="L531" s="12">
        <f t="shared" si="198"/>
        <v>0</v>
      </c>
      <c r="M531" s="12"/>
      <c r="N531" s="12"/>
      <c r="O531" s="12">
        <f t="shared" si="199"/>
        <v>2625000</v>
      </c>
      <c r="P531" s="12">
        <v>2625000</v>
      </c>
      <c r="Q531" s="12"/>
      <c r="R531" s="12">
        <f t="shared" si="200"/>
        <v>0</v>
      </c>
      <c r="S531" s="12"/>
      <c r="T531" s="12"/>
      <c r="U531" s="12">
        <f t="shared" si="201"/>
        <v>0</v>
      </c>
      <c r="V531" s="12"/>
      <c r="W531" s="12"/>
      <c r="X531" s="12">
        <f t="shared" si="202"/>
        <v>0</v>
      </c>
      <c r="Y531" s="12"/>
      <c r="Z531" s="12"/>
      <c r="AA531" s="13">
        <f t="shared" si="192"/>
        <v>0</v>
      </c>
      <c r="AB531" s="14">
        <v>46069</v>
      </c>
    </row>
    <row r="532" spans="1:28" ht="15.75" hidden="1" x14ac:dyDescent="0.25">
      <c r="A532" s="65">
        <v>46070</v>
      </c>
      <c r="B532" s="10" t="s">
        <v>109</v>
      </c>
      <c r="C532" s="10"/>
      <c r="D532" s="10" t="s">
        <v>195</v>
      </c>
      <c r="E532" s="10" t="s">
        <v>114</v>
      </c>
      <c r="F532" s="10">
        <v>10</v>
      </c>
      <c r="G532" s="10" t="s">
        <v>67</v>
      </c>
      <c r="H532" s="10">
        <v>50000</v>
      </c>
      <c r="I532" s="10">
        <f t="shared" si="191"/>
        <v>500000</v>
      </c>
      <c r="J532" s="29" t="s">
        <v>113</v>
      </c>
      <c r="K532" s="10"/>
      <c r="L532" s="12">
        <f t="shared" si="198"/>
        <v>0</v>
      </c>
      <c r="M532" s="12"/>
      <c r="N532" s="12"/>
      <c r="O532" s="12">
        <f t="shared" si="199"/>
        <v>0</v>
      </c>
      <c r="P532" s="12"/>
      <c r="Q532" s="12"/>
      <c r="R532" s="12">
        <f t="shared" si="200"/>
        <v>0</v>
      </c>
      <c r="S532" s="12"/>
      <c r="T532" s="12"/>
      <c r="U532" s="12">
        <f t="shared" si="201"/>
        <v>500000</v>
      </c>
      <c r="V532" s="12">
        <v>500000</v>
      </c>
      <c r="W532" s="12"/>
      <c r="X532" s="12">
        <f t="shared" si="202"/>
        <v>0</v>
      </c>
      <c r="Y532" s="12"/>
      <c r="Z532" s="12"/>
      <c r="AA532" s="13">
        <f t="shared" si="192"/>
        <v>0</v>
      </c>
      <c r="AB532" s="14">
        <v>46070</v>
      </c>
    </row>
    <row r="533" spans="1:28" ht="15.75" hidden="1" x14ac:dyDescent="0.25">
      <c r="A533" s="65">
        <v>46070</v>
      </c>
      <c r="B533" s="10" t="s">
        <v>109</v>
      </c>
      <c r="C533" s="10"/>
      <c r="D533" s="10" t="s">
        <v>195</v>
      </c>
      <c r="E533" s="10" t="s">
        <v>116</v>
      </c>
      <c r="F533" s="10">
        <v>4</v>
      </c>
      <c r="G533" s="10" t="s">
        <v>67</v>
      </c>
      <c r="H533" s="10">
        <v>65000</v>
      </c>
      <c r="I533" s="10">
        <f t="shared" si="191"/>
        <v>260000</v>
      </c>
      <c r="J533" s="29" t="s">
        <v>113</v>
      </c>
      <c r="K533" s="10"/>
      <c r="L533" s="12">
        <f t="shared" si="198"/>
        <v>0</v>
      </c>
      <c r="M533" s="12"/>
      <c r="N533" s="12"/>
      <c r="O533" s="12">
        <f t="shared" si="199"/>
        <v>0</v>
      </c>
      <c r="P533" s="12"/>
      <c r="Q533" s="12"/>
      <c r="R533" s="12">
        <f t="shared" si="200"/>
        <v>0</v>
      </c>
      <c r="S533" s="12"/>
      <c r="T533" s="12"/>
      <c r="U533" s="12">
        <f t="shared" si="201"/>
        <v>260000</v>
      </c>
      <c r="V533" s="12">
        <v>260000</v>
      </c>
      <c r="W533" s="12"/>
      <c r="X533" s="12">
        <f t="shared" si="202"/>
        <v>0</v>
      </c>
      <c r="Y533" s="12"/>
      <c r="Z533" s="12"/>
      <c r="AA533" s="13">
        <f t="shared" si="192"/>
        <v>0</v>
      </c>
      <c r="AB533" s="14">
        <v>46070</v>
      </c>
    </row>
    <row r="534" spans="1:28" ht="15.75" hidden="1" x14ac:dyDescent="0.25">
      <c r="A534" s="65">
        <v>46070</v>
      </c>
      <c r="B534" s="10" t="s">
        <v>169</v>
      </c>
      <c r="C534" s="10"/>
      <c r="D534" s="10" t="s">
        <v>383</v>
      </c>
      <c r="E534" s="10" t="s">
        <v>205</v>
      </c>
      <c r="F534" s="10">
        <v>200</v>
      </c>
      <c r="G534" s="10" t="s">
        <v>36</v>
      </c>
      <c r="H534" s="10">
        <v>60000</v>
      </c>
      <c r="I534" s="10">
        <f t="shared" si="191"/>
        <v>12000000</v>
      </c>
      <c r="J534" s="52" t="s">
        <v>90</v>
      </c>
      <c r="K534" s="10"/>
      <c r="L534" s="12">
        <f t="shared" si="198"/>
        <v>0</v>
      </c>
      <c r="M534" s="12"/>
      <c r="N534" s="12"/>
      <c r="O534" s="12">
        <f t="shared" si="199"/>
        <v>0</v>
      </c>
      <c r="P534" s="12"/>
      <c r="Q534" s="12"/>
      <c r="R534" s="12">
        <f t="shared" si="200"/>
        <v>0</v>
      </c>
      <c r="S534" s="12"/>
      <c r="T534" s="12"/>
      <c r="U534" s="12">
        <f t="shared" si="201"/>
        <v>0</v>
      </c>
      <c r="V534" s="12"/>
      <c r="W534" s="12"/>
      <c r="X534" s="12">
        <f t="shared" si="202"/>
        <v>0</v>
      </c>
      <c r="Y534" s="12"/>
      <c r="Z534" s="12"/>
      <c r="AA534" s="13">
        <f t="shared" si="192"/>
        <v>12000000</v>
      </c>
      <c r="AB534" s="14"/>
    </row>
    <row r="535" spans="1:28" ht="15.75" hidden="1" x14ac:dyDescent="0.25">
      <c r="A535" s="65">
        <v>46070</v>
      </c>
      <c r="B535" s="10" t="s">
        <v>257</v>
      </c>
      <c r="C535" s="10"/>
      <c r="D535" s="10" t="s">
        <v>383</v>
      </c>
      <c r="E535" s="10" t="s">
        <v>482</v>
      </c>
      <c r="F535" s="10">
        <v>250</v>
      </c>
      <c r="G535" s="10" t="s">
        <v>26</v>
      </c>
      <c r="H535" s="10">
        <v>1120</v>
      </c>
      <c r="I535" s="10">
        <f t="shared" si="191"/>
        <v>280000</v>
      </c>
      <c r="J535" s="29" t="s">
        <v>110</v>
      </c>
      <c r="K535" s="10"/>
      <c r="L535" s="12">
        <f t="shared" si="198"/>
        <v>0</v>
      </c>
      <c r="M535" s="12"/>
      <c r="N535" s="12"/>
      <c r="O535" s="12">
        <f t="shared" si="199"/>
        <v>0</v>
      </c>
      <c r="P535" s="12"/>
      <c r="Q535" s="12"/>
      <c r="R535" s="12">
        <f t="shared" si="200"/>
        <v>280000</v>
      </c>
      <c r="S535" s="12">
        <v>280000</v>
      </c>
      <c r="T535" s="12"/>
      <c r="U535" s="12">
        <f t="shared" si="201"/>
        <v>0</v>
      </c>
      <c r="V535" s="12"/>
      <c r="W535" s="12"/>
      <c r="X535" s="12">
        <f t="shared" si="202"/>
        <v>0</v>
      </c>
      <c r="Y535" s="12"/>
      <c r="Z535" s="12"/>
      <c r="AA535" s="13">
        <f t="shared" si="192"/>
        <v>0</v>
      </c>
      <c r="AB535" s="14">
        <v>46070</v>
      </c>
    </row>
    <row r="536" spans="1:28" ht="15.75" hidden="1" x14ac:dyDescent="0.25">
      <c r="A536" s="65">
        <v>46070</v>
      </c>
      <c r="B536" s="10" t="s">
        <v>257</v>
      </c>
      <c r="C536" s="10"/>
      <c r="D536" s="10" t="s">
        <v>383</v>
      </c>
      <c r="E536" s="10" t="s">
        <v>25</v>
      </c>
      <c r="F536" s="10">
        <v>200</v>
      </c>
      <c r="G536" s="10" t="s">
        <v>26</v>
      </c>
      <c r="H536" s="10">
        <v>2700</v>
      </c>
      <c r="I536" s="10">
        <f t="shared" si="191"/>
        <v>540000</v>
      </c>
      <c r="J536" s="29" t="s">
        <v>40</v>
      </c>
      <c r="K536" s="10"/>
      <c r="L536" s="12">
        <f t="shared" si="198"/>
        <v>0</v>
      </c>
      <c r="M536" s="12"/>
      <c r="N536" s="12"/>
      <c r="O536" s="12">
        <f t="shared" si="199"/>
        <v>0</v>
      </c>
      <c r="P536" s="12"/>
      <c r="Q536" s="12"/>
      <c r="R536" s="12">
        <f t="shared" si="200"/>
        <v>560000</v>
      </c>
      <c r="S536" s="12">
        <v>560000</v>
      </c>
      <c r="T536" s="12"/>
      <c r="U536" s="12">
        <f t="shared" si="201"/>
        <v>0</v>
      </c>
      <c r="V536" s="12"/>
      <c r="W536" s="12"/>
      <c r="X536" s="12">
        <f t="shared" si="202"/>
        <v>0</v>
      </c>
      <c r="Y536" s="12"/>
      <c r="Z536" s="12"/>
      <c r="AA536" s="13">
        <f t="shared" si="192"/>
        <v>-20000</v>
      </c>
      <c r="AB536" s="14">
        <v>46070</v>
      </c>
    </row>
    <row r="537" spans="1:28" ht="15.75" hidden="1" x14ac:dyDescent="0.25">
      <c r="A537" s="65">
        <v>46070</v>
      </c>
      <c r="B537" s="10" t="s">
        <v>487</v>
      </c>
      <c r="C537" s="10"/>
      <c r="D537" s="10" t="s">
        <v>195</v>
      </c>
      <c r="E537" s="10" t="s">
        <v>114</v>
      </c>
      <c r="F537" s="10">
        <v>20</v>
      </c>
      <c r="G537" s="10" t="s">
        <v>67</v>
      </c>
      <c r="H537" s="10">
        <v>50000</v>
      </c>
      <c r="I537" s="10">
        <f t="shared" si="191"/>
        <v>1000000</v>
      </c>
      <c r="J537" s="29" t="s">
        <v>110</v>
      </c>
      <c r="K537" s="10"/>
      <c r="L537" s="12">
        <f t="shared" si="198"/>
        <v>0</v>
      </c>
      <c r="M537" s="12"/>
      <c r="N537" s="12"/>
      <c r="O537" s="12">
        <f t="shared" si="199"/>
        <v>1000000</v>
      </c>
      <c r="P537" s="12">
        <v>1000000</v>
      </c>
      <c r="Q537" s="12"/>
      <c r="R537" s="12">
        <f t="shared" si="200"/>
        <v>0</v>
      </c>
      <c r="S537" s="12"/>
      <c r="T537" s="12"/>
      <c r="U537" s="12">
        <f t="shared" si="201"/>
        <v>0</v>
      </c>
      <c r="V537" s="12"/>
      <c r="W537" s="12"/>
      <c r="X537" s="12">
        <f t="shared" si="202"/>
        <v>0</v>
      </c>
      <c r="Y537" s="12"/>
      <c r="Z537" s="12"/>
      <c r="AA537" s="13">
        <f t="shared" si="192"/>
        <v>0</v>
      </c>
      <c r="AB537" s="14">
        <v>46070</v>
      </c>
    </row>
    <row r="538" spans="1:28" ht="15.75" hidden="1" x14ac:dyDescent="0.25">
      <c r="A538" s="65">
        <v>46070</v>
      </c>
      <c r="B538" s="10" t="s">
        <v>487</v>
      </c>
      <c r="C538" s="10"/>
      <c r="D538" s="10" t="s">
        <v>195</v>
      </c>
      <c r="E538" s="10" t="s">
        <v>116</v>
      </c>
      <c r="F538" s="10">
        <v>4</v>
      </c>
      <c r="G538" s="10" t="s">
        <v>67</v>
      </c>
      <c r="H538" s="10">
        <v>65000</v>
      </c>
      <c r="I538" s="10">
        <f t="shared" si="191"/>
        <v>260000</v>
      </c>
      <c r="J538" s="29" t="s">
        <v>110</v>
      </c>
      <c r="K538" s="10"/>
      <c r="L538" s="12">
        <f t="shared" si="198"/>
        <v>0</v>
      </c>
      <c r="M538" s="12"/>
      <c r="N538" s="12"/>
      <c r="O538" s="12">
        <f t="shared" si="199"/>
        <v>260000</v>
      </c>
      <c r="P538" s="12">
        <v>260000</v>
      </c>
      <c r="Q538" s="12"/>
      <c r="R538" s="12">
        <f t="shared" si="200"/>
        <v>0</v>
      </c>
      <c r="S538" s="12"/>
      <c r="T538" s="12"/>
      <c r="U538" s="12">
        <f t="shared" si="201"/>
        <v>0</v>
      </c>
      <c r="V538" s="12"/>
      <c r="W538" s="12"/>
      <c r="X538" s="12">
        <f t="shared" si="202"/>
        <v>0</v>
      </c>
      <c r="Y538" s="12"/>
      <c r="Z538" s="12"/>
      <c r="AA538" s="13">
        <f t="shared" si="192"/>
        <v>0</v>
      </c>
      <c r="AB538" s="14">
        <v>46070</v>
      </c>
    </row>
    <row r="539" spans="1:28" ht="15.75" hidden="1" x14ac:dyDescent="0.25">
      <c r="A539" s="65">
        <v>46070</v>
      </c>
      <c r="B539" s="10" t="s">
        <v>124</v>
      </c>
      <c r="C539" s="10"/>
      <c r="D539" s="10" t="s">
        <v>383</v>
      </c>
      <c r="E539" s="10" t="s">
        <v>78</v>
      </c>
      <c r="F539" s="10">
        <v>5</v>
      </c>
      <c r="G539" s="10" t="s">
        <v>61</v>
      </c>
      <c r="H539" s="10">
        <v>250000</v>
      </c>
      <c r="I539" s="10">
        <f t="shared" si="191"/>
        <v>1250000</v>
      </c>
      <c r="J539" s="29" t="s">
        <v>110</v>
      </c>
      <c r="K539" s="10"/>
      <c r="L539" s="12">
        <f t="shared" si="198"/>
        <v>0</v>
      </c>
      <c r="M539" s="12"/>
      <c r="N539" s="12"/>
      <c r="O539" s="12">
        <f t="shared" si="199"/>
        <v>1250000</v>
      </c>
      <c r="P539" s="12">
        <v>1250000</v>
      </c>
      <c r="Q539" s="12"/>
      <c r="R539" s="12">
        <f t="shared" si="200"/>
        <v>0</v>
      </c>
      <c r="S539" s="12"/>
      <c r="T539" s="12"/>
      <c r="U539" s="12">
        <f t="shared" si="201"/>
        <v>0</v>
      </c>
      <c r="V539" s="12"/>
      <c r="W539" s="12"/>
      <c r="X539" s="12">
        <f t="shared" si="202"/>
        <v>0</v>
      </c>
      <c r="Y539" s="12"/>
      <c r="Z539" s="12"/>
      <c r="AA539" s="13">
        <f t="shared" si="192"/>
        <v>0</v>
      </c>
      <c r="AB539" s="14">
        <v>46070</v>
      </c>
    </row>
    <row r="540" spans="1:28" ht="15.75" hidden="1" x14ac:dyDescent="0.25">
      <c r="A540" s="65">
        <v>46070</v>
      </c>
      <c r="B540" s="10" t="s">
        <v>163</v>
      </c>
      <c r="C540" s="10"/>
      <c r="D540" s="10" t="s">
        <v>195</v>
      </c>
      <c r="E540" s="10" t="s">
        <v>130</v>
      </c>
      <c r="F540" s="10">
        <v>50</v>
      </c>
      <c r="G540" s="10" t="s">
        <v>67</v>
      </c>
      <c r="H540" s="10">
        <v>50000</v>
      </c>
      <c r="I540" s="10">
        <f t="shared" si="191"/>
        <v>2500000</v>
      </c>
      <c r="J540" s="29" t="s">
        <v>110</v>
      </c>
      <c r="K540" s="10"/>
      <c r="L540" s="12">
        <f t="shared" si="198"/>
        <v>0</v>
      </c>
      <c r="M540" s="12"/>
      <c r="N540" s="12"/>
      <c r="O540" s="12">
        <f t="shared" si="199"/>
        <v>2500000</v>
      </c>
      <c r="P540" s="12">
        <v>2500000</v>
      </c>
      <c r="Q540" s="12"/>
      <c r="R540" s="12">
        <f t="shared" si="200"/>
        <v>0</v>
      </c>
      <c r="S540" s="12"/>
      <c r="T540" s="12"/>
      <c r="U540" s="12">
        <f t="shared" si="201"/>
        <v>0</v>
      </c>
      <c r="V540" s="12"/>
      <c r="W540" s="12"/>
      <c r="X540" s="12">
        <f t="shared" si="202"/>
        <v>0</v>
      </c>
      <c r="Y540" s="12"/>
      <c r="Z540" s="12"/>
      <c r="AA540" s="13">
        <f t="shared" si="192"/>
        <v>0</v>
      </c>
      <c r="AB540" s="14">
        <v>46070</v>
      </c>
    </row>
    <row r="541" spans="1:28" ht="15.75" hidden="1" x14ac:dyDescent="0.25">
      <c r="A541" s="65">
        <v>46070</v>
      </c>
      <c r="B541" s="10" t="s">
        <v>163</v>
      </c>
      <c r="C541" s="10"/>
      <c r="D541" s="10" t="s">
        <v>195</v>
      </c>
      <c r="E541" s="10" t="s">
        <v>305</v>
      </c>
      <c r="F541" s="10">
        <v>44.9</v>
      </c>
      <c r="G541" s="10" t="s">
        <v>36</v>
      </c>
      <c r="H541" s="10">
        <v>110000</v>
      </c>
      <c r="I541" s="10">
        <f t="shared" si="191"/>
        <v>4939000</v>
      </c>
      <c r="J541" s="29" t="s">
        <v>110</v>
      </c>
      <c r="K541" s="10"/>
      <c r="L541" s="12">
        <f t="shared" si="198"/>
        <v>0</v>
      </c>
      <c r="M541" s="12"/>
      <c r="N541" s="12"/>
      <c r="O541" s="12">
        <f t="shared" si="199"/>
        <v>4939000</v>
      </c>
      <c r="P541" s="12">
        <v>4939000</v>
      </c>
      <c r="Q541" s="12"/>
      <c r="R541" s="12">
        <f t="shared" si="200"/>
        <v>0</v>
      </c>
      <c r="S541" s="12"/>
      <c r="T541" s="12"/>
      <c r="U541" s="12">
        <f t="shared" si="201"/>
        <v>0</v>
      </c>
      <c r="V541" s="12"/>
      <c r="W541" s="12"/>
      <c r="X541" s="12">
        <f t="shared" si="202"/>
        <v>0</v>
      </c>
      <c r="Y541" s="12"/>
      <c r="Z541" s="12"/>
      <c r="AA541" s="13">
        <f t="shared" si="192"/>
        <v>0</v>
      </c>
      <c r="AB541" s="14">
        <v>46070</v>
      </c>
    </row>
    <row r="542" spans="1:28" ht="15.75" hidden="1" x14ac:dyDescent="0.25">
      <c r="A542" s="65">
        <v>46070</v>
      </c>
      <c r="B542" s="10" t="s">
        <v>53</v>
      </c>
      <c r="C542" s="10"/>
      <c r="D542" s="10" t="s">
        <v>383</v>
      </c>
      <c r="E542" s="10" t="s">
        <v>168</v>
      </c>
      <c r="F542" s="10">
        <v>317.3</v>
      </c>
      <c r="G542" s="10" t="s">
        <v>36</v>
      </c>
      <c r="H542" s="10">
        <v>43000</v>
      </c>
      <c r="I542" s="10">
        <f t="shared" si="191"/>
        <v>13643900</v>
      </c>
      <c r="J542" s="52" t="s">
        <v>90</v>
      </c>
      <c r="K542" s="10"/>
      <c r="L542" s="12">
        <f t="shared" si="198"/>
        <v>0</v>
      </c>
      <c r="M542" s="12"/>
      <c r="N542" s="12"/>
      <c r="O542" s="12">
        <f t="shared" si="199"/>
        <v>0</v>
      </c>
      <c r="P542" s="12"/>
      <c r="Q542" s="12"/>
      <c r="R542" s="12">
        <f t="shared" si="200"/>
        <v>0</v>
      </c>
      <c r="S542" s="12"/>
      <c r="T542" s="12"/>
      <c r="U542" s="12">
        <f t="shared" si="201"/>
        <v>0</v>
      </c>
      <c r="V542" s="12"/>
      <c r="W542" s="12"/>
      <c r="X542" s="12">
        <f t="shared" si="202"/>
        <v>0</v>
      </c>
      <c r="Y542" s="12"/>
      <c r="Z542" s="12"/>
      <c r="AA542" s="13">
        <f t="shared" si="192"/>
        <v>13643900</v>
      </c>
      <c r="AB542" s="14"/>
    </row>
    <row r="543" spans="1:28" ht="15.75" hidden="1" x14ac:dyDescent="0.25">
      <c r="A543" s="65">
        <v>46070</v>
      </c>
      <c r="B543" s="10" t="s">
        <v>303</v>
      </c>
      <c r="C543" s="10"/>
      <c r="D543" s="10" t="s">
        <v>383</v>
      </c>
      <c r="E543" s="10" t="s">
        <v>80</v>
      </c>
      <c r="F543" s="10">
        <v>22.5</v>
      </c>
      <c r="G543" s="10" t="s">
        <v>36</v>
      </c>
      <c r="H543" s="10">
        <v>43000</v>
      </c>
      <c r="I543" s="10">
        <f t="shared" si="191"/>
        <v>967500</v>
      </c>
      <c r="J543" s="29" t="s">
        <v>110</v>
      </c>
      <c r="K543" s="10"/>
      <c r="L543" s="12">
        <f t="shared" si="198"/>
        <v>0</v>
      </c>
      <c r="M543" s="12"/>
      <c r="N543" s="12"/>
      <c r="O543" s="12">
        <f t="shared" si="199"/>
        <v>967500</v>
      </c>
      <c r="P543" s="12">
        <v>967500</v>
      </c>
      <c r="Q543" s="12"/>
      <c r="R543" s="12">
        <f t="shared" si="200"/>
        <v>0</v>
      </c>
      <c r="S543" s="12"/>
      <c r="T543" s="12"/>
      <c r="U543" s="12">
        <f t="shared" si="201"/>
        <v>0</v>
      </c>
      <c r="V543" s="12"/>
      <c r="W543" s="12"/>
      <c r="X543" s="12">
        <f t="shared" si="202"/>
        <v>0</v>
      </c>
      <c r="Y543" s="12"/>
      <c r="Z543" s="12"/>
      <c r="AA543" s="13">
        <f t="shared" si="192"/>
        <v>0</v>
      </c>
      <c r="AB543" s="14">
        <v>46071</v>
      </c>
    </row>
    <row r="544" spans="1:28" ht="15.75" hidden="1" x14ac:dyDescent="0.25">
      <c r="A544" s="65">
        <v>46070</v>
      </c>
      <c r="B544" s="10" t="s">
        <v>488</v>
      </c>
      <c r="C544" s="10"/>
      <c r="D544" s="10" t="s">
        <v>195</v>
      </c>
      <c r="E544" s="10" t="s">
        <v>489</v>
      </c>
      <c r="F544" s="10">
        <v>1</v>
      </c>
      <c r="G544" s="10" t="s">
        <v>36</v>
      </c>
      <c r="H544" s="10">
        <v>140000</v>
      </c>
      <c r="I544" s="10">
        <f t="shared" si="191"/>
        <v>140000</v>
      </c>
      <c r="J544" s="29" t="s">
        <v>110</v>
      </c>
      <c r="K544" s="10"/>
      <c r="L544" s="12">
        <f t="shared" si="198"/>
        <v>0</v>
      </c>
      <c r="M544" s="12"/>
      <c r="N544" s="12"/>
      <c r="O544" s="12">
        <f t="shared" si="199"/>
        <v>140000</v>
      </c>
      <c r="P544" s="12">
        <v>140000</v>
      </c>
      <c r="Q544" s="12"/>
      <c r="R544" s="12">
        <f t="shared" si="200"/>
        <v>0</v>
      </c>
      <c r="S544" s="12"/>
      <c r="T544" s="12"/>
      <c r="U544" s="12">
        <f t="shared" si="201"/>
        <v>0</v>
      </c>
      <c r="V544" s="12"/>
      <c r="W544" s="12"/>
      <c r="X544" s="12">
        <f t="shared" si="202"/>
        <v>0</v>
      </c>
      <c r="Y544" s="12"/>
      <c r="Z544" s="12"/>
      <c r="AA544" s="13">
        <f t="shared" si="192"/>
        <v>0</v>
      </c>
      <c r="AB544" s="14">
        <v>46070</v>
      </c>
    </row>
    <row r="545" spans="1:28" ht="15.75" hidden="1" x14ac:dyDescent="0.25">
      <c r="A545" s="65">
        <v>46070</v>
      </c>
      <c r="B545" s="10" t="s">
        <v>488</v>
      </c>
      <c r="C545" s="10"/>
      <c r="D545" s="10" t="s">
        <v>195</v>
      </c>
      <c r="E545" s="10" t="s">
        <v>490</v>
      </c>
      <c r="F545" s="10">
        <v>1</v>
      </c>
      <c r="G545" s="10" t="s">
        <v>36</v>
      </c>
      <c r="H545" s="10">
        <v>165000</v>
      </c>
      <c r="I545" s="10">
        <f t="shared" si="191"/>
        <v>165000</v>
      </c>
      <c r="J545" s="29" t="s">
        <v>110</v>
      </c>
      <c r="K545" s="10"/>
      <c r="L545" s="12">
        <f t="shared" si="198"/>
        <v>0</v>
      </c>
      <c r="M545" s="12"/>
      <c r="N545" s="12"/>
      <c r="O545" s="12">
        <f t="shared" si="199"/>
        <v>165000</v>
      </c>
      <c r="P545" s="12">
        <v>165000</v>
      </c>
      <c r="Q545" s="12"/>
      <c r="R545" s="12">
        <f t="shared" si="200"/>
        <v>0</v>
      </c>
      <c r="S545" s="12"/>
      <c r="T545" s="12"/>
      <c r="U545" s="12">
        <f t="shared" si="201"/>
        <v>0</v>
      </c>
      <c r="V545" s="12"/>
      <c r="W545" s="12"/>
      <c r="X545" s="12">
        <f t="shared" si="202"/>
        <v>0</v>
      </c>
      <c r="Y545" s="12"/>
      <c r="Z545" s="12"/>
      <c r="AA545" s="13">
        <f t="shared" si="192"/>
        <v>0</v>
      </c>
      <c r="AB545" s="14">
        <v>46070</v>
      </c>
    </row>
    <row r="546" spans="1:28" ht="15.75" hidden="1" x14ac:dyDescent="0.25">
      <c r="A546" s="65">
        <v>46070</v>
      </c>
      <c r="B546" s="10" t="s">
        <v>267</v>
      </c>
      <c r="C546" s="10"/>
      <c r="D546" s="10" t="s">
        <v>195</v>
      </c>
      <c r="E546" s="10" t="s">
        <v>104</v>
      </c>
      <c r="F546" s="10">
        <v>600</v>
      </c>
      <c r="G546" s="10" t="s">
        <v>26</v>
      </c>
      <c r="H546" s="10">
        <v>1900</v>
      </c>
      <c r="I546" s="10">
        <f t="shared" si="191"/>
        <v>1140000</v>
      </c>
      <c r="J546" s="29" t="s">
        <v>113</v>
      </c>
      <c r="K546" s="10"/>
      <c r="L546" s="12">
        <f t="shared" si="198"/>
        <v>1140000</v>
      </c>
      <c r="M546" s="12">
        <v>1140000</v>
      </c>
      <c r="N546" s="12"/>
      <c r="O546" s="12">
        <f t="shared" si="199"/>
        <v>0</v>
      </c>
      <c r="P546" s="12"/>
      <c r="Q546" s="12"/>
      <c r="R546" s="12">
        <f t="shared" si="200"/>
        <v>0</v>
      </c>
      <c r="S546" s="12"/>
      <c r="T546" s="12"/>
      <c r="U546" s="12">
        <f t="shared" si="201"/>
        <v>0</v>
      </c>
      <c r="V546" s="12"/>
      <c r="W546" s="12"/>
      <c r="X546" s="12">
        <f t="shared" si="202"/>
        <v>0</v>
      </c>
      <c r="Y546" s="12"/>
      <c r="Z546" s="12"/>
      <c r="AA546" s="13">
        <f t="shared" si="192"/>
        <v>0</v>
      </c>
      <c r="AB546" s="14">
        <v>46070</v>
      </c>
    </row>
    <row r="547" spans="1:28" ht="15.75" hidden="1" x14ac:dyDescent="0.25">
      <c r="A547" s="65">
        <v>46070</v>
      </c>
      <c r="B547" s="10" t="s">
        <v>239</v>
      </c>
      <c r="C547" s="10"/>
      <c r="D547" s="10" t="s">
        <v>195</v>
      </c>
      <c r="E547" s="10" t="s">
        <v>104</v>
      </c>
      <c r="F547" s="10">
        <v>6000</v>
      </c>
      <c r="G547" s="10" t="s">
        <v>26</v>
      </c>
      <c r="H547" s="10">
        <v>2000</v>
      </c>
      <c r="I547" s="10">
        <f t="shared" si="191"/>
        <v>12000000</v>
      </c>
      <c r="J547" s="29" t="s">
        <v>110</v>
      </c>
      <c r="K547" s="10"/>
      <c r="L547" s="12">
        <f t="shared" si="198"/>
        <v>0</v>
      </c>
      <c r="M547" s="12"/>
      <c r="N547" s="12"/>
      <c r="O547" s="12">
        <f t="shared" si="199"/>
        <v>12000000</v>
      </c>
      <c r="P547" s="12">
        <v>12000000</v>
      </c>
      <c r="Q547" s="12"/>
      <c r="R547" s="12">
        <f t="shared" si="200"/>
        <v>0</v>
      </c>
      <c r="S547" s="12"/>
      <c r="T547" s="12"/>
      <c r="U547" s="12">
        <f t="shared" si="201"/>
        <v>0</v>
      </c>
      <c r="V547" s="12"/>
      <c r="W547" s="12"/>
      <c r="X547" s="12">
        <f t="shared" si="202"/>
        <v>0</v>
      </c>
      <c r="Y547" s="12"/>
      <c r="Z547" s="12"/>
      <c r="AA547" s="13">
        <f t="shared" si="192"/>
        <v>0</v>
      </c>
      <c r="AB547" s="14">
        <v>46070</v>
      </c>
    </row>
    <row r="548" spans="1:28" ht="15.75" x14ac:dyDescent="0.25">
      <c r="A548" s="65">
        <v>46070</v>
      </c>
      <c r="B548" s="10" t="s">
        <v>272</v>
      </c>
      <c r="C548" s="10"/>
      <c r="D548" s="10"/>
      <c r="E548" s="10" t="s">
        <v>92</v>
      </c>
      <c r="F548" s="10">
        <v>33.799999999999997</v>
      </c>
      <c r="G548" s="10" t="s">
        <v>36</v>
      </c>
      <c r="H548" s="10">
        <v>43000</v>
      </c>
      <c r="I548" s="10">
        <f t="shared" si="191"/>
        <v>1453399.9999999998</v>
      </c>
      <c r="J548" s="115" t="s">
        <v>90</v>
      </c>
      <c r="K548" s="10"/>
      <c r="L548" s="12">
        <f t="shared" si="198"/>
        <v>0</v>
      </c>
      <c r="M548" s="12"/>
      <c r="N548" s="12"/>
      <c r="O548" s="12">
        <f t="shared" si="199"/>
        <v>0</v>
      </c>
      <c r="P548" s="12"/>
      <c r="Q548" s="12"/>
      <c r="R548" s="12">
        <f t="shared" si="200"/>
        <v>0</v>
      </c>
      <c r="S548" s="12"/>
      <c r="T548" s="12"/>
      <c r="U548" s="12">
        <f t="shared" si="201"/>
        <v>0</v>
      </c>
      <c r="V548" s="12"/>
      <c r="W548" s="12"/>
      <c r="X548" s="12">
        <f t="shared" si="202"/>
        <v>0</v>
      </c>
      <c r="Y548" s="12"/>
      <c r="Z548" s="12"/>
      <c r="AA548" s="13">
        <f t="shared" si="192"/>
        <v>1453399.9999999998</v>
      </c>
      <c r="AB548" s="14"/>
    </row>
    <row r="549" spans="1:28" ht="15.75" x14ac:dyDescent="0.25">
      <c r="A549" s="65">
        <v>46070</v>
      </c>
      <c r="B549" s="10" t="s">
        <v>272</v>
      </c>
      <c r="C549" s="10"/>
      <c r="D549" s="10"/>
      <c r="E549" s="10" t="s">
        <v>315</v>
      </c>
      <c r="F549" s="10">
        <v>26.9</v>
      </c>
      <c r="G549" s="10" t="s">
        <v>36</v>
      </c>
      <c r="H549" s="10">
        <v>43000</v>
      </c>
      <c r="I549" s="10">
        <f t="shared" si="191"/>
        <v>1156700</v>
      </c>
      <c r="J549" s="115" t="s">
        <v>90</v>
      </c>
      <c r="K549" s="10"/>
      <c r="L549" s="12">
        <f t="shared" si="198"/>
        <v>0</v>
      </c>
      <c r="M549" s="12"/>
      <c r="N549" s="12"/>
      <c r="O549" s="12">
        <f t="shared" si="199"/>
        <v>0</v>
      </c>
      <c r="P549" s="12"/>
      <c r="Q549" s="12"/>
      <c r="R549" s="12">
        <f t="shared" si="200"/>
        <v>0</v>
      </c>
      <c r="S549" s="12"/>
      <c r="T549" s="12"/>
      <c r="U549" s="12">
        <f t="shared" si="201"/>
        <v>0</v>
      </c>
      <c r="V549" s="12"/>
      <c r="W549" s="12"/>
      <c r="X549" s="12">
        <f t="shared" si="202"/>
        <v>0</v>
      </c>
      <c r="Y549" s="12"/>
      <c r="Z549" s="12"/>
      <c r="AA549" s="13">
        <f t="shared" si="192"/>
        <v>1156700</v>
      </c>
      <c r="AB549" s="14"/>
    </row>
    <row r="550" spans="1:28" ht="15.75" x14ac:dyDescent="0.25">
      <c r="A550" s="28">
        <v>46070</v>
      </c>
      <c r="B550" s="10" t="s">
        <v>272</v>
      </c>
      <c r="C550" s="10"/>
      <c r="D550" s="10"/>
      <c r="E550" s="10" t="s">
        <v>306</v>
      </c>
      <c r="F550" s="10">
        <v>26.5</v>
      </c>
      <c r="G550" s="10" t="s">
        <v>36</v>
      </c>
      <c r="H550" s="10">
        <v>43000</v>
      </c>
      <c r="I550" s="10">
        <f t="shared" si="191"/>
        <v>1139500</v>
      </c>
      <c r="J550" s="115" t="s">
        <v>90</v>
      </c>
      <c r="K550" s="10"/>
      <c r="L550" s="12">
        <f t="shared" si="198"/>
        <v>0</v>
      </c>
      <c r="M550" s="12"/>
      <c r="N550" s="12"/>
      <c r="O550" s="12">
        <f t="shared" si="199"/>
        <v>0</v>
      </c>
      <c r="P550" s="12"/>
      <c r="Q550" s="12"/>
      <c r="R550" s="12">
        <f t="shared" si="200"/>
        <v>0</v>
      </c>
      <c r="S550" s="12"/>
      <c r="T550" s="12"/>
      <c r="U550" s="12">
        <f t="shared" si="201"/>
        <v>0</v>
      </c>
      <c r="V550" s="12"/>
      <c r="W550" s="12"/>
      <c r="X550" s="12">
        <f t="shared" si="202"/>
        <v>0</v>
      </c>
      <c r="Y550" s="12"/>
      <c r="Z550" s="12"/>
      <c r="AA550" s="13">
        <f t="shared" si="192"/>
        <v>1139500</v>
      </c>
      <c r="AB550" s="14"/>
    </row>
    <row r="551" spans="1:28" ht="16.5" hidden="1" thickBot="1" x14ac:dyDescent="0.3">
      <c r="A551" s="53">
        <v>46070</v>
      </c>
      <c r="B551" s="54" t="s">
        <v>349</v>
      </c>
      <c r="C551" s="54"/>
      <c r="D551" s="54" t="s">
        <v>195</v>
      </c>
      <c r="E551" s="54" t="s">
        <v>107</v>
      </c>
      <c r="F551" s="54">
        <v>20</v>
      </c>
      <c r="G551" s="54" t="s">
        <v>36</v>
      </c>
      <c r="H551" s="54">
        <v>60000</v>
      </c>
      <c r="I551" s="31">
        <f t="shared" si="191"/>
        <v>1200000</v>
      </c>
      <c r="J551" s="51" t="s">
        <v>113</v>
      </c>
      <c r="K551" s="31"/>
      <c r="L551" s="34">
        <f t="shared" ref="L551:L552" si="203">M551+N551</f>
        <v>0</v>
      </c>
      <c r="M551" s="34"/>
      <c r="N551" s="34"/>
      <c r="O551" s="34">
        <f t="shared" ref="O551:O552" si="204">P551+Q551</f>
        <v>0</v>
      </c>
      <c r="P551" s="34"/>
      <c r="Q551" s="34"/>
      <c r="R551" s="34">
        <f t="shared" ref="R551:R552" si="205">S551+T551</f>
        <v>0</v>
      </c>
      <c r="S551" s="34"/>
      <c r="T551" s="34"/>
      <c r="U551" s="34">
        <f t="shared" ref="U551:U552" si="206">V551+W551</f>
        <v>1200000</v>
      </c>
      <c r="V551" s="34">
        <v>1200000</v>
      </c>
      <c r="W551" s="34"/>
      <c r="X551" s="34">
        <f t="shared" ref="X551:X552" si="207">Y551+Z551</f>
        <v>0</v>
      </c>
      <c r="Y551" s="34"/>
      <c r="Z551" s="34"/>
      <c r="AA551" s="35">
        <f t="shared" si="192"/>
        <v>0</v>
      </c>
      <c r="AB551" s="36">
        <v>46070</v>
      </c>
    </row>
    <row r="552" spans="1:28" ht="15.75" hidden="1" x14ac:dyDescent="0.25">
      <c r="A552" s="65">
        <v>46071</v>
      </c>
      <c r="B552" s="66" t="s">
        <v>267</v>
      </c>
      <c r="C552" s="66"/>
      <c r="D552" s="66" t="s">
        <v>195</v>
      </c>
      <c r="E552" s="66" t="s">
        <v>114</v>
      </c>
      <c r="F552" s="66">
        <v>10</v>
      </c>
      <c r="G552" s="66" t="s">
        <v>67</v>
      </c>
      <c r="H552" s="66">
        <v>50000</v>
      </c>
      <c r="I552" s="10">
        <f t="shared" si="191"/>
        <v>500000</v>
      </c>
      <c r="J552" s="84" t="s">
        <v>113</v>
      </c>
      <c r="K552" s="10"/>
      <c r="L552" s="12">
        <f t="shared" si="203"/>
        <v>500000</v>
      </c>
      <c r="M552" s="12">
        <v>500000</v>
      </c>
      <c r="N552" s="12"/>
      <c r="O552" s="12">
        <f t="shared" si="204"/>
        <v>0</v>
      </c>
      <c r="P552" s="12"/>
      <c r="Q552" s="12"/>
      <c r="R552" s="12">
        <f t="shared" si="205"/>
        <v>0</v>
      </c>
      <c r="S552" s="12"/>
      <c r="T552" s="12"/>
      <c r="U552" s="12">
        <f t="shared" si="206"/>
        <v>0</v>
      </c>
      <c r="V552" s="12"/>
      <c r="W552" s="12"/>
      <c r="X552" s="12">
        <f t="shared" si="207"/>
        <v>0</v>
      </c>
      <c r="Y552" s="12"/>
      <c r="Z552" s="12"/>
      <c r="AA552" s="13">
        <f t="shared" si="192"/>
        <v>0</v>
      </c>
      <c r="AB552" s="14">
        <v>46071</v>
      </c>
    </row>
    <row r="553" spans="1:28" ht="15.75" hidden="1" x14ac:dyDescent="0.25">
      <c r="A553" s="65">
        <v>46071</v>
      </c>
      <c r="B553" s="10" t="s">
        <v>322</v>
      </c>
      <c r="C553" s="10"/>
      <c r="D553" s="66" t="s">
        <v>195</v>
      </c>
      <c r="E553" s="10" t="s">
        <v>494</v>
      </c>
      <c r="F553" s="10">
        <v>2</v>
      </c>
      <c r="G553" s="10" t="s">
        <v>61</v>
      </c>
      <c r="H553" s="10">
        <v>260000</v>
      </c>
      <c r="I553" s="10">
        <f t="shared" si="191"/>
        <v>520000</v>
      </c>
      <c r="J553" s="29" t="s">
        <v>110</v>
      </c>
      <c r="K553" s="10"/>
      <c r="L553" s="12">
        <f t="shared" ref="L553:L564" si="208">M553+N553</f>
        <v>0</v>
      </c>
      <c r="M553" s="12"/>
      <c r="N553" s="12"/>
      <c r="O553" s="12">
        <f t="shared" ref="O553:O564" si="209">P553+Q553</f>
        <v>0</v>
      </c>
      <c r="P553" s="12"/>
      <c r="Q553" s="12"/>
      <c r="R553" s="12">
        <f t="shared" ref="R553:R564" si="210">S553+T553</f>
        <v>520000</v>
      </c>
      <c r="S553" s="12">
        <v>520000</v>
      </c>
      <c r="T553" s="12"/>
      <c r="U553" s="12">
        <f t="shared" ref="U553:U564" si="211">V553+W553</f>
        <v>0</v>
      </c>
      <c r="V553" s="12"/>
      <c r="W553" s="12"/>
      <c r="X553" s="12">
        <f t="shared" ref="X553:X564" si="212">Y553+Z553</f>
        <v>0</v>
      </c>
      <c r="Y553" s="12"/>
      <c r="Z553" s="12"/>
      <c r="AA553" s="13">
        <f t="shared" si="192"/>
        <v>0</v>
      </c>
      <c r="AB553" s="14">
        <v>46071</v>
      </c>
    </row>
    <row r="554" spans="1:28" ht="15.75" hidden="1" x14ac:dyDescent="0.25">
      <c r="A554" s="65">
        <v>46071</v>
      </c>
      <c r="B554" s="10" t="s">
        <v>351</v>
      </c>
      <c r="C554" s="10"/>
      <c r="D554" s="66" t="s">
        <v>195</v>
      </c>
      <c r="E554" s="10" t="s">
        <v>129</v>
      </c>
      <c r="F554" s="10">
        <v>100</v>
      </c>
      <c r="G554" s="10" t="s">
        <v>26</v>
      </c>
      <c r="H554" s="10">
        <v>4000</v>
      </c>
      <c r="I554" s="10">
        <f t="shared" si="191"/>
        <v>400000</v>
      </c>
      <c r="J554" s="29" t="s">
        <v>113</v>
      </c>
      <c r="K554" s="10"/>
      <c r="L554" s="12">
        <f t="shared" si="208"/>
        <v>400000</v>
      </c>
      <c r="M554" s="12">
        <v>400000</v>
      </c>
      <c r="N554" s="12"/>
      <c r="O554" s="12">
        <f t="shared" si="209"/>
        <v>0</v>
      </c>
      <c r="P554" s="12"/>
      <c r="Q554" s="12"/>
      <c r="R554" s="12">
        <f t="shared" si="210"/>
        <v>0</v>
      </c>
      <c r="S554" s="12"/>
      <c r="T554" s="12"/>
      <c r="U554" s="12">
        <f t="shared" si="211"/>
        <v>0</v>
      </c>
      <c r="V554" s="12"/>
      <c r="W554" s="12"/>
      <c r="X554" s="12">
        <f t="shared" si="212"/>
        <v>0</v>
      </c>
      <c r="Y554" s="12"/>
      <c r="Z554" s="12"/>
      <c r="AA554" s="13">
        <f t="shared" si="192"/>
        <v>0</v>
      </c>
      <c r="AB554" s="14">
        <v>46071</v>
      </c>
    </row>
    <row r="555" spans="1:28" ht="15.75" hidden="1" x14ac:dyDescent="0.25">
      <c r="A555" s="65">
        <v>46071</v>
      </c>
      <c r="B555" s="10" t="s">
        <v>485</v>
      </c>
      <c r="C555" s="10"/>
      <c r="D555" s="66" t="s">
        <v>195</v>
      </c>
      <c r="E555" s="10" t="s">
        <v>495</v>
      </c>
      <c r="F555" s="10">
        <v>1</v>
      </c>
      <c r="G555" s="10" t="s">
        <v>192</v>
      </c>
      <c r="H555" s="10">
        <v>1200000</v>
      </c>
      <c r="I555" s="10">
        <f t="shared" si="191"/>
        <v>1200000</v>
      </c>
      <c r="J555" s="29" t="s">
        <v>110</v>
      </c>
      <c r="K555" s="10"/>
      <c r="L555" s="12">
        <f t="shared" si="208"/>
        <v>0</v>
      </c>
      <c r="M555" s="12"/>
      <c r="N555" s="12"/>
      <c r="O555" s="12">
        <f t="shared" si="209"/>
        <v>1200000</v>
      </c>
      <c r="P555" s="12">
        <v>1200000</v>
      </c>
      <c r="Q555" s="12"/>
      <c r="R555" s="12">
        <f t="shared" si="210"/>
        <v>0</v>
      </c>
      <c r="S555" s="12"/>
      <c r="T555" s="12"/>
      <c r="U555" s="12">
        <f t="shared" si="211"/>
        <v>0</v>
      </c>
      <c r="V555" s="12"/>
      <c r="W555" s="12"/>
      <c r="X555" s="12">
        <f t="shared" si="212"/>
        <v>0</v>
      </c>
      <c r="Y555" s="12"/>
      <c r="Z555" s="12"/>
      <c r="AA555" s="13">
        <f t="shared" si="192"/>
        <v>0</v>
      </c>
      <c r="AB555" s="14">
        <v>46071</v>
      </c>
    </row>
    <row r="556" spans="1:28" ht="15.75" hidden="1" x14ac:dyDescent="0.25">
      <c r="A556" s="65">
        <v>46071</v>
      </c>
      <c r="B556" s="10" t="s">
        <v>318</v>
      </c>
      <c r="C556" s="10"/>
      <c r="D556" s="10" t="s">
        <v>383</v>
      </c>
      <c r="E556" s="10" t="s">
        <v>291</v>
      </c>
      <c r="F556" s="10">
        <v>2</v>
      </c>
      <c r="G556" s="10" t="s">
        <v>39</v>
      </c>
      <c r="H556" s="10">
        <v>450000</v>
      </c>
      <c r="I556" s="10">
        <f t="shared" si="191"/>
        <v>900000</v>
      </c>
      <c r="J556" s="29" t="s">
        <v>110</v>
      </c>
      <c r="K556" s="10"/>
      <c r="L556" s="12">
        <f t="shared" si="208"/>
        <v>0</v>
      </c>
      <c r="M556" s="12"/>
      <c r="N556" s="12"/>
      <c r="O556" s="12">
        <f t="shared" si="209"/>
        <v>900000</v>
      </c>
      <c r="P556" s="12">
        <v>900000</v>
      </c>
      <c r="Q556" s="12"/>
      <c r="R556" s="12">
        <f t="shared" si="210"/>
        <v>0</v>
      </c>
      <c r="S556" s="12"/>
      <c r="T556" s="12"/>
      <c r="U556" s="12">
        <f t="shared" si="211"/>
        <v>0</v>
      </c>
      <c r="V556" s="12"/>
      <c r="W556" s="12"/>
      <c r="X556" s="12">
        <f t="shared" si="212"/>
        <v>0</v>
      </c>
      <c r="Y556" s="12"/>
      <c r="Z556" s="12"/>
      <c r="AA556" s="13">
        <f t="shared" si="192"/>
        <v>0</v>
      </c>
      <c r="AB556" s="14">
        <v>46071</v>
      </c>
    </row>
    <row r="557" spans="1:28" ht="15.75" hidden="1" x14ac:dyDescent="0.25">
      <c r="A557" s="65">
        <v>46071</v>
      </c>
      <c r="B557" s="10" t="s">
        <v>230</v>
      </c>
      <c r="C557" s="10"/>
      <c r="D557" s="10" t="s">
        <v>383</v>
      </c>
      <c r="E557" s="10" t="s">
        <v>104</v>
      </c>
      <c r="F557" s="10">
        <v>2000</v>
      </c>
      <c r="G557" s="10" t="s">
        <v>26</v>
      </c>
      <c r="H557" s="10">
        <v>1900</v>
      </c>
      <c r="I557" s="10">
        <f t="shared" si="191"/>
        <v>3800000</v>
      </c>
      <c r="J557" s="52" t="s">
        <v>90</v>
      </c>
      <c r="K557" s="10"/>
      <c r="L557" s="12">
        <f t="shared" si="208"/>
        <v>0</v>
      </c>
      <c r="M557" s="12"/>
      <c r="N557" s="12"/>
      <c r="O557" s="12">
        <f t="shared" si="209"/>
        <v>0</v>
      </c>
      <c r="P557" s="12"/>
      <c r="Q557" s="12"/>
      <c r="R557" s="12">
        <f t="shared" si="210"/>
        <v>0</v>
      </c>
      <c r="S557" s="12"/>
      <c r="T557" s="12"/>
      <c r="U557" s="12">
        <f t="shared" si="211"/>
        <v>0</v>
      </c>
      <c r="V557" s="12"/>
      <c r="W557" s="12"/>
      <c r="X557" s="12">
        <f t="shared" si="212"/>
        <v>0</v>
      </c>
      <c r="Y557" s="12"/>
      <c r="Z557" s="12"/>
      <c r="AA557" s="13">
        <f t="shared" si="192"/>
        <v>3800000</v>
      </c>
      <c r="AB557" s="14"/>
    </row>
    <row r="558" spans="1:28" ht="15.75" hidden="1" x14ac:dyDescent="0.25">
      <c r="A558" s="65">
        <v>46071</v>
      </c>
      <c r="B558" s="10" t="s">
        <v>122</v>
      </c>
      <c r="C558" s="10"/>
      <c r="D558" s="10" t="s">
        <v>383</v>
      </c>
      <c r="E558" s="10" t="s">
        <v>65</v>
      </c>
      <c r="F558" s="10">
        <v>20800</v>
      </c>
      <c r="G558" s="10" t="s">
        <v>26</v>
      </c>
      <c r="H558" s="10">
        <v>4000</v>
      </c>
      <c r="I558" s="10">
        <f t="shared" si="191"/>
        <v>83200000</v>
      </c>
      <c r="J558" s="52" t="s">
        <v>30</v>
      </c>
      <c r="K558" s="10"/>
      <c r="L558" s="12">
        <f t="shared" si="208"/>
        <v>31460000</v>
      </c>
      <c r="M558" s="12">
        <v>31460000</v>
      </c>
      <c r="N558" s="12"/>
      <c r="O558" s="12">
        <f t="shared" si="209"/>
        <v>0</v>
      </c>
      <c r="P558" s="12"/>
      <c r="Q558" s="12"/>
      <c r="R558" s="12">
        <f t="shared" si="210"/>
        <v>0</v>
      </c>
      <c r="S558" s="12"/>
      <c r="T558" s="12"/>
      <c r="U558" s="12">
        <f t="shared" si="211"/>
        <v>0</v>
      </c>
      <c r="V558" s="12"/>
      <c r="W558" s="12"/>
      <c r="X558" s="12">
        <f t="shared" si="212"/>
        <v>0</v>
      </c>
      <c r="Y558" s="12"/>
      <c r="Z558" s="12"/>
      <c r="AA558" s="13">
        <f t="shared" si="192"/>
        <v>51740000</v>
      </c>
      <c r="AB558" s="14">
        <v>46071</v>
      </c>
    </row>
    <row r="559" spans="1:28" ht="15.75" x14ac:dyDescent="0.25">
      <c r="A559" s="65">
        <v>46071</v>
      </c>
      <c r="B559" s="10" t="s">
        <v>272</v>
      </c>
      <c r="C559" s="10"/>
      <c r="D559" s="10"/>
      <c r="E559" s="10" t="s">
        <v>443</v>
      </c>
      <c r="F559" s="10">
        <v>53.3</v>
      </c>
      <c r="G559" s="10" t="s">
        <v>36</v>
      </c>
      <c r="H559" s="10">
        <v>43000</v>
      </c>
      <c r="I559" s="10">
        <f t="shared" si="191"/>
        <v>2291900</v>
      </c>
      <c r="J559" s="115" t="s">
        <v>90</v>
      </c>
      <c r="K559" s="10"/>
      <c r="L559" s="12">
        <f t="shared" si="208"/>
        <v>0</v>
      </c>
      <c r="M559" s="12"/>
      <c r="N559" s="12"/>
      <c r="O559" s="12">
        <f t="shared" si="209"/>
        <v>0</v>
      </c>
      <c r="P559" s="12"/>
      <c r="Q559" s="12"/>
      <c r="R559" s="12">
        <f t="shared" si="210"/>
        <v>0</v>
      </c>
      <c r="S559" s="12"/>
      <c r="T559" s="12"/>
      <c r="U559" s="12">
        <f t="shared" si="211"/>
        <v>0</v>
      </c>
      <c r="V559" s="12"/>
      <c r="W559" s="12"/>
      <c r="X559" s="12">
        <f t="shared" si="212"/>
        <v>0</v>
      </c>
      <c r="Y559" s="12"/>
      <c r="Z559" s="12"/>
      <c r="AA559" s="13">
        <f t="shared" si="192"/>
        <v>2291900</v>
      </c>
      <c r="AB559" s="14"/>
    </row>
    <row r="560" spans="1:28" ht="15.75" x14ac:dyDescent="0.25">
      <c r="A560" s="65">
        <v>46071</v>
      </c>
      <c r="B560" s="10" t="s">
        <v>272</v>
      </c>
      <c r="C560" s="10"/>
      <c r="D560" s="10"/>
      <c r="E560" s="10" t="s">
        <v>139</v>
      </c>
      <c r="F560" s="10">
        <v>19.600000000000001</v>
      </c>
      <c r="G560" s="10" t="s">
        <v>36</v>
      </c>
      <c r="H560" s="10">
        <v>43000</v>
      </c>
      <c r="I560" s="10">
        <f t="shared" si="191"/>
        <v>842800.00000000012</v>
      </c>
      <c r="J560" s="115" t="s">
        <v>90</v>
      </c>
      <c r="K560" s="10"/>
      <c r="L560" s="12">
        <f t="shared" si="208"/>
        <v>0</v>
      </c>
      <c r="M560" s="12"/>
      <c r="N560" s="12"/>
      <c r="O560" s="12">
        <f t="shared" si="209"/>
        <v>0</v>
      </c>
      <c r="P560" s="12"/>
      <c r="Q560" s="12"/>
      <c r="R560" s="12">
        <f t="shared" si="210"/>
        <v>0</v>
      </c>
      <c r="S560" s="12"/>
      <c r="T560" s="12"/>
      <c r="U560" s="12">
        <f t="shared" si="211"/>
        <v>0</v>
      </c>
      <c r="V560" s="12"/>
      <c r="W560" s="12"/>
      <c r="X560" s="12">
        <f t="shared" si="212"/>
        <v>0</v>
      </c>
      <c r="Y560" s="12"/>
      <c r="Z560" s="12"/>
      <c r="AA560" s="13">
        <f t="shared" si="192"/>
        <v>842800.00000000012</v>
      </c>
      <c r="AB560" s="14"/>
    </row>
    <row r="561" spans="1:28" ht="15.75" x14ac:dyDescent="0.25">
      <c r="A561" s="65">
        <v>46071</v>
      </c>
      <c r="B561" s="10" t="s">
        <v>272</v>
      </c>
      <c r="C561" s="10"/>
      <c r="D561" s="10"/>
      <c r="E561" s="10" t="s">
        <v>377</v>
      </c>
      <c r="F561" s="10">
        <v>32.299999999999997</v>
      </c>
      <c r="G561" s="10" t="s">
        <v>36</v>
      </c>
      <c r="H561" s="10">
        <v>43000</v>
      </c>
      <c r="I561" s="10">
        <f t="shared" si="191"/>
        <v>1388899.9999999998</v>
      </c>
      <c r="J561" s="115" t="s">
        <v>90</v>
      </c>
      <c r="K561" s="10"/>
      <c r="L561" s="12">
        <f t="shared" si="208"/>
        <v>0</v>
      </c>
      <c r="M561" s="12"/>
      <c r="N561" s="12"/>
      <c r="O561" s="12">
        <f t="shared" si="209"/>
        <v>0</v>
      </c>
      <c r="P561" s="12"/>
      <c r="Q561" s="12"/>
      <c r="R561" s="12">
        <f t="shared" si="210"/>
        <v>0</v>
      </c>
      <c r="S561" s="12"/>
      <c r="T561" s="12"/>
      <c r="U561" s="12">
        <f t="shared" si="211"/>
        <v>0</v>
      </c>
      <c r="V561" s="12"/>
      <c r="W561" s="12"/>
      <c r="X561" s="12">
        <f t="shared" si="212"/>
        <v>0</v>
      </c>
      <c r="Y561" s="12"/>
      <c r="Z561" s="12"/>
      <c r="AA561" s="13">
        <f t="shared" si="192"/>
        <v>1388899.9999999998</v>
      </c>
      <c r="AB561" s="14"/>
    </row>
    <row r="562" spans="1:28" ht="15.75" x14ac:dyDescent="0.25">
      <c r="A562" s="65">
        <v>46071</v>
      </c>
      <c r="B562" s="10" t="s">
        <v>272</v>
      </c>
      <c r="C562" s="10"/>
      <c r="D562" s="10"/>
      <c r="E562" s="10" t="s">
        <v>92</v>
      </c>
      <c r="F562" s="10">
        <v>34.6</v>
      </c>
      <c r="G562" s="10" t="s">
        <v>36</v>
      </c>
      <c r="H562" s="10">
        <v>43000</v>
      </c>
      <c r="I562" s="10">
        <f t="shared" si="191"/>
        <v>1487800</v>
      </c>
      <c r="J562" s="115" t="s">
        <v>90</v>
      </c>
      <c r="K562" s="10"/>
      <c r="L562" s="12">
        <f t="shared" si="208"/>
        <v>0</v>
      </c>
      <c r="M562" s="12"/>
      <c r="N562" s="12"/>
      <c r="O562" s="12">
        <f t="shared" si="209"/>
        <v>0</v>
      </c>
      <c r="P562" s="12"/>
      <c r="Q562" s="12"/>
      <c r="R562" s="12">
        <f t="shared" si="210"/>
        <v>0</v>
      </c>
      <c r="S562" s="12"/>
      <c r="T562" s="12"/>
      <c r="U562" s="12">
        <f t="shared" si="211"/>
        <v>0</v>
      </c>
      <c r="V562" s="12"/>
      <c r="W562" s="12"/>
      <c r="X562" s="12">
        <f t="shared" si="212"/>
        <v>0</v>
      </c>
      <c r="Y562" s="12"/>
      <c r="Z562" s="12"/>
      <c r="AA562" s="13">
        <f t="shared" si="192"/>
        <v>1487800</v>
      </c>
      <c r="AB562" s="14"/>
    </row>
    <row r="563" spans="1:28" ht="15.75" x14ac:dyDescent="0.25">
      <c r="A563" s="65">
        <v>46071</v>
      </c>
      <c r="B563" s="10" t="s">
        <v>272</v>
      </c>
      <c r="C563" s="10"/>
      <c r="D563" s="10"/>
      <c r="E563" s="10" t="s">
        <v>86</v>
      </c>
      <c r="F563" s="10">
        <v>29.8</v>
      </c>
      <c r="G563" s="10" t="s">
        <v>36</v>
      </c>
      <c r="H563" s="10">
        <v>43000</v>
      </c>
      <c r="I563" s="10">
        <f t="shared" si="191"/>
        <v>1281400</v>
      </c>
      <c r="J563" s="115" t="s">
        <v>90</v>
      </c>
      <c r="K563" s="10"/>
      <c r="L563" s="12">
        <f t="shared" si="208"/>
        <v>0</v>
      </c>
      <c r="M563" s="12"/>
      <c r="N563" s="12"/>
      <c r="O563" s="12">
        <f t="shared" si="209"/>
        <v>0</v>
      </c>
      <c r="P563" s="12"/>
      <c r="Q563" s="12"/>
      <c r="R563" s="12">
        <f t="shared" si="210"/>
        <v>0</v>
      </c>
      <c r="S563" s="12"/>
      <c r="T563" s="12"/>
      <c r="U563" s="12">
        <f t="shared" si="211"/>
        <v>0</v>
      </c>
      <c r="V563" s="12"/>
      <c r="W563" s="12"/>
      <c r="X563" s="12">
        <f t="shared" si="212"/>
        <v>0</v>
      </c>
      <c r="Y563" s="12"/>
      <c r="Z563" s="12"/>
      <c r="AA563" s="13">
        <f t="shared" si="192"/>
        <v>1281400</v>
      </c>
      <c r="AB563" s="14"/>
    </row>
    <row r="564" spans="1:28" ht="15.75" x14ac:dyDescent="0.25">
      <c r="A564" s="65">
        <v>46071</v>
      </c>
      <c r="B564" s="10" t="s">
        <v>272</v>
      </c>
      <c r="C564" s="10"/>
      <c r="D564" s="10"/>
      <c r="E564" s="10" t="s">
        <v>80</v>
      </c>
      <c r="F564" s="10">
        <v>22.9</v>
      </c>
      <c r="G564" s="10" t="s">
        <v>36</v>
      </c>
      <c r="H564" s="10">
        <v>43000</v>
      </c>
      <c r="I564" s="10">
        <f t="shared" si="191"/>
        <v>984699.99999999988</v>
      </c>
      <c r="J564" s="115" t="s">
        <v>90</v>
      </c>
      <c r="K564" s="10"/>
      <c r="L564" s="12">
        <f t="shared" si="208"/>
        <v>0</v>
      </c>
      <c r="M564" s="12"/>
      <c r="N564" s="12"/>
      <c r="O564" s="12">
        <f t="shared" si="209"/>
        <v>0</v>
      </c>
      <c r="P564" s="12"/>
      <c r="Q564" s="12"/>
      <c r="R564" s="12">
        <f t="shared" si="210"/>
        <v>0</v>
      </c>
      <c r="S564" s="12"/>
      <c r="T564" s="12"/>
      <c r="U564" s="12">
        <f t="shared" si="211"/>
        <v>0</v>
      </c>
      <c r="V564" s="12"/>
      <c r="W564" s="12"/>
      <c r="X564" s="12">
        <f t="shared" si="212"/>
        <v>0</v>
      </c>
      <c r="Y564" s="12"/>
      <c r="Z564" s="12"/>
      <c r="AA564" s="13">
        <f t="shared" si="192"/>
        <v>984699.99999999988</v>
      </c>
      <c r="AB564" s="14"/>
    </row>
    <row r="565" spans="1:28" ht="15.75" hidden="1" x14ac:dyDescent="0.25">
      <c r="A565" s="65">
        <v>46071</v>
      </c>
      <c r="B565" s="10" t="s">
        <v>273</v>
      </c>
      <c r="C565" s="10"/>
      <c r="D565" s="10"/>
      <c r="E565" s="10" t="s">
        <v>424</v>
      </c>
      <c r="F565" s="10">
        <v>1</v>
      </c>
      <c r="G565" s="10" t="s">
        <v>22</v>
      </c>
      <c r="H565" s="10"/>
      <c r="I565" s="10">
        <f t="shared" si="191"/>
        <v>0</v>
      </c>
      <c r="J565" s="86" t="s">
        <v>76</v>
      </c>
      <c r="K565" s="10"/>
      <c r="L565" s="12">
        <f t="shared" ref="L565" si="213">M565+N565</f>
        <v>0</v>
      </c>
      <c r="M565" s="12"/>
      <c r="N565" s="12"/>
      <c r="O565" s="12">
        <f t="shared" ref="O565" si="214">P565+Q565</f>
        <v>0</v>
      </c>
      <c r="P565" s="12"/>
      <c r="Q565" s="12"/>
      <c r="R565" s="12">
        <f t="shared" ref="R565" si="215">S565+T565</f>
        <v>0</v>
      </c>
      <c r="S565" s="12"/>
      <c r="T565" s="12"/>
      <c r="U565" s="12">
        <f t="shared" ref="U565" si="216">V565+W565</f>
        <v>0</v>
      </c>
      <c r="V565" s="12"/>
      <c r="W565" s="12"/>
      <c r="X565" s="12">
        <f t="shared" ref="X565" si="217">Y565+Z565</f>
        <v>0</v>
      </c>
      <c r="Y565" s="12"/>
      <c r="Z565" s="12"/>
      <c r="AA565" s="13">
        <f t="shared" si="192"/>
        <v>0</v>
      </c>
      <c r="AB565" s="14"/>
    </row>
    <row r="566" spans="1:28" ht="15.75" hidden="1" x14ac:dyDescent="0.25">
      <c r="A566" s="65">
        <v>46071</v>
      </c>
      <c r="B566" s="10" t="s">
        <v>246</v>
      </c>
      <c r="C566" s="10"/>
      <c r="D566" s="10" t="s">
        <v>195</v>
      </c>
      <c r="E566" s="10" t="s">
        <v>160</v>
      </c>
      <c r="F566" s="10">
        <v>4</v>
      </c>
      <c r="G566" s="10" t="s">
        <v>22</v>
      </c>
      <c r="H566" s="10">
        <v>400000</v>
      </c>
      <c r="I566" s="10">
        <f t="shared" si="191"/>
        <v>1600000</v>
      </c>
      <c r="J566" s="29" t="s">
        <v>110</v>
      </c>
      <c r="K566" s="10"/>
      <c r="L566" s="12">
        <f t="shared" ref="L566:L570" si="218">M566+N566</f>
        <v>0</v>
      </c>
      <c r="M566" s="12"/>
      <c r="N566" s="12"/>
      <c r="O566" s="12">
        <f t="shared" ref="O566:O570" si="219">P566+Q566</f>
        <v>1600000</v>
      </c>
      <c r="P566" s="12">
        <v>1600000</v>
      </c>
      <c r="Q566" s="12"/>
      <c r="R566" s="12">
        <f t="shared" ref="R566:R570" si="220">S566+T566</f>
        <v>0</v>
      </c>
      <c r="S566" s="12"/>
      <c r="T566" s="12"/>
      <c r="U566" s="12">
        <f t="shared" ref="U566:U570" si="221">V566+W566</f>
        <v>0</v>
      </c>
      <c r="V566" s="12"/>
      <c r="W566" s="12"/>
      <c r="X566" s="12">
        <f t="shared" ref="X566:X570" si="222">Y566+Z566</f>
        <v>0</v>
      </c>
      <c r="Y566" s="12"/>
      <c r="Z566" s="12"/>
      <c r="AA566" s="13">
        <f t="shared" si="192"/>
        <v>0</v>
      </c>
      <c r="AB566" s="14">
        <v>46071</v>
      </c>
    </row>
    <row r="567" spans="1:28" ht="15.75" hidden="1" x14ac:dyDescent="0.25">
      <c r="A567" s="28">
        <v>46071</v>
      </c>
      <c r="B567" s="10" t="s">
        <v>246</v>
      </c>
      <c r="C567" s="10"/>
      <c r="D567" s="10" t="s">
        <v>195</v>
      </c>
      <c r="E567" s="10" t="s">
        <v>298</v>
      </c>
      <c r="F567" s="10">
        <v>4</v>
      </c>
      <c r="G567" s="10" t="s">
        <v>61</v>
      </c>
      <c r="H567" s="10">
        <v>230000</v>
      </c>
      <c r="I567" s="10">
        <f t="shared" si="191"/>
        <v>920000</v>
      </c>
      <c r="J567" s="29" t="s">
        <v>110</v>
      </c>
      <c r="K567" s="10"/>
      <c r="L567" s="12">
        <f t="shared" si="218"/>
        <v>0</v>
      </c>
      <c r="M567" s="12"/>
      <c r="N567" s="12"/>
      <c r="O567" s="12">
        <f t="shared" si="219"/>
        <v>920000</v>
      </c>
      <c r="P567" s="12">
        <v>920000</v>
      </c>
      <c r="Q567" s="12"/>
      <c r="R567" s="12">
        <f t="shared" si="220"/>
        <v>0</v>
      </c>
      <c r="S567" s="12"/>
      <c r="T567" s="12"/>
      <c r="U567" s="12">
        <f t="shared" si="221"/>
        <v>0</v>
      </c>
      <c r="V567" s="12"/>
      <c r="W567" s="12"/>
      <c r="X567" s="12">
        <f t="shared" si="222"/>
        <v>0</v>
      </c>
      <c r="Y567" s="12"/>
      <c r="Z567" s="12"/>
      <c r="AA567" s="13">
        <f t="shared" si="192"/>
        <v>0</v>
      </c>
      <c r="AB567" s="14">
        <v>46071</v>
      </c>
    </row>
    <row r="568" spans="1:28" ht="15.75" hidden="1" x14ac:dyDescent="0.25">
      <c r="A568" s="65">
        <v>46071</v>
      </c>
      <c r="B568" s="10" t="s">
        <v>246</v>
      </c>
      <c r="C568" s="10"/>
      <c r="D568" s="10" t="s">
        <v>383</v>
      </c>
      <c r="E568" s="10" t="s">
        <v>325</v>
      </c>
      <c r="F568" s="10">
        <v>10</v>
      </c>
      <c r="G568" s="10" t="s">
        <v>61</v>
      </c>
      <c r="H568" s="10">
        <v>150000</v>
      </c>
      <c r="I568" s="10">
        <f t="shared" si="191"/>
        <v>1500000</v>
      </c>
      <c r="J568" s="29" t="s">
        <v>110</v>
      </c>
      <c r="K568" s="10"/>
      <c r="L568" s="12">
        <f t="shared" si="218"/>
        <v>0</v>
      </c>
      <c r="M568" s="12"/>
      <c r="N568" s="12"/>
      <c r="O568" s="12">
        <f t="shared" si="219"/>
        <v>1500000</v>
      </c>
      <c r="P568" s="12">
        <v>1500000</v>
      </c>
      <c r="Q568" s="12"/>
      <c r="R568" s="12">
        <f t="shared" si="220"/>
        <v>0</v>
      </c>
      <c r="S568" s="12"/>
      <c r="T568" s="12"/>
      <c r="U568" s="12">
        <f t="shared" si="221"/>
        <v>0</v>
      </c>
      <c r="V568" s="12"/>
      <c r="W568" s="12"/>
      <c r="X568" s="12">
        <f t="shared" si="222"/>
        <v>0</v>
      </c>
      <c r="Y568" s="12"/>
      <c r="Z568" s="12"/>
      <c r="AA568" s="13">
        <f t="shared" si="192"/>
        <v>0</v>
      </c>
      <c r="AB568" s="14">
        <v>46077</v>
      </c>
    </row>
    <row r="569" spans="1:28" ht="16.5" hidden="1" thickBot="1" x14ac:dyDescent="0.3">
      <c r="A569" s="53">
        <v>46071</v>
      </c>
      <c r="B569" s="31" t="s">
        <v>246</v>
      </c>
      <c r="C569" s="31"/>
      <c r="D569" s="31" t="s">
        <v>383</v>
      </c>
      <c r="E569" s="31" t="s">
        <v>65</v>
      </c>
      <c r="F569" s="31">
        <v>1500</v>
      </c>
      <c r="G569" s="31" t="s">
        <v>26</v>
      </c>
      <c r="H569" s="31">
        <v>3950</v>
      </c>
      <c r="I569" s="31">
        <f t="shared" si="191"/>
        <v>5925000</v>
      </c>
      <c r="J569" s="51" t="s">
        <v>110</v>
      </c>
      <c r="K569" s="31"/>
      <c r="L569" s="34">
        <f t="shared" si="218"/>
        <v>0</v>
      </c>
      <c r="M569" s="34"/>
      <c r="N569" s="34"/>
      <c r="O569" s="34">
        <f t="shared" si="219"/>
        <v>5925000</v>
      </c>
      <c r="P569" s="34">
        <v>2800000</v>
      </c>
      <c r="Q569" s="34">
        <v>3125000</v>
      </c>
      <c r="R569" s="34">
        <f t="shared" si="220"/>
        <v>0</v>
      </c>
      <c r="S569" s="34"/>
      <c r="T569" s="34"/>
      <c r="U569" s="34">
        <f t="shared" si="221"/>
        <v>0</v>
      </c>
      <c r="V569" s="34"/>
      <c r="W569" s="34"/>
      <c r="X569" s="34">
        <f t="shared" si="222"/>
        <v>0</v>
      </c>
      <c r="Y569" s="34"/>
      <c r="Z569" s="34"/>
      <c r="AA569" s="35">
        <f t="shared" si="192"/>
        <v>0</v>
      </c>
      <c r="AB569" s="36">
        <v>46077</v>
      </c>
    </row>
    <row r="570" spans="1:28" ht="15.75" hidden="1" x14ac:dyDescent="0.25">
      <c r="A570" s="65">
        <v>46072</v>
      </c>
      <c r="B570" s="66" t="s">
        <v>498</v>
      </c>
      <c r="C570" s="66"/>
      <c r="D570" s="66" t="s">
        <v>195</v>
      </c>
      <c r="E570" s="66" t="s">
        <v>116</v>
      </c>
      <c r="F570" s="66">
        <v>12</v>
      </c>
      <c r="G570" s="66" t="s">
        <v>67</v>
      </c>
      <c r="H570" s="66">
        <v>65000</v>
      </c>
      <c r="I570" s="10">
        <f t="shared" si="191"/>
        <v>780000</v>
      </c>
      <c r="J570" s="84" t="s">
        <v>110</v>
      </c>
      <c r="K570" s="10" t="s">
        <v>505</v>
      </c>
      <c r="L570" s="12">
        <f t="shared" si="218"/>
        <v>0</v>
      </c>
      <c r="M570" s="12"/>
      <c r="N570" s="12"/>
      <c r="O570" s="12">
        <f t="shared" si="219"/>
        <v>780000</v>
      </c>
      <c r="P570" s="12">
        <v>780000</v>
      </c>
      <c r="Q570" s="12"/>
      <c r="R570" s="12">
        <f t="shared" si="220"/>
        <v>0</v>
      </c>
      <c r="S570" s="12"/>
      <c r="T570" s="12"/>
      <c r="U570" s="12">
        <f t="shared" si="221"/>
        <v>0</v>
      </c>
      <c r="V570" s="12"/>
      <c r="W570" s="12"/>
      <c r="X570" s="12">
        <f t="shared" si="222"/>
        <v>0</v>
      </c>
      <c r="Y570" s="12"/>
      <c r="Z570" s="12"/>
      <c r="AA570" s="13">
        <f t="shared" si="192"/>
        <v>0</v>
      </c>
      <c r="AB570" s="14">
        <v>46071</v>
      </c>
    </row>
    <row r="571" spans="1:28" ht="15.75" hidden="1" x14ac:dyDescent="0.25">
      <c r="A571" s="65">
        <v>46072</v>
      </c>
      <c r="B571" s="66" t="s">
        <v>498</v>
      </c>
      <c r="C571" s="10"/>
      <c r="D571" s="66" t="s">
        <v>195</v>
      </c>
      <c r="E571" s="10" t="s">
        <v>290</v>
      </c>
      <c r="F571" s="10">
        <v>10</v>
      </c>
      <c r="G571" s="10" t="s">
        <v>39</v>
      </c>
      <c r="H571" s="10">
        <v>25000</v>
      </c>
      <c r="I571" s="10">
        <f t="shared" si="191"/>
        <v>250000</v>
      </c>
      <c r="J571" s="84" t="s">
        <v>110</v>
      </c>
      <c r="K571" s="10" t="s">
        <v>505</v>
      </c>
      <c r="L571" s="12">
        <f t="shared" ref="L571:L587" si="223">M571+N571</f>
        <v>0</v>
      </c>
      <c r="M571" s="12"/>
      <c r="N571" s="12"/>
      <c r="O571" s="12">
        <f t="shared" ref="O571:O587" si="224">P571+Q571</f>
        <v>250000</v>
      </c>
      <c r="P571" s="12">
        <v>250000</v>
      </c>
      <c r="Q571" s="12"/>
      <c r="R571" s="12">
        <f t="shared" ref="R571:R587" si="225">S571+T571</f>
        <v>0</v>
      </c>
      <c r="S571" s="12"/>
      <c r="T571" s="12"/>
      <c r="U571" s="12">
        <f t="shared" ref="U571:U587" si="226">V571+W571</f>
        <v>0</v>
      </c>
      <c r="V571" s="12"/>
      <c r="W571" s="12"/>
      <c r="X571" s="12">
        <f t="shared" ref="X571:X587" si="227">Y571+Z571</f>
        <v>0</v>
      </c>
      <c r="Y571" s="12"/>
      <c r="Z571" s="12"/>
      <c r="AA571" s="13">
        <f t="shared" si="192"/>
        <v>0</v>
      </c>
      <c r="AB571" s="14">
        <v>46071</v>
      </c>
    </row>
    <row r="572" spans="1:28" ht="15.75" hidden="1" x14ac:dyDescent="0.25">
      <c r="A572" s="65">
        <v>46072</v>
      </c>
      <c r="B572" s="10" t="s">
        <v>499</v>
      </c>
      <c r="C572" s="10"/>
      <c r="D572" s="10" t="s">
        <v>195</v>
      </c>
      <c r="E572" s="10" t="s">
        <v>214</v>
      </c>
      <c r="F572" s="10">
        <v>300</v>
      </c>
      <c r="G572" s="10" t="s">
        <v>39</v>
      </c>
      <c r="H572" s="10">
        <v>1700</v>
      </c>
      <c r="I572" s="10">
        <f t="shared" si="191"/>
        <v>510000</v>
      </c>
      <c r="J572" s="29" t="s">
        <v>110</v>
      </c>
      <c r="K572" s="10" t="s">
        <v>503</v>
      </c>
      <c r="L572" s="12">
        <f t="shared" si="223"/>
        <v>0</v>
      </c>
      <c r="M572" s="12"/>
      <c r="N572" s="12"/>
      <c r="O572" s="12">
        <f t="shared" si="224"/>
        <v>510000</v>
      </c>
      <c r="P572" s="12">
        <v>510000</v>
      </c>
      <c r="Q572" s="12"/>
      <c r="R572" s="12">
        <f t="shared" si="225"/>
        <v>0</v>
      </c>
      <c r="S572" s="12"/>
      <c r="T572" s="12"/>
      <c r="U572" s="12">
        <f t="shared" si="226"/>
        <v>0</v>
      </c>
      <c r="V572" s="12"/>
      <c r="W572" s="12"/>
      <c r="X572" s="12">
        <f t="shared" si="227"/>
        <v>0</v>
      </c>
      <c r="Y572" s="12"/>
      <c r="Z572" s="12"/>
      <c r="AA572" s="13">
        <f t="shared" si="192"/>
        <v>0</v>
      </c>
      <c r="AB572" s="14">
        <v>46072</v>
      </c>
    </row>
    <row r="573" spans="1:28" ht="15.75" hidden="1" x14ac:dyDescent="0.25">
      <c r="A573" s="65">
        <v>46072</v>
      </c>
      <c r="B573" s="10" t="s">
        <v>500</v>
      </c>
      <c r="C573" s="10"/>
      <c r="D573" s="10" t="s">
        <v>195</v>
      </c>
      <c r="E573" s="10" t="s">
        <v>118</v>
      </c>
      <c r="F573" s="10">
        <v>1</v>
      </c>
      <c r="G573" s="10" t="s">
        <v>22</v>
      </c>
      <c r="H573" s="10">
        <v>400000</v>
      </c>
      <c r="I573" s="10">
        <f t="shared" si="191"/>
        <v>400000</v>
      </c>
      <c r="J573" s="29" t="s">
        <v>113</v>
      </c>
      <c r="K573" s="10"/>
      <c r="L573" s="12">
        <f t="shared" si="223"/>
        <v>400000</v>
      </c>
      <c r="M573" s="12">
        <v>400000</v>
      </c>
      <c r="N573" s="12"/>
      <c r="O573" s="12">
        <f t="shared" si="224"/>
        <v>0</v>
      </c>
      <c r="P573" s="12"/>
      <c r="Q573" s="12"/>
      <c r="R573" s="12">
        <f t="shared" si="225"/>
        <v>0</v>
      </c>
      <c r="S573" s="12"/>
      <c r="T573" s="12"/>
      <c r="U573" s="12">
        <f t="shared" si="226"/>
        <v>0</v>
      </c>
      <c r="V573" s="12"/>
      <c r="W573" s="12"/>
      <c r="X573" s="12">
        <f t="shared" si="227"/>
        <v>0</v>
      </c>
      <c r="Y573" s="12"/>
      <c r="Z573" s="12"/>
      <c r="AA573" s="13">
        <f t="shared" si="192"/>
        <v>0</v>
      </c>
      <c r="AB573" s="14">
        <v>46072</v>
      </c>
    </row>
    <row r="574" spans="1:28" ht="15.75" hidden="1" x14ac:dyDescent="0.25">
      <c r="A574" s="65">
        <v>46072</v>
      </c>
      <c r="B574" s="10" t="s">
        <v>401</v>
      </c>
      <c r="C574" s="10"/>
      <c r="D574" s="10" t="s">
        <v>383</v>
      </c>
      <c r="E574" s="10" t="s">
        <v>501</v>
      </c>
      <c r="F574" s="10">
        <v>1.5</v>
      </c>
      <c r="G574" s="10" t="s">
        <v>36</v>
      </c>
      <c r="H574" s="10">
        <v>140000</v>
      </c>
      <c r="I574" s="10">
        <f t="shared" si="191"/>
        <v>210000</v>
      </c>
      <c r="J574" s="29" t="s">
        <v>113</v>
      </c>
      <c r="K574" s="10"/>
      <c r="L574" s="12">
        <f t="shared" si="223"/>
        <v>210000</v>
      </c>
      <c r="M574" s="12">
        <v>210000</v>
      </c>
      <c r="N574" s="12"/>
      <c r="O574" s="12">
        <f t="shared" si="224"/>
        <v>0</v>
      </c>
      <c r="P574" s="12"/>
      <c r="Q574" s="12"/>
      <c r="R574" s="12">
        <f t="shared" si="225"/>
        <v>0</v>
      </c>
      <c r="S574" s="12"/>
      <c r="T574" s="12"/>
      <c r="U574" s="12">
        <f t="shared" si="226"/>
        <v>0</v>
      </c>
      <c r="V574" s="12"/>
      <c r="W574" s="12"/>
      <c r="X574" s="12">
        <f t="shared" si="227"/>
        <v>0</v>
      </c>
      <c r="Y574" s="12"/>
      <c r="Z574" s="12"/>
      <c r="AA574" s="13">
        <f t="shared" si="192"/>
        <v>0</v>
      </c>
      <c r="AB574" s="14">
        <v>46072</v>
      </c>
    </row>
    <row r="575" spans="1:28" ht="15.75" hidden="1" x14ac:dyDescent="0.25">
      <c r="A575" s="65">
        <v>46072</v>
      </c>
      <c r="B575" s="10" t="s">
        <v>234</v>
      </c>
      <c r="C575" s="10"/>
      <c r="D575" s="10" t="s">
        <v>383</v>
      </c>
      <c r="E575" s="10" t="s">
        <v>175</v>
      </c>
      <c r="F575" s="10">
        <v>41600</v>
      </c>
      <c r="G575" s="10" t="s">
        <v>26</v>
      </c>
      <c r="H575" s="10">
        <v>950</v>
      </c>
      <c r="I575" s="10">
        <f t="shared" si="191"/>
        <v>39520000</v>
      </c>
      <c r="J575" s="52" t="s">
        <v>90</v>
      </c>
      <c r="K575" s="10" t="s">
        <v>504</v>
      </c>
      <c r="L575" s="12">
        <f t="shared" si="223"/>
        <v>0</v>
      </c>
      <c r="M575" s="12"/>
      <c r="N575" s="12"/>
      <c r="O575" s="12">
        <f t="shared" si="224"/>
        <v>0</v>
      </c>
      <c r="P575" s="12"/>
      <c r="Q575" s="12"/>
      <c r="R575" s="12">
        <f t="shared" si="225"/>
        <v>0</v>
      </c>
      <c r="S575" s="12"/>
      <c r="T575" s="12"/>
      <c r="U575" s="12">
        <f t="shared" si="226"/>
        <v>0</v>
      </c>
      <c r="V575" s="12"/>
      <c r="W575" s="12"/>
      <c r="X575" s="12">
        <f t="shared" si="227"/>
        <v>0</v>
      </c>
      <c r="Y575" s="12"/>
      <c r="Z575" s="12"/>
      <c r="AA575" s="13">
        <f t="shared" si="192"/>
        <v>39520000</v>
      </c>
      <c r="AB575" s="14"/>
    </row>
    <row r="576" spans="1:28" ht="15.75" hidden="1" x14ac:dyDescent="0.25">
      <c r="A576" s="65">
        <v>46072</v>
      </c>
      <c r="B576" s="10" t="s">
        <v>89</v>
      </c>
      <c r="C576" s="10"/>
      <c r="D576" s="10" t="s">
        <v>383</v>
      </c>
      <c r="E576" s="10" t="s">
        <v>104</v>
      </c>
      <c r="F576" s="10">
        <v>600</v>
      </c>
      <c r="G576" s="10" t="s">
        <v>26</v>
      </c>
      <c r="H576" s="10">
        <v>1900</v>
      </c>
      <c r="I576" s="10">
        <f t="shared" si="191"/>
        <v>1140000</v>
      </c>
      <c r="J576" s="29" t="s">
        <v>110</v>
      </c>
      <c r="K576" s="10"/>
      <c r="L576" s="12">
        <f t="shared" si="223"/>
        <v>0</v>
      </c>
      <c r="M576" s="12"/>
      <c r="N576" s="12"/>
      <c r="O576" s="12">
        <f t="shared" si="224"/>
        <v>1140000</v>
      </c>
      <c r="P576" s="12">
        <v>1140000</v>
      </c>
      <c r="Q576" s="12"/>
      <c r="R576" s="12">
        <f t="shared" si="225"/>
        <v>0</v>
      </c>
      <c r="S576" s="12"/>
      <c r="T576" s="12"/>
      <c r="U576" s="12">
        <f t="shared" si="226"/>
        <v>0</v>
      </c>
      <c r="V576" s="12"/>
      <c r="W576" s="12"/>
      <c r="X576" s="12">
        <f t="shared" si="227"/>
        <v>0</v>
      </c>
      <c r="Y576" s="12"/>
      <c r="Z576" s="12"/>
      <c r="AA576" s="13">
        <f t="shared" si="192"/>
        <v>0</v>
      </c>
      <c r="AB576" s="14">
        <v>46035</v>
      </c>
    </row>
    <row r="577" spans="1:28" ht="15.75" hidden="1" x14ac:dyDescent="0.25">
      <c r="A577" s="65">
        <v>46072</v>
      </c>
      <c r="B577" s="10" t="s">
        <v>89</v>
      </c>
      <c r="C577" s="10"/>
      <c r="D577" s="10" t="s">
        <v>383</v>
      </c>
      <c r="E577" s="10" t="s">
        <v>265</v>
      </c>
      <c r="F577" s="10">
        <v>23.4</v>
      </c>
      <c r="G577" s="10" t="s">
        <v>36</v>
      </c>
      <c r="H577" s="10">
        <v>43000</v>
      </c>
      <c r="I577" s="10">
        <f t="shared" si="191"/>
        <v>1006199.9999999999</v>
      </c>
      <c r="J577" s="29" t="s">
        <v>40</v>
      </c>
      <c r="K577" s="10"/>
      <c r="L577" s="12">
        <f t="shared" si="223"/>
        <v>0</v>
      </c>
      <c r="M577" s="12"/>
      <c r="N577" s="12"/>
      <c r="O577" s="12">
        <f t="shared" si="224"/>
        <v>1459000</v>
      </c>
      <c r="P577" s="12">
        <v>1459000</v>
      </c>
      <c r="Q577" s="12"/>
      <c r="R577" s="12">
        <f t="shared" si="225"/>
        <v>0</v>
      </c>
      <c r="S577" s="12"/>
      <c r="T577" s="12"/>
      <c r="U577" s="12">
        <f t="shared" si="226"/>
        <v>0</v>
      </c>
      <c r="V577" s="12"/>
      <c r="W577" s="12"/>
      <c r="X577" s="12">
        <f t="shared" si="227"/>
        <v>0</v>
      </c>
      <c r="Y577" s="12"/>
      <c r="Z577" s="12"/>
      <c r="AA577" s="13">
        <f t="shared" si="192"/>
        <v>-452800.00000000012</v>
      </c>
      <c r="AB577" s="14">
        <v>46035</v>
      </c>
    </row>
    <row r="578" spans="1:28" ht="15.75" hidden="1" x14ac:dyDescent="0.25">
      <c r="A578" s="65">
        <v>46072</v>
      </c>
      <c r="B578" s="10" t="s">
        <v>323</v>
      </c>
      <c r="C578" s="10"/>
      <c r="D578" s="10" t="s">
        <v>195</v>
      </c>
      <c r="E578" s="10" t="s">
        <v>107</v>
      </c>
      <c r="F578" s="10">
        <v>20</v>
      </c>
      <c r="G578" s="10" t="s">
        <v>36</v>
      </c>
      <c r="H578" s="10">
        <v>60000</v>
      </c>
      <c r="I578" s="10">
        <f t="shared" si="191"/>
        <v>1200000</v>
      </c>
      <c r="J578" s="29" t="s">
        <v>113</v>
      </c>
      <c r="K578" s="10"/>
      <c r="L578" s="12">
        <f t="shared" si="223"/>
        <v>0</v>
      </c>
      <c r="M578" s="12"/>
      <c r="N578" s="12"/>
      <c r="O578" s="12">
        <f t="shared" si="224"/>
        <v>0</v>
      </c>
      <c r="P578" s="12"/>
      <c r="Q578" s="12"/>
      <c r="R578" s="12">
        <f t="shared" si="225"/>
        <v>0</v>
      </c>
      <c r="S578" s="12"/>
      <c r="T578" s="12"/>
      <c r="U578" s="12">
        <f t="shared" si="226"/>
        <v>1200000</v>
      </c>
      <c r="V578" s="12">
        <v>1200000</v>
      </c>
      <c r="W578" s="12"/>
      <c r="X578" s="12">
        <f t="shared" si="227"/>
        <v>0</v>
      </c>
      <c r="Y578" s="12"/>
      <c r="Z578" s="12"/>
      <c r="AA578" s="13">
        <f t="shared" si="192"/>
        <v>0</v>
      </c>
      <c r="AB578" s="14">
        <v>46072</v>
      </c>
    </row>
    <row r="579" spans="1:28" ht="15.75" hidden="1" x14ac:dyDescent="0.25">
      <c r="A579" s="65">
        <v>46072</v>
      </c>
      <c r="B579" s="10" t="s">
        <v>194</v>
      </c>
      <c r="C579" s="10"/>
      <c r="D579" s="10" t="s">
        <v>195</v>
      </c>
      <c r="E579" s="10" t="s">
        <v>116</v>
      </c>
      <c r="F579" s="10">
        <v>20</v>
      </c>
      <c r="G579" s="10" t="s">
        <v>67</v>
      </c>
      <c r="H579" s="10">
        <v>65000</v>
      </c>
      <c r="I579" s="10">
        <f t="shared" ref="I579:I642" si="228">F579*H579</f>
        <v>1300000</v>
      </c>
      <c r="J579" s="29" t="s">
        <v>113</v>
      </c>
      <c r="K579" s="10"/>
      <c r="L579" s="12">
        <f t="shared" si="223"/>
        <v>0</v>
      </c>
      <c r="M579" s="12"/>
      <c r="N579" s="12"/>
      <c r="O579" s="12">
        <f t="shared" si="224"/>
        <v>0</v>
      </c>
      <c r="P579" s="12"/>
      <c r="Q579" s="12"/>
      <c r="R579" s="12">
        <f t="shared" si="225"/>
        <v>0</v>
      </c>
      <c r="S579" s="12"/>
      <c r="T579" s="12"/>
      <c r="U579" s="12">
        <f t="shared" si="226"/>
        <v>1300000</v>
      </c>
      <c r="V579" s="12">
        <v>1300000</v>
      </c>
      <c r="W579" s="12"/>
      <c r="X579" s="12">
        <f t="shared" si="227"/>
        <v>0</v>
      </c>
      <c r="Y579" s="12"/>
      <c r="Z579" s="12"/>
      <c r="AA579" s="13">
        <f t="shared" si="192"/>
        <v>0</v>
      </c>
      <c r="AB579" s="14">
        <v>46009</v>
      </c>
    </row>
    <row r="580" spans="1:28" ht="15.75" hidden="1" x14ac:dyDescent="0.25">
      <c r="A580" s="65">
        <v>46072</v>
      </c>
      <c r="B580" s="10" t="s">
        <v>194</v>
      </c>
      <c r="C580" s="10"/>
      <c r="D580" s="10" t="s">
        <v>195</v>
      </c>
      <c r="E580" s="10" t="s">
        <v>290</v>
      </c>
      <c r="F580" s="10">
        <v>10</v>
      </c>
      <c r="G580" s="10" t="s">
        <v>39</v>
      </c>
      <c r="H580" s="10">
        <v>25000</v>
      </c>
      <c r="I580" s="10">
        <f t="shared" si="228"/>
        <v>250000</v>
      </c>
      <c r="J580" s="29" t="s">
        <v>113</v>
      </c>
      <c r="K580" s="10"/>
      <c r="L580" s="12">
        <f t="shared" si="223"/>
        <v>0</v>
      </c>
      <c r="M580" s="12"/>
      <c r="N580" s="12"/>
      <c r="O580" s="12">
        <f t="shared" si="224"/>
        <v>0</v>
      </c>
      <c r="P580" s="12"/>
      <c r="Q580" s="12"/>
      <c r="R580" s="12">
        <f t="shared" si="225"/>
        <v>0</v>
      </c>
      <c r="S580" s="12"/>
      <c r="T580" s="12"/>
      <c r="U580" s="12">
        <f t="shared" si="226"/>
        <v>250000</v>
      </c>
      <c r="V580" s="12">
        <f>220000</f>
        <v>220000</v>
      </c>
      <c r="W580" s="12">
        <v>30000</v>
      </c>
      <c r="X580" s="12">
        <f t="shared" si="227"/>
        <v>0</v>
      </c>
      <c r="Y580" s="12"/>
      <c r="Z580" s="12"/>
      <c r="AA580" s="13">
        <f t="shared" ref="AA580:AA643" si="229">C580+I580-L580-O580-U580-X580-R580</f>
        <v>0</v>
      </c>
      <c r="AB580" s="14">
        <v>46009</v>
      </c>
    </row>
    <row r="581" spans="1:28" ht="15.75" hidden="1" x14ac:dyDescent="0.25">
      <c r="A581" s="65">
        <v>46072</v>
      </c>
      <c r="B581" s="10" t="s">
        <v>194</v>
      </c>
      <c r="C581" s="10"/>
      <c r="D581" s="10" t="s">
        <v>195</v>
      </c>
      <c r="E581" s="10" t="s">
        <v>502</v>
      </c>
      <c r="F581" s="10">
        <v>1</v>
      </c>
      <c r="G581" s="10" t="s">
        <v>61</v>
      </c>
      <c r="H581" s="10">
        <v>300000</v>
      </c>
      <c r="I581" s="10">
        <f t="shared" si="228"/>
        <v>300000</v>
      </c>
      <c r="J581" s="29" t="s">
        <v>113</v>
      </c>
      <c r="K581" s="10"/>
      <c r="L581" s="12">
        <f t="shared" si="223"/>
        <v>0</v>
      </c>
      <c r="M581" s="12"/>
      <c r="N581" s="12"/>
      <c r="O581" s="12">
        <f t="shared" si="224"/>
        <v>0</v>
      </c>
      <c r="P581" s="12"/>
      <c r="Q581" s="12"/>
      <c r="R581" s="12">
        <f t="shared" si="225"/>
        <v>0</v>
      </c>
      <c r="S581" s="12"/>
      <c r="T581" s="12"/>
      <c r="U581" s="12">
        <f t="shared" si="226"/>
        <v>300000</v>
      </c>
      <c r="V581" s="12"/>
      <c r="W581" s="12">
        <v>300000</v>
      </c>
      <c r="X581" s="12">
        <f t="shared" si="227"/>
        <v>0</v>
      </c>
      <c r="Y581" s="12"/>
      <c r="Z581" s="12"/>
      <c r="AA581" s="13">
        <f t="shared" si="229"/>
        <v>0</v>
      </c>
      <c r="AB581" s="14">
        <v>46072</v>
      </c>
    </row>
    <row r="582" spans="1:28" ht="15.75" hidden="1" x14ac:dyDescent="0.25">
      <c r="A582" s="65">
        <v>46072</v>
      </c>
      <c r="B582" s="10" t="s">
        <v>194</v>
      </c>
      <c r="C582" s="10"/>
      <c r="D582" s="10" t="s">
        <v>195</v>
      </c>
      <c r="E582" s="10" t="s">
        <v>138</v>
      </c>
      <c r="F582" s="10">
        <v>1</v>
      </c>
      <c r="G582" s="10" t="s">
        <v>61</v>
      </c>
      <c r="H582" s="10">
        <v>300000</v>
      </c>
      <c r="I582" s="10">
        <f t="shared" si="228"/>
        <v>300000</v>
      </c>
      <c r="J582" s="29" t="s">
        <v>113</v>
      </c>
      <c r="K582" s="10"/>
      <c r="L582" s="12">
        <f t="shared" si="223"/>
        <v>0</v>
      </c>
      <c r="M582" s="12"/>
      <c r="N582" s="12"/>
      <c r="O582" s="12">
        <f t="shared" si="224"/>
        <v>0</v>
      </c>
      <c r="P582" s="12"/>
      <c r="Q582" s="12"/>
      <c r="R582" s="12">
        <f t="shared" si="225"/>
        <v>0</v>
      </c>
      <c r="S582" s="12"/>
      <c r="T582" s="12"/>
      <c r="U582" s="12">
        <f t="shared" si="226"/>
        <v>300000</v>
      </c>
      <c r="V582" s="12"/>
      <c r="W582" s="12">
        <v>300000</v>
      </c>
      <c r="X582" s="12">
        <f t="shared" si="227"/>
        <v>0</v>
      </c>
      <c r="Y582" s="12"/>
      <c r="Z582" s="12"/>
      <c r="AA582" s="13">
        <f t="shared" si="229"/>
        <v>0</v>
      </c>
      <c r="AB582" s="14">
        <v>46072</v>
      </c>
    </row>
    <row r="583" spans="1:28" ht="15.75" x14ac:dyDescent="0.25">
      <c r="A583" s="65">
        <v>46072</v>
      </c>
      <c r="B583" s="10" t="s">
        <v>272</v>
      </c>
      <c r="C583" s="10"/>
      <c r="D583" s="10"/>
      <c r="E583" s="10" t="s">
        <v>306</v>
      </c>
      <c r="F583" s="10">
        <v>56.2</v>
      </c>
      <c r="G583" s="10" t="s">
        <v>36</v>
      </c>
      <c r="H583" s="10">
        <v>43000</v>
      </c>
      <c r="I583" s="10">
        <f t="shared" si="228"/>
        <v>2416600</v>
      </c>
      <c r="J583" s="115" t="s">
        <v>90</v>
      </c>
      <c r="K583" s="10"/>
      <c r="L583" s="12">
        <f t="shared" si="223"/>
        <v>0</v>
      </c>
      <c r="M583" s="12"/>
      <c r="N583" s="12"/>
      <c r="O583" s="12">
        <f t="shared" si="224"/>
        <v>0</v>
      </c>
      <c r="P583" s="12"/>
      <c r="Q583" s="12"/>
      <c r="R583" s="12">
        <f t="shared" si="225"/>
        <v>0</v>
      </c>
      <c r="S583" s="12"/>
      <c r="T583" s="12"/>
      <c r="U583" s="12">
        <f t="shared" si="226"/>
        <v>0</v>
      </c>
      <c r="V583" s="12"/>
      <c r="W583" s="12"/>
      <c r="X583" s="12">
        <f t="shared" si="227"/>
        <v>0</v>
      </c>
      <c r="Y583" s="12"/>
      <c r="Z583" s="12"/>
      <c r="AA583" s="13">
        <f t="shared" si="229"/>
        <v>2416600</v>
      </c>
      <c r="AB583" s="14"/>
    </row>
    <row r="584" spans="1:28" ht="15.75" x14ac:dyDescent="0.25">
      <c r="A584" s="65">
        <v>46072</v>
      </c>
      <c r="B584" s="10" t="s">
        <v>272</v>
      </c>
      <c r="C584" s="10"/>
      <c r="D584" s="10"/>
      <c r="E584" s="10" t="s">
        <v>307</v>
      </c>
      <c r="F584" s="10">
        <v>27.1</v>
      </c>
      <c r="G584" s="10" t="s">
        <v>36</v>
      </c>
      <c r="H584" s="10">
        <v>43000</v>
      </c>
      <c r="I584" s="10">
        <f t="shared" si="228"/>
        <v>1165300</v>
      </c>
      <c r="J584" s="115" t="s">
        <v>90</v>
      </c>
      <c r="K584" s="10"/>
      <c r="L584" s="12">
        <f t="shared" si="223"/>
        <v>0</v>
      </c>
      <c r="M584" s="12"/>
      <c r="N584" s="12"/>
      <c r="O584" s="12">
        <f t="shared" si="224"/>
        <v>0</v>
      </c>
      <c r="P584" s="12"/>
      <c r="Q584" s="12"/>
      <c r="R584" s="12">
        <f t="shared" si="225"/>
        <v>0</v>
      </c>
      <c r="S584" s="12"/>
      <c r="T584" s="12"/>
      <c r="U584" s="12">
        <f t="shared" si="226"/>
        <v>0</v>
      </c>
      <c r="V584" s="12"/>
      <c r="W584" s="12"/>
      <c r="X584" s="12">
        <f t="shared" si="227"/>
        <v>0</v>
      </c>
      <c r="Y584" s="12"/>
      <c r="Z584" s="12"/>
      <c r="AA584" s="13">
        <f t="shared" si="229"/>
        <v>1165300</v>
      </c>
      <c r="AB584" s="14"/>
    </row>
    <row r="585" spans="1:28" ht="15.75" x14ac:dyDescent="0.25">
      <c r="A585" s="28">
        <v>46072</v>
      </c>
      <c r="B585" s="10" t="s">
        <v>272</v>
      </c>
      <c r="C585" s="10"/>
      <c r="D585" s="10"/>
      <c r="E585" s="10" t="s">
        <v>307</v>
      </c>
      <c r="F585" s="10">
        <v>27</v>
      </c>
      <c r="G585" s="10" t="s">
        <v>36</v>
      </c>
      <c r="H585" s="10">
        <v>43000</v>
      </c>
      <c r="I585" s="10">
        <f t="shared" si="228"/>
        <v>1161000</v>
      </c>
      <c r="J585" s="115" t="s">
        <v>90</v>
      </c>
      <c r="K585" s="10"/>
      <c r="L585" s="12">
        <f t="shared" si="223"/>
        <v>0</v>
      </c>
      <c r="M585" s="12"/>
      <c r="N585" s="12"/>
      <c r="O585" s="12">
        <f t="shared" si="224"/>
        <v>0</v>
      </c>
      <c r="P585" s="12"/>
      <c r="Q585" s="12"/>
      <c r="R585" s="12">
        <f t="shared" si="225"/>
        <v>0</v>
      </c>
      <c r="S585" s="12"/>
      <c r="T585" s="12"/>
      <c r="U585" s="12">
        <f t="shared" si="226"/>
        <v>0</v>
      </c>
      <c r="V585" s="12"/>
      <c r="W585" s="12"/>
      <c r="X585" s="12">
        <f t="shared" si="227"/>
        <v>0</v>
      </c>
      <c r="Y585" s="12"/>
      <c r="Z585" s="12"/>
      <c r="AA585" s="13">
        <f t="shared" si="229"/>
        <v>1161000</v>
      </c>
      <c r="AB585" s="14"/>
    </row>
    <row r="586" spans="1:28" ht="15.75" x14ac:dyDescent="0.25">
      <c r="A586" s="65">
        <v>46072</v>
      </c>
      <c r="B586" s="10" t="s">
        <v>272</v>
      </c>
      <c r="C586" s="10"/>
      <c r="D586" s="10"/>
      <c r="E586" s="10" t="s">
        <v>198</v>
      </c>
      <c r="F586" s="10">
        <v>32.5</v>
      </c>
      <c r="G586" s="10" t="s">
        <v>36</v>
      </c>
      <c r="H586" s="10">
        <v>43000</v>
      </c>
      <c r="I586" s="10">
        <f t="shared" si="228"/>
        <v>1397500</v>
      </c>
      <c r="J586" s="115" t="s">
        <v>90</v>
      </c>
      <c r="K586" s="10"/>
      <c r="L586" s="12">
        <f t="shared" si="223"/>
        <v>0</v>
      </c>
      <c r="M586" s="12"/>
      <c r="N586" s="12"/>
      <c r="O586" s="12">
        <f t="shared" si="224"/>
        <v>0</v>
      </c>
      <c r="P586" s="12"/>
      <c r="Q586" s="12"/>
      <c r="R586" s="12">
        <f t="shared" si="225"/>
        <v>0</v>
      </c>
      <c r="S586" s="12"/>
      <c r="T586" s="12"/>
      <c r="U586" s="12">
        <f t="shared" si="226"/>
        <v>0</v>
      </c>
      <c r="V586" s="12"/>
      <c r="W586" s="12"/>
      <c r="X586" s="12">
        <f t="shared" si="227"/>
        <v>0</v>
      </c>
      <c r="Y586" s="12"/>
      <c r="Z586" s="12"/>
      <c r="AA586" s="13">
        <f t="shared" si="229"/>
        <v>1397500</v>
      </c>
      <c r="AB586" s="14"/>
    </row>
    <row r="587" spans="1:28" ht="16.5" thickBot="1" x14ac:dyDescent="0.3">
      <c r="A587" s="53">
        <v>46072</v>
      </c>
      <c r="B587" s="31" t="s">
        <v>272</v>
      </c>
      <c r="C587" s="31"/>
      <c r="D587" s="31"/>
      <c r="E587" s="31" t="s">
        <v>443</v>
      </c>
      <c r="F587" s="31">
        <v>27.2</v>
      </c>
      <c r="G587" s="31" t="s">
        <v>36</v>
      </c>
      <c r="H587" s="31">
        <v>43000</v>
      </c>
      <c r="I587" s="31">
        <f t="shared" si="228"/>
        <v>1169600</v>
      </c>
      <c r="J587" s="116" t="s">
        <v>90</v>
      </c>
      <c r="K587" s="31"/>
      <c r="L587" s="34">
        <f t="shared" si="223"/>
        <v>0</v>
      </c>
      <c r="M587" s="34"/>
      <c r="N587" s="34"/>
      <c r="O587" s="34">
        <f t="shared" si="224"/>
        <v>0</v>
      </c>
      <c r="P587" s="34"/>
      <c r="Q587" s="34"/>
      <c r="R587" s="34">
        <f t="shared" si="225"/>
        <v>0</v>
      </c>
      <c r="S587" s="34"/>
      <c r="T587" s="34"/>
      <c r="U587" s="34">
        <f t="shared" si="226"/>
        <v>0</v>
      </c>
      <c r="V587" s="34"/>
      <c r="W587" s="34"/>
      <c r="X587" s="34">
        <f t="shared" si="227"/>
        <v>0</v>
      </c>
      <c r="Y587" s="34"/>
      <c r="Z587" s="34"/>
      <c r="AA587" s="35">
        <f t="shared" si="229"/>
        <v>1169600</v>
      </c>
      <c r="AB587" s="36"/>
    </row>
    <row r="588" spans="1:28" ht="15.75" hidden="1" x14ac:dyDescent="0.25">
      <c r="A588" s="65">
        <v>46073</v>
      </c>
      <c r="B588" s="66" t="s">
        <v>268</v>
      </c>
      <c r="C588" s="66"/>
      <c r="D588" s="66" t="s">
        <v>195</v>
      </c>
      <c r="E588" s="66" t="s">
        <v>506</v>
      </c>
      <c r="F588" s="66">
        <v>2</v>
      </c>
      <c r="G588" s="66" t="s">
        <v>192</v>
      </c>
      <c r="H588" s="66">
        <v>1200000</v>
      </c>
      <c r="I588" s="10">
        <f t="shared" si="228"/>
        <v>2400000</v>
      </c>
      <c r="J588" s="84" t="s">
        <v>110</v>
      </c>
      <c r="K588" s="10" t="s">
        <v>511</v>
      </c>
      <c r="L588" s="12">
        <f t="shared" ref="L588" si="230">M588+N588</f>
        <v>0</v>
      </c>
      <c r="M588" s="12"/>
      <c r="N588" s="12"/>
      <c r="O588" s="12">
        <f t="shared" ref="O588" si="231">P588+Q588</f>
        <v>2400000</v>
      </c>
      <c r="P588" s="12">
        <v>2400000</v>
      </c>
      <c r="Q588" s="12"/>
      <c r="R588" s="12">
        <f t="shared" ref="R588" si="232">S588+T588</f>
        <v>0</v>
      </c>
      <c r="S588" s="12"/>
      <c r="T588" s="12"/>
      <c r="U588" s="12">
        <f t="shared" ref="U588" si="233">V588+W588</f>
        <v>0</v>
      </c>
      <c r="V588" s="12"/>
      <c r="W588" s="12"/>
      <c r="X588" s="12">
        <f t="shared" ref="X588" si="234">Y588+Z588</f>
        <v>0</v>
      </c>
      <c r="Y588" s="12"/>
      <c r="Z588" s="12"/>
      <c r="AA588" s="13">
        <f t="shared" si="229"/>
        <v>0</v>
      </c>
      <c r="AB588" s="14">
        <v>46073</v>
      </c>
    </row>
    <row r="589" spans="1:28" ht="15.75" hidden="1" x14ac:dyDescent="0.25">
      <c r="A589" s="65">
        <v>46073</v>
      </c>
      <c r="B589" s="10" t="s">
        <v>296</v>
      </c>
      <c r="C589" s="10"/>
      <c r="D589" s="66" t="s">
        <v>195</v>
      </c>
      <c r="E589" s="10" t="s">
        <v>160</v>
      </c>
      <c r="F589" s="10">
        <v>1</v>
      </c>
      <c r="G589" s="10" t="s">
        <v>22</v>
      </c>
      <c r="H589" s="10">
        <v>400000</v>
      </c>
      <c r="I589" s="10">
        <f t="shared" si="228"/>
        <v>400000</v>
      </c>
      <c r="J589" s="84" t="s">
        <v>110</v>
      </c>
      <c r="K589" s="10" t="s">
        <v>510</v>
      </c>
      <c r="L589" s="12">
        <f t="shared" ref="L589:L598" si="235">M589+N589</f>
        <v>0</v>
      </c>
      <c r="M589" s="12"/>
      <c r="N589" s="12"/>
      <c r="O589" s="12">
        <f t="shared" ref="O589:O598" si="236">P589+Q589</f>
        <v>400000</v>
      </c>
      <c r="P589" s="12">
        <v>400000</v>
      </c>
      <c r="Q589" s="12"/>
      <c r="R589" s="12">
        <f t="shared" ref="R589:R598" si="237">S589+T589</f>
        <v>0</v>
      </c>
      <c r="S589" s="12"/>
      <c r="T589" s="12"/>
      <c r="U589" s="12">
        <f t="shared" ref="U589:U598" si="238">V589+W589</f>
        <v>0</v>
      </c>
      <c r="V589" s="12"/>
      <c r="W589" s="12"/>
      <c r="X589" s="12">
        <f t="shared" ref="X589:X598" si="239">Y589+Z589</f>
        <v>0</v>
      </c>
      <c r="Y589" s="12"/>
      <c r="Z589" s="12"/>
      <c r="AA589" s="13">
        <f t="shared" si="229"/>
        <v>0</v>
      </c>
      <c r="AB589" s="14">
        <v>46072</v>
      </c>
    </row>
    <row r="590" spans="1:28" ht="15.75" hidden="1" x14ac:dyDescent="0.25">
      <c r="A590" s="65">
        <v>46073</v>
      </c>
      <c r="B590" s="10" t="s">
        <v>285</v>
      </c>
      <c r="C590" s="10"/>
      <c r="D590" s="66" t="s">
        <v>195</v>
      </c>
      <c r="E590" s="10" t="s">
        <v>160</v>
      </c>
      <c r="F590" s="10">
        <v>1</v>
      </c>
      <c r="G590" s="10" t="s">
        <v>22</v>
      </c>
      <c r="H590" s="10">
        <v>400000</v>
      </c>
      <c r="I590" s="10">
        <f t="shared" si="228"/>
        <v>400000</v>
      </c>
      <c r="J590" s="84" t="s">
        <v>113</v>
      </c>
      <c r="K590" s="10"/>
      <c r="L590" s="12">
        <f t="shared" si="235"/>
        <v>400000</v>
      </c>
      <c r="M590" s="12">
        <v>400000</v>
      </c>
      <c r="N590" s="12"/>
      <c r="O590" s="12">
        <f t="shared" si="236"/>
        <v>0</v>
      </c>
      <c r="P590" s="12"/>
      <c r="Q590" s="12"/>
      <c r="R590" s="12">
        <f t="shared" si="237"/>
        <v>0</v>
      </c>
      <c r="S590" s="12"/>
      <c r="T590" s="12"/>
      <c r="U590" s="12">
        <f t="shared" si="238"/>
        <v>0</v>
      </c>
      <c r="V590" s="12"/>
      <c r="W590" s="12"/>
      <c r="X590" s="12">
        <f t="shared" si="239"/>
        <v>0</v>
      </c>
      <c r="Y590" s="12"/>
      <c r="Z590" s="12"/>
      <c r="AA590" s="13">
        <f t="shared" si="229"/>
        <v>0</v>
      </c>
      <c r="AB590" s="14">
        <v>46073</v>
      </c>
    </row>
    <row r="591" spans="1:28" ht="15.75" hidden="1" x14ac:dyDescent="0.25">
      <c r="A591" s="65">
        <v>46073</v>
      </c>
      <c r="B591" s="10" t="s">
        <v>507</v>
      </c>
      <c r="C591" s="10"/>
      <c r="D591" s="66" t="s">
        <v>195</v>
      </c>
      <c r="E591" s="10" t="s">
        <v>228</v>
      </c>
      <c r="F591" s="10">
        <v>5</v>
      </c>
      <c r="G591" s="10" t="s">
        <v>36</v>
      </c>
      <c r="H591" s="10">
        <v>300000</v>
      </c>
      <c r="I591" s="10">
        <f t="shared" si="228"/>
        <v>1500000</v>
      </c>
      <c r="J591" s="84" t="s">
        <v>113</v>
      </c>
      <c r="K591" s="10"/>
      <c r="L591" s="12">
        <f t="shared" si="235"/>
        <v>0</v>
      </c>
      <c r="M591" s="12"/>
      <c r="N591" s="12"/>
      <c r="O591" s="12">
        <f t="shared" si="236"/>
        <v>0</v>
      </c>
      <c r="P591" s="12"/>
      <c r="Q591" s="12"/>
      <c r="R591" s="12">
        <f t="shared" si="237"/>
        <v>0</v>
      </c>
      <c r="S591" s="12"/>
      <c r="T591" s="12"/>
      <c r="U591" s="12">
        <f t="shared" si="238"/>
        <v>1500000</v>
      </c>
      <c r="V591" s="12">
        <v>1500000</v>
      </c>
      <c r="W591" s="12"/>
      <c r="X591" s="12">
        <f t="shared" si="239"/>
        <v>0</v>
      </c>
      <c r="Y591" s="12"/>
      <c r="Z591" s="12"/>
      <c r="AA591" s="13">
        <f t="shared" si="229"/>
        <v>0</v>
      </c>
      <c r="AB591" s="14">
        <v>46073</v>
      </c>
    </row>
    <row r="592" spans="1:28" ht="15.75" hidden="1" x14ac:dyDescent="0.25">
      <c r="A592" s="65">
        <v>46073</v>
      </c>
      <c r="B592" s="10" t="s">
        <v>508</v>
      </c>
      <c r="C592" s="10"/>
      <c r="D592" s="66" t="s">
        <v>195</v>
      </c>
      <c r="E592" s="10" t="s">
        <v>116</v>
      </c>
      <c r="F592" s="10">
        <v>6</v>
      </c>
      <c r="G592" s="10" t="s">
        <v>67</v>
      </c>
      <c r="H592" s="10">
        <v>65000</v>
      </c>
      <c r="I592" s="10">
        <f t="shared" si="228"/>
        <v>390000</v>
      </c>
      <c r="J592" s="84" t="s">
        <v>113</v>
      </c>
      <c r="K592" s="10"/>
      <c r="L592" s="12">
        <f t="shared" si="235"/>
        <v>0</v>
      </c>
      <c r="M592" s="12"/>
      <c r="N592" s="12"/>
      <c r="O592" s="12">
        <f t="shared" si="236"/>
        <v>0</v>
      </c>
      <c r="P592" s="12"/>
      <c r="Q592" s="12"/>
      <c r="R592" s="12">
        <f t="shared" si="237"/>
        <v>0</v>
      </c>
      <c r="S592" s="12"/>
      <c r="T592" s="12"/>
      <c r="U592" s="12">
        <f t="shared" si="238"/>
        <v>390000</v>
      </c>
      <c r="V592" s="12">
        <v>390000</v>
      </c>
      <c r="W592" s="12"/>
      <c r="X592" s="12">
        <f t="shared" si="239"/>
        <v>0</v>
      </c>
      <c r="Y592" s="12"/>
      <c r="Z592" s="12"/>
      <c r="AA592" s="13">
        <f t="shared" si="229"/>
        <v>0</v>
      </c>
      <c r="AB592" s="14">
        <v>46073</v>
      </c>
    </row>
    <row r="593" spans="1:28" ht="15.75" hidden="1" x14ac:dyDescent="0.25">
      <c r="A593" s="65">
        <v>46073</v>
      </c>
      <c r="B593" s="10" t="s">
        <v>509</v>
      </c>
      <c r="C593" s="10"/>
      <c r="D593" s="66" t="s">
        <v>195</v>
      </c>
      <c r="E593" s="10" t="s">
        <v>406</v>
      </c>
      <c r="F593" s="10">
        <v>1.7</v>
      </c>
      <c r="G593" s="10" t="s">
        <v>407</v>
      </c>
      <c r="H593" s="10">
        <v>54000</v>
      </c>
      <c r="I593" s="10">
        <f t="shared" si="228"/>
        <v>91800</v>
      </c>
      <c r="J593" s="84" t="s">
        <v>113</v>
      </c>
      <c r="K593" s="10"/>
      <c r="L593" s="12">
        <f t="shared" si="235"/>
        <v>91800</v>
      </c>
      <c r="M593" s="12">
        <v>91800</v>
      </c>
      <c r="N593" s="12"/>
      <c r="O593" s="12">
        <f t="shared" si="236"/>
        <v>0</v>
      </c>
      <c r="P593" s="12"/>
      <c r="Q593" s="12"/>
      <c r="R593" s="12">
        <f t="shared" si="237"/>
        <v>0</v>
      </c>
      <c r="S593" s="12"/>
      <c r="T593" s="12"/>
      <c r="U593" s="12">
        <f t="shared" si="238"/>
        <v>0</v>
      </c>
      <c r="V593" s="12"/>
      <c r="W593" s="12"/>
      <c r="X593" s="12">
        <f t="shared" si="239"/>
        <v>0</v>
      </c>
      <c r="Y593" s="12"/>
      <c r="Z593" s="12"/>
      <c r="AA593" s="13">
        <f t="shared" si="229"/>
        <v>0</v>
      </c>
      <c r="AB593" s="14">
        <v>46073</v>
      </c>
    </row>
    <row r="594" spans="1:28" ht="15.75" hidden="1" x14ac:dyDescent="0.25">
      <c r="A594" s="65">
        <v>46073</v>
      </c>
      <c r="B594" s="10" t="s">
        <v>392</v>
      </c>
      <c r="C594" s="10"/>
      <c r="D594" s="66" t="s">
        <v>195</v>
      </c>
      <c r="E594" s="10" t="s">
        <v>129</v>
      </c>
      <c r="F594" s="10">
        <v>200</v>
      </c>
      <c r="G594" s="10" t="s">
        <v>26</v>
      </c>
      <c r="H594" s="10">
        <v>4000</v>
      </c>
      <c r="I594" s="10">
        <f t="shared" si="228"/>
        <v>800000</v>
      </c>
      <c r="J594" s="29" t="s">
        <v>113</v>
      </c>
      <c r="K594" s="10"/>
      <c r="L594" s="12">
        <f t="shared" si="235"/>
        <v>0</v>
      </c>
      <c r="M594" s="12"/>
      <c r="N594" s="12"/>
      <c r="O594" s="12">
        <f t="shared" si="236"/>
        <v>0</v>
      </c>
      <c r="P594" s="12"/>
      <c r="Q594" s="12"/>
      <c r="R594" s="12">
        <f t="shared" si="237"/>
        <v>800000</v>
      </c>
      <c r="S594" s="12">
        <v>800000</v>
      </c>
      <c r="T594" s="12"/>
      <c r="U594" s="12">
        <f t="shared" si="238"/>
        <v>0</v>
      </c>
      <c r="V594" s="12"/>
      <c r="W594" s="12"/>
      <c r="X594" s="12">
        <f t="shared" si="239"/>
        <v>0</v>
      </c>
      <c r="Y594" s="12"/>
      <c r="Z594" s="12"/>
      <c r="AA594" s="13">
        <f t="shared" si="229"/>
        <v>0</v>
      </c>
      <c r="AB594" s="14">
        <v>46073</v>
      </c>
    </row>
    <row r="595" spans="1:28" ht="15.75" hidden="1" x14ac:dyDescent="0.25">
      <c r="A595" s="65">
        <v>46073</v>
      </c>
      <c r="B595" s="10" t="s">
        <v>268</v>
      </c>
      <c r="C595" s="10"/>
      <c r="D595" s="66" t="s">
        <v>195</v>
      </c>
      <c r="E595" s="10" t="s">
        <v>129</v>
      </c>
      <c r="F595" s="10">
        <v>500</v>
      </c>
      <c r="G595" s="10" t="s">
        <v>26</v>
      </c>
      <c r="H595" s="10">
        <v>4000</v>
      </c>
      <c r="I595" s="10">
        <f t="shared" si="228"/>
        <v>2000000</v>
      </c>
      <c r="J595" s="29" t="s">
        <v>113</v>
      </c>
      <c r="K595" s="10"/>
      <c r="L595" s="12">
        <f t="shared" si="235"/>
        <v>2000000</v>
      </c>
      <c r="M595" s="12">
        <v>2000000</v>
      </c>
      <c r="N595" s="12"/>
      <c r="O595" s="12">
        <f t="shared" si="236"/>
        <v>0</v>
      </c>
      <c r="P595" s="12"/>
      <c r="Q595" s="12"/>
      <c r="R595" s="12">
        <f t="shared" si="237"/>
        <v>0</v>
      </c>
      <c r="S595" s="12"/>
      <c r="T595" s="12"/>
      <c r="U595" s="12">
        <f t="shared" si="238"/>
        <v>0</v>
      </c>
      <c r="V595" s="12"/>
      <c r="W595" s="12"/>
      <c r="X595" s="12">
        <f t="shared" si="239"/>
        <v>0</v>
      </c>
      <c r="Y595" s="12"/>
      <c r="Z595" s="12"/>
      <c r="AA595" s="13">
        <f t="shared" si="229"/>
        <v>0</v>
      </c>
      <c r="AB595" s="14">
        <v>46073</v>
      </c>
    </row>
    <row r="596" spans="1:28" ht="15.75" hidden="1" x14ac:dyDescent="0.25">
      <c r="A596" s="65">
        <v>46073</v>
      </c>
      <c r="B596" s="10" t="s">
        <v>507</v>
      </c>
      <c r="C596" s="10"/>
      <c r="D596" s="66" t="s">
        <v>195</v>
      </c>
      <c r="E596" s="10" t="s">
        <v>227</v>
      </c>
      <c r="F596" s="10">
        <v>7</v>
      </c>
      <c r="G596" s="10" t="s">
        <v>36</v>
      </c>
      <c r="H596" s="10">
        <v>300000</v>
      </c>
      <c r="I596" s="10">
        <f t="shared" si="228"/>
        <v>2100000</v>
      </c>
      <c r="J596" s="29" t="s">
        <v>113</v>
      </c>
      <c r="K596" s="10"/>
      <c r="L596" s="12">
        <f t="shared" si="235"/>
        <v>0</v>
      </c>
      <c r="M596" s="12"/>
      <c r="N596" s="12"/>
      <c r="O596" s="12">
        <f t="shared" si="236"/>
        <v>0</v>
      </c>
      <c r="P596" s="12"/>
      <c r="Q596" s="12"/>
      <c r="R596" s="12">
        <f t="shared" si="237"/>
        <v>0</v>
      </c>
      <c r="S596" s="12"/>
      <c r="T596" s="12"/>
      <c r="U596" s="12">
        <f t="shared" si="238"/>
        <v>2100000</v>
      </c>
      <c r="V596" s="12">
        <v>2100000</v>
      </c>
      <c r="W596" s="12"/>
      <c r="X596" s="12">
        <f t="shared" si="239"/>
        <v>0</v>
      </c>
      <c r="Y596" s="12"/>
      <c r="Z596" s="12"/>
      <c r="AA596" s="13">
        <f t="shared" si="229"/>
        <v>0</v>
      </c>
      <c r="AB596" s="14">
        <v>46073</v>
      </c>
    </row>
    <row r="597" spans="1:28" ht="15.75" x14ac:dyDescent="0.25">
      <c r="A597" s="28">
        <v>46073</v>
      </c>
      <c r="B597" s="10" t="s">
        <v>272</v>
      </c>
      <c r="C597" s="10"/>
      <c r="D597" s="10"/>
      <c r="E597" s="10" t="s">
        <v>80</v>
      </c>
      <c r="F597" s="10">
        <v>22.6</v>
      </c>
      <c r="G597" s="10" t="s">
        <v>36</v>
      </c>
      <c r="H597" s="10">
        <v>43000</v>
      </c>
      <c r="I597" s="10">
        <f t="shared" si="228"/>
        <v>971800.00000000012</v>
      </c>
      <c r="J597" s="115" t="s">
        <v>90</v>
      </c>
      <c r="K597" s="10"/>
      <c r="L597" s="12">
        <f t="shared" si="235"/>
        <v>0</v>
      </c>
      <c r="M597" s="12"/>
      <c r="N597" s="12"/>
      <c r="O597" s="12">
        <f t="shared" si="236"/>
        <v>0</v>
      </c>
      <c r="P597" s="12"/>
      <c r="Q597" s="12"/>
      <c r="R597" s="12">
        <f t="shared" si="237"/>
        <v>0</v>
      </c>
      <c r="S597" s="12"/>
      <c r="T597" s="12"/>
      <c r="U597" s="12">
        <f t="shared" si="238"/>
        <v>0</v>
      </c>
      <c r="V597" s="12"/>
      <c r="W597" s="12"/>
      <c r="X597" s="12">
        <f t="shared" si="239"/>
        <v>0</v>
      </c>
      <c r="Y597" s="12"/>
      <c r="Z597" s="12"/>
      <c r="AA597" s="13">
        <f t="shared" si="229"/>
        <v>971800.00000000012</v>
      </c>
      <c r="AB597" s="14"/>
    </row>
    <row r="598" spans="1:28" ht="15.75" x14ac:dyDescent="0.25">
      <c r="A598" s="65">
        <v>46073</v>
      </c>
      <c r="B598" s="10" t="s">
        <v>272</v>
      </c>
      <c r="C598" s="10"/>
      <c r="D598" s="10"/>
      <c r="E598" s="10" t="s">
        <v>315</v>
      </c>
      <c r="F598" s="10">
        <v>26.9</v>
      </c>
      <c r="G598" s="10" t="s">
        <v>36</v>
      </c>
      <c r="H598" s="10">
        <v>43000</v>
      </c>
      <c r="I598" s="10">
        <f t="shared" si="228"/>
        <v>1156700</v>
      </c>
      <c r="J598" s="115" t="s">
        <v>90</v>
      </c>
      <c r="K598" s="10"/>
      <c r="L598" s="12">
        <f t="shared" si="235"/>
        <v>0</v>
      </c>
      <c r="M598" s="12"/>
      <c r="N598" s="12"/>
      <c r="O598" s="12">
        <f t="shared" si="236"/>
        <v>0</v>
      </c>
      <c r="P598" s="12"/>
      <c r="Q598" s="12"/>
      <c r="R598" s="12">
        <f t="shared" si="237"/>
        <v>0</v>
      </c>
      <c r="S598" s="12"/>
      <c r="T598" s="12"/>
      <c r="U598" s="12">
        <f t="shared" si="238"/>
        <v>0</v>
      </c>
      <c r="V598" s="12"/>
      <c r="W598" s="12"/>
      <c r="X598" s="12">
        <f t="shared" si="239"/>
        <v>0</v>
      </c>
      <c r="Y598" s="12"/>
      <c r="Z598" s="12"/>
      <c r="AA598" s="13">
        <f t="shared" si="229"/>
        <v>1156700</v>
      </c>
      <c r="AB598" s="14"/>
    </row>
    <row r="599" spans="1:28" ht="16.5" hidden="1" thickBot="1" x14ac:dyDescent="0.3">
      <c r="A599" s="53">
        <v>46073</v>
      </c>
      <c r="B599" s="31" t="s">
        <v>395</v>
      </c>
      <c r="C599" s="31"/>
      <c r="D599" s="31" t="s">
        <v>195</v>
      </c>
      <c r="E599" s="31" t="s">
        <v>104</v>
      </c>
      <c r="F599" s="31">
        <v>400</v>
      </c>
      <c r="G599" s="31" t="s">
        <v>26</v>
      </c>
      <c r="H599" s="31">
        <v>2000</v>
      </c>
      <c r="I599" s="31">
        <f t="shared" si="228"/>
        <v>800000</v>
      </c>
      <c r="J599" s="51" t="s">
        <v>110</v>
      </c>
      <c r="K599" s="31" t="s">
        <v>512</v>
      </c>
      <c r="L599" s="34">
        <f t="shared" ref="L599:L600" si="240">M599+N599</f>
        <v>0</v>
      </c>
      <c r="M599" s="34"/>
      <c r="N599" s="34"/>
      <c r="O599" s="34">
        <f t="shared" ref="O599:O600" si="241">P599+Q599</f>
        <v>800000</v>
      </c>
      <c r="P599" s="34">
        <v>800000</v>
      </c>
      <c r="Q599" s="34"/>
      <c r="R599" s="34">
        <f t="shared" ref="R599:R600" si="242">S599+T599</f>
        <v>0</v>
      </c>
      <c r="S599" s="34"/>
      <c r="T599" s="34"/>
      <c r="U599" s="34">
        <f t="shared" ref="U599:U600" si="243">V599+W599</f>
        <v>0</v>
      </c>
      <c r="V599" s="34"/>
      <c r="W599" s="34"/>
      <c r="X599" s="34">
        <f t="shared" ref="X599:X600" si="244">Y599+Z599</f>
        <v>0</v>
      </c>
      <c r="Y599" s="34"/>
      <c r="Z599" s="34"/>
      <c r="AA599" s="35">
        <f t="shared" si="229"/>
        <v>0</v>
      </c>
      <c r="AB599" s="36">
        <v>46073</v>
      </c>
    </row>
    <row r="600" spans="1:28" ht="15.75" x14ac:dyDescent="0.25">
      <c r="A600" s="65">
        <v>46076</v>
      </c>
      <c r="B600" s="66" t="s">
        <v>272</v>
      </c>
      <c r="C600" s="66"/>
      <c r="D600" s="66"/>
      <c r="E600" s="66" t="s">
        <v>198</v>
      </c>
      <c r="F600" s="66">
        <v>32.5</v>
      </c>
      <c r="G600" s="66" t="s">
        <v>36</v>
      </c>
      <c r="H600" s="66">
        <v>43000</v>
      </c>
      <c r="I600" s="10">
        <f t="shared" si="228"/>
        <v>1397500</v>
      </c>
      <c r="J600" s="115" t="s">
        <v>90</v>
      </c>
      <c r="K600" s="10"/>
      <c r="L600" s="12">
        <f t="shared" si="240"/>
        <v>0</v>
      </c>
      <c r="M600" s="12"/>
      <c r="N600" s="12"/>
      <c r="O600" s="12">
        <f t="shared" si="241"/>
        <v>0</v>
      </c>
      <c r="P600" s="12"/>
      <c r="Q600" s="12"/>
      <c r="R600" s="12">
        <f t="shared" si="242"/>
        <v>0</v>
      </c>
      <c r="S600" s="12"/>
      <c r="T600" s="12"/>
      <c r="U600" s="12">
        <f t="shared" si="243"/>
        <v>0</v>
      </c>
      <c r="V600" s="12"/>
      <c r="W600" s="12"/>
      <c r="X600" s="12">
        <f t="shared" si="244"/>
        <v>0</v>
      </c>
      <c r="Y600" s="12"/>
      <c r="Z600" s="12"/>
      <c r="AA600" s="13">
        <f t="shared" si="229"/>
        <v>1397500</v>
      </c>
      <c r="AB600" s="14"/>
    </row>
    <row r="601" spans="1:28" ht="15.75" x14ac:dyDescent="0.25">
      <c r="A601" s="65">
        <v>46076</v>
      </c>
      <c r="B601" s="66" t="s">
        <v>272</v>
      </c>
      <c r="C601" s="10"/>
      <c r="D601" s="10"/>
      <c r="E601" s="10" t="s">
        <v>92</v>
      </c>
      <c r="F601" s="10">
        <v>103.7</v>
      </c>
      <c r="G601" s="10" t="s">
        <v>36</v>
      </c>
      <c r="H601" s="10">
        <v>43000</v>
      </c>
      <c r="I601" s="10">
        <f t="shared" si="228"/>
        <v>4459100</v>
      </c>
      <c r="J601" s="115" t="s">
        <v>90</v>
      </c>
      <c r="K601" s="10"/>
      <c r="L601" s="12">
        <f t="shared" ref="L601:L621" si="245">M601+N601</f>
        <v>0</v>
      </c>
      <c r="M601" s="12"/>
      <c r="N601" s="12"/>
      <c r="O601" s="12">
        <f t="shared" ref="O601:O621" si="246">P601+Q601</f>
        <v>0</v>
      </c>
      <c r="P601" s="12"/>
      <c r="Q601" s="12"/>
      <c r="R601" s="12">
        <f t="shared" ref="R601:R621" si="247">S601+T601</f>
        <v>0</v>
      </c>
      <c r="S601" s="12"/>
      <c r="T601" s="12"/>
      <c r="U601" s="12">
        <f t="shared" ref="U601:U621" si="248">V601+W601</f>
        <v>0</v>
      </c>
      <c r="V601" s="12"/>
      <c r="W601" s="12"/>
      <c r="X601" s="12">
        <f t="shared" ref="X601:X621" si="249">Y601+Z601</f>
        <v>0</v>
      </c>
      <c r="Y601" s="12"/>
      <c r="Z601" s="12"/>
      <c r="AA601" s="13">
        <f t="shared" si="229"/>
        <v>4459100</v>
      </c>
      <c r="AB601" s="14"/>
    </row>
    <row r="602" spans="1:28" ht="15.75" x14ac:dyDescent="0.25">
      <c r="A602" s="65">
        <v>46076</v>
      </c>
      <c r="B602" s="66" t="s">
        <v>272</v>
      </c>
      <c r="C602" s="10"/>
      <c r="D602" s="10"/>
      <c r="E602" s="10" t="s">
        <v>315</v>
      </c>
      <c r="F602" s="10">
        <v>53.7</v>
      </c>
      <c r="G602" s="10" t="s">
        <v>36</v>
      </c>
      <c r="H602" s="10">
        <v>43000</v>
      </c>
      <c r="I602" s="10">
        <f t="shared" si="228"/>
        <v>2309100</v>
      </c>
      <c r="J602" s="115" t="s">
        <v>90</v>
      </c>
      <c r="K602" s="10"/>
      <c r="L602" s="12">
        <f t="shared" si="245"/>
        <v>0</v>
      </c>
      <c r="M602" s="12"/>
      <c r="N602" s="12"/>
      <c r="O602" s="12">
        <f t="shared" si="246"/>
        <v>0</v>
      </c>
      <c r="P602" s="12"/>
      <c r="Q602" s="12"/>
      <c r="R602" s="12">
        <f t="shared" si="247"/>
        <v>0</v>
      </c>
      <c r="S602" s="12"/>
      <c r="T602" s="12"/>
      <c r="U602" s="12">
        <f t="shared" si="248"/>
        <v>0</v>
      </c>
      <c r="V602" s="12"/>
      <c r="W602" s="12"/>
      <c r="X602" s="12">
        <f t="shared" si="249"/>
        <v>0</v>
      </c>
      <c r="Y602" s="12"/>
      <c r="Z602" s="12"/>
      <c r="AA602" s="13">
        <f t="shared" si="229"/>
        <v>2309100</v>
      </c>
      <c r="AB602" s="14"/>
    </row>
    <row r="603" spans="1:28" ht="15.75" hidden="1" x14ac:dyDescent="0.25">
      <c r="A603" s="65">
        <v>46076</v>
      </c>
      <c r="B603" s="10" t="s">
        <v>273</v>
      </c>
      <c r="C603" s="10"/>
      <c r="D603" s="10"/>
      <c r="E603" s="10" t="s">
        <v>424</v>
      </c>
      <c r="F603" s="10">
        <v>1</v>
      </c>
      <c r="G603" s="10" t="s">
        <v>22</v>
      </c>
      <c r="H603" s="10"/>
      <c r="I603" s="10">
        <f t="shared" si="228"/>
        <v>0</v>
      </c>
      <c r="J603" s="86" t="s">
        <v>76</v>
      </c>
      <c r="K603" s="10"/>
      <c r="L603" s="12">
        <f t="shared" si="245"/>
        <v>0</v>
      </c>
      <c r="M603" s="12"/>
      <c r="N603" s="12"/>
      <c r="O603" s="12">
        <f t="shared" si="246"/>
        <v>0</v>
      </c>
      <c r="P603" s="12"/>
      <c r="Q603" s="12"/>
      <c r="R603" s="12">
        <f t="shared" si="247"/>
        <v>0</v>
      </c>
      <c r="S603" s="12"/>
      <c r="T603" s="12"/>
      <c r="U603" s="12">
        <f t="shared" si="248"/>
        <v>0</v>
      </c>
      <c r="V603" s="12"/>
      <c r="W603" s="12"/>
      <c r="X603" s="12">
        <f t="shared" si="249"/>
        <v>0</v>
      </c>
      <c r="Y603" s="12"/>
      <c r="Z603" s="12"/>
      <c r="AA603" s="13">
        <f t="shared" si="229"/>
        <v>0</v>
      </c>
      <c r="AB603" s="14"/>
    </row>
    <row r="604" spans="1:28" ht="15.75" hidden="1" x14ac:dyDescent="0.25">
      <c r="A604" s="65">
        <v>46076</v>
      </c>
      <c r="B604" s="10" t="s">
        <v>324</v>
      </c>
      <c r="C604" s="10"/>
      <c r="D604" s="10" t="s">
        <v>195</v>
      </c>
      <c r="E604" s="10" t="s">
        <v>160</v>
      </c>
      <c r="F604" s="10">
        <v>1</v>
      </c>
      <c r="G604" s="10" t="s">
        <v>22</v>
      </c>
      <c r="H604" s="10">
        <v>400000</v>
      </c>
      <c r="I604" s="10">
        <f t="shared" si="228"/>
        <v>400000</v>
      </c>
      <c r="J604" s="29" t="s">
        <v>113</v>
      </c>
      <c r="K604" s="10"/>
      <c r="L604" s="12">
        <f t="shared" si="245"/>
        <v>0</v>
      </c>
      <c r="M604" s="12"/>
      <c r="N604" s="12"/>
      <c r="O604" s="12">
        <f t="shared" si="246"/>
        <v>0</v>
      </c>
      <c r="P604" s="12"/>
      <c r="Q604" s="12"/>
      <c r="R604" s="12">
        <f t="shared" si="247"/>
        <v>400000</v>
      </c>
      <c r="S604" s="12">
        <v>400000</v>
      </c>
      <c r="T604" s="12"/>
      <c r="U604" s="12">
        <f t="shared" si="248"/>
        <v>0</v>
      </c>
      <c r="V604" s="12"/>
      <c r="W604" s="12"/>
      <c r="X604" s="12">
        <f t="shared" si="249"/>
        <v>0</v>
      </c>
      <c r="Y604" s="12"/>
      <c r="Z604" s="12"/>
      <c r="AA604" s="13">
        <f t="shared" si="229"/>
        <v>0</v>
      </c>
      <c r="AB604" s="14">
        <v>46074</v>
      </c>
    </row>
    <row r="605" spans="1:28" ht="15.75" hidden="1" x14ac:dyDescent="0.25">
      <c r="A605" s="65">
        <v>46076</v>
      </c>
      <c r="B605" s="10" t="s">
        <v>324</v>
      </c>
      <c r="C605" s="10"/>
      <c r="D605" s="10" t="s">
        <v>195</v>
      </c>
      <c r="E605" s="10" t="s">
        <v>314</v>
      </c>
      <c r="F605" s="10">
        <v>1</v>
      </c>
      <c r="G605" s="10" t="s">
        <v>22</v>
      </c>
      <c r="H605" s="10">
        <v>400000</v>
      </c>
      <c r="I605" s="10">
        <f t="shared" si="228"/>
        <v>400000</v>
      </c>
      <c r="J605" s="29" t="s">
        <v>113</v>
      </c>
      <c r="K605" s="10"/>
      <c r="L605" s="12">
        <f t="shared" si="245"/>
        <v>0</v>
      </c>
      <c r="M605" s="12"/>
      <c r="N605" s="12"/>
      <c r="O605" s="12">
        <f t="shared" si="246"/>
        <v>0</v>
      </c>
      <c r="P605" s="12"/>
      <c r="Q605" s="12"/>
      <c r="R605" s="12">
        <f t="shared" si="247"/>
        <v>400000</v>
      </c>
      <c r="S605" s="12">
        <v>400000</v>
      </c>
      <c r="T605" s="12"/>
      <c r="U605" s="12">
        <f t="shared" si="248"/>
        <v>0</v>
      </c>
      <c r="V605" s="12"/>
      <c r="W605" s="12"/>
      <c r="X605" s="12">
        <f t="shared" si="249"/>
        <v>0</v>
      </c>
      <c r="Y605" s="12"/>
      <c r="Z605" s="12"/>
      <c r="AA605" s="13">
        <f t="shared" si="229"/>
        <v>0</v>
      </c>
      <c r="AB605" s="14">
        <v>46074</v>
      </c>
    </row>
    <row r="606" spans="1:28" ht="15.75" hidden="1" x14ac:dyDescent="0.25">
      <c r="A606" s="65">
        <v>46076</v>
      </c>
      <c r="B606" s="10" t="s">
        <v>281</v>
      </c>
      <c r="C606" s="10"/>
      <c r="D606" s="10" t="s">
        <v>195</v>
      </c>
      <c r="E606" s="10" t="s">
        <v>114</v>
      </c>
      <c r="F606" s="10">
        <v>10</v>
      </c>
      <c r="G606" s="10" t="s">
        <v>67</v>
      </c>
      <c r="H606" s="10">
        <v>50000</v>
      </c>
      <c r="I606" s="10">
        <f t="shared" si="228"/>
        <v>500000</v>
      </c>
      <c r="J606" s="29" t="s">
        <v>113</v>
      </c>
      <c r="K606" s="10"/>
      <c r="L606" s="12">
        <f t="shared" si="245"/>
        <v>0</v>
      </c>
      <c r="M606" s="12"/>
      <c r="N606" s="12"/>
      <c r="O606" s="12">
        <f t="shared" si="246"/>
        <v>0</v>
      </c>
      <c r="P606" s="12"/>
      <c r="Q606" s="12"/>
      <c r="R606" s="12">
        <f t="shared" si="247"/>
        <v>500000</v>
      </c>
      <c r="S606" s="12">
        <v>500000</v>
      </c>
      <c r="T606" s="12"/>
      <c r="U606" s="12">
        <f t="shared" si="248"/>
        <v>0</v>
      </c>
      <c r="V606" s="12"/>
      <c r="W606" s="12"/>
      <c r="X606" s="12">
        <f t="shared" si="249"/>
        <v>0</v>
      </c>
      <c r="Y606" s="12"/>
      <c r="Z606" s="12"/>
      <c r="AA606" s="13">
        <f t="shared" si="229"/>
        <v>0</v>
      </c>
      <c r="AB606" s="14">
        <v>46074</v>
      </c>
    </row>
    <row r="607" spans="1:28" ht="15.75" hidden="1" x14ac:dyDescent="0.25">
      <c r="A607" s="65">
        <v>46076</v>
      </c>
      <c r="B607" s="10" t="s">
        <v>513</v>
      </c>
      <c r="C607" s="10"/>
      <c r="D607" s="10" t="s">
        <v>383</v>
      </c>
      <c r="E607" s="10" t="s">
        <v>107</v>
      </c>
      <c r="F607" s="10">
        <v>200</v>
      </c>
      <c r="G607" s="10" t="s">
        <v>36</v>
      </c>
      <c r="H607" s="10">
        <v>60000</v>
      </c>
      <c r="I607" s="10">
        <f t="shared" si="228"/>
        <v>12000000</v>
      </c>
      <c r="J607" s="29" t="s">
        <v>110</v>
      </c>
      <c r="K607" s="10" t="s">
        <v>522</v>
      </c>
      <c r="L607" s="12">
        <f t="shared" si="245"/>
        <v>0</v>
      </c>
      <c r="M607" s="12"/>
      <c r="N607" s="12"/>
      <c r="O607" s="12">
        <f t="shared" si="246"/>
        <v>12000000</v>
      </c>
      <c r="P607" s="12">
        <v>12000000</v>
      </c>
      <c r="Q607" s="12"/>
      <c r="R607" s="12">
        <f t="shared" si="247"/>
        <v>0</v>
      </c>
      <c r="S607" s="12"/>
      <c r="T607" s="12"/>
      <c r="U607" s="12">
        <f t="shared" si="248"/>
        <v>0</v>
      </c>
      <c r="V607" s="12"/>
      <c r="W607" s="12"/>
      <c r="X607" s="12">
        <f t="shared" si="249"/>
        <v>0</v>
      </c>
      <c r="Y607" s="12"/>
      <c r="Z607" s="12"/>
      <c r="AA607" s="13">
        <f t="shared" si="229"/>
        <v>0</v>
      </c>
      <c r="AB607" s="14">
        <v>46077</v>
      </c>
    </row>
    <row r="608" spans="1:28" ht="15.75" hidden="1" x14ac:dyDescent="0.25">
      <c r="A608" s="65">
        <v>46076</v>
      </c>
      <c r="B608" s="10" t="s">
        <v>246</v>
      </c>
      <c r="C608" s="10"/>
      <c r="D608" s="10" t="s">
        <v>383</v>
      </c>
      <c r="E608" s="10" t="s">
        <v>60</v>
      </c>
      <c r="F608" s="10">
        <v>8</v>
      </c>
      <c r="G608" s="10" t="s">
        <v>61</v>
      </c>
      <c r="H608" s="10">
        <v>150000</v>
      </c>
      <c r="I608" s="10">
        <f t="shared" si="228"/>
        <v>1200000</v>
      </c>
      <c r="J608" s="29" t="s">
        <v>113</v>
      </c>
      <c r="K608" s="10"/>
      <c r="L608" s="12">
        <f t="shared" si="245"/>
        <v>0</v>
      </c>
      <c r="M608" s="12"/>
      <c r="N608" s="12"/>
      <c r="O608" s="12">
        <f t="shared" si="246"/>
        <v>0</v>
      </c>
      <c r="P608" s="12"/>
      <c r="Q608" s="12"/>
      <c r="R608" s="12">
        <f t="shared" si="247"/>
        <v>1200000</v>
      </c>
      <c r="S608" s="12">
        <v>1200000</v>
      </c>
      <c r="T608" s="12"/>
      <c r="U608" s="12">
        <f t="shared" si="248"/>
        <v>0</v>
      </c>
      <c r="V608" s="12"/>
      <c r="W608" s="12"/>
      <c r="X608" s="12">
        <f t="shared" si="249"/>
        <v>0</v>
      </c>
      <c r="Y608" s="12"/>
      <c r="Z608" s="12"/>
      <c r="AA608" s="13">
        <f t="shared" si="229"/>
        <v>0</v>
      </c>
      <c r="AB608" s="14">
        <v>46076</v>
      </c>
    </row>
    <row r="609" spans="1:28" ht="15.75" hidden="1" x14ac:dyDescent="0.25">
      <c r="A609" s="65">
        <v>46076</v>
      </c>
      <c r="B609" s="10" t="s">
        <v>221</v>
      </c>
      <c r="C609" s="10"/>
      <c r="D609" s="10" t="s">
        <v>195</v>
      </c>
      <c r="E609" s="10" t="s">
        <v>63</v>
      </c>
      <c r="F609" s="10">
        <v>12</v>
      </c>
      <c r="G609" s="10" t="s">
        <v>39</v>
      </c>
      <c r="H609" s="10">
        <v>850000</v>
      </c>
      <c r="I609" s="10">
        <f t="shared" si="228"/>
        <v>10200000</v>
      </c>
      <c r="J609" s="29" t="s">
        <v>110</v>
      </c>
      <c r="K609" s="10" t="s">
        <v>523</v>
      </c>
      <c r="L609" s="12">
        <f t="shared" si="245"/>
        <v>0</v>
      </c>
      <c r="M609" s="12"/>
      <c r="N609" s="12"/>
      <c r="O609" s="12">
        <f t="shared" si="246"/>
        <v>10200000</v>
      </c>
      <c r="P609" s="12">
        <v>10200000</v>
      </c>
      <c r="Q609" s="12"/>
      <c r="R609" s="12">
        <f t="shared" si="247"/>
        <v>0</v>
      </c>
      <c r="S609" s="12"/>
      <c r="T609" s="12"/>
      <c r="U609" s="12">
        <f t="shared" si="248"/>
        <v>0</v>
      </c>
      <c r="V609" s="12"/>
      <c r="W609" s="12"/>
      <c r="X609" s="12">
        <f t="shared" si="249"/>
        <v>0</v>
      </c>
      <c r="Y609" s="12"/>
      <c r="Z609" s="12"/>
      <c r="AA609" s="13">
        <f t="shared" si="229"/>
        <v>0</v>
      </c>
      <c r="AB609" s="14">
        <v>46073</v>
      </c>
    </row>
    <row r="610" spans="1:28" ht="15.75" hidden="1" x14ac:dyDescent="0.25">
      <c r="A610" s="65">
        <v>46076</v>
      </c>
      <c r="B610" s="10" t="s">
        <v>234</v>
      </c>
      <c r="C610" s="10"/>
      <c r="D610" s="10" t="s">
        <v>383</v>
      </c>
      <c r="E610" s="10" t="s">
        <v>175</v>
      </c>
      <c r="F610" s="10">
        <v>62400</v>
      </c>
      <c r="G610" s="10" t="s">
        <v>26</v>
      </c>
      <c r="H610" s="10">
        <v>950</v>
      </c>
      <c r="I610" s="10">
        <f t="shared" si="228"/>
        <v>59280000</v>
      </c>
      <c r="J610" s="52" t="s">
        <v>90</v>
      </c>
      <c r="K610" s="10" t="s">
        <v>518</v>
      </c>
      <c r="L610" s="12">
        <f t="shared" si="245"/>
        <v>0</v>
      </c>
      <c r="M610" s="12"/>
      <c r="N610" s="12"/>
      <c r="O610" s="12">
        <f t="shared" si="246"/>
        <v>0</v>
      </c>
      <c r="P610" s="12"/>
      <c r="Q610" s="12"/>
      <c r="R610" s="12">
        <f t="shared" si="247"/>
        <v>0</v>
      </c>
      <c r="S610" s="12"/>
      <c r="T610" s="12"/>
      <c r="U610" s="12">
        <f t="shared" si="248"/>
        <v>0</v>
      </c>
      <c r="V610" s="12"/>
      <c r="W610" s="12"/>
      <c r="X610" s="12">
        <f t="shared" si="249"/>
        <v>0</v>
      </c>
      <c r="Y610" s="12"/>
      <c r="Z610" s="12"/>
      <c r="AA610" s="13">
        <f t="shared" si="229"/>
        <v>59280000</v>
      </c>
      <c r="AB610" s="14"/>
    </row>
    <row r="611" spans="1:28" ht="15.75" hidden="1" x14ac:dyDescent="0.25">
      <c r="A611" s="65">
        <v>46076</v>
      </c>
      <c r="B611" s="10" t="s">
        <v>234</v>
      </c>
      <c r="C611" s="10"/>
      <c r="D611" s="10" t="s">
        <v>383</v>
      </c>
      <c r="E611" s="10" t="s">
        <v>88</v>
      </c>
      <c r="F611" s="10">
        <v>250</v>
      </c>
      <c r="G611" s="10" t="s">
        <v>36</v>
      </c>
      <c r="H611" s="10">
        <v>105000</v>
      </c>
      <c r="I611" s="10">
        <f t="shared" si="228"/>
        <v>26250000</v>
      </c>
      <c r="J611" s="52" t="s">
        <v>90</v>
      </c>
      <c r="K611" s="10" t="s">
        <v>518</v>
      </c>
      <c r="L611" s="12">
        <f t="shared" si="245"/>
        <v>0</v>
      </c>
      <c r="M611" s="12"/>
      <c r="N611" s="12"/>
      <c r="O611" s="12">
        <f t="shared" si="246"/>
        <v>0</v>
      </c>
      <c r="P611" s="12"/>
      <c r="Q611" s="12"/>
      <c r="R611" s="12">
        <f t="shared" si="247"/>
        <v>0</v>
      </c>
      <c r="S611" s="12"/>
      <c r="T611" s="12"/>
      <c r="U611" s="12">
        <f t="shared" si="248"/>
        <v>0</v>
      </c>
      <c r="V611" s="12"/>
      <c r="W611" s="12"/>
      <c r="X611" s="12">
        <f t="shared" si="249"/>
        <v>0</v>
      </c>
      <c r="Y611" s="12"/>
      <c r="Z611" s="12"/>
      <c r="AA611" s="13">
        <f t="shared" si="229"/>
        <v>26250000</v>
      </c>
      <c r="AB611" s="14"/>
    </row>
    <row r="612" spans="1:28" ht="15.75" hidden="1" x14ac:dyDescent="0.25">
      <c r="A612" s="65">
        <v>46076</v>
      </c>
      <c r="B612" s="10" t="s">
        <v>234</v>
      </c>
      <c r="C612" s="10"/>
      <c r="D612" s="10" t="s">
        <v>383</v>
      </c>
      <c r="E612" s="10" t="s">
        <v>116</v>
      </c>
      <c r="F612" s="10">
        <v>24</v>
      </c>
      <c r="G612" s="10" t="s">
        <v>67</v>
      </c>
      <c r="H612" s="10">
        <v>65000</v>
      </c>
      <c r="I612" s="10">
        <f t="shared" si="228"/>
        <v>1560000</v>
      </c>
      <c r="J612" s="52" t="s">
        <v>90</v>
      </c>
      <c r="K612" s="10" t="s">
        <v>518</v>
      </c>
      <c r="L612" s="12">
        <f t="shared" si="245"/>
        <v>0</v>
      </c>
      <c r="M612" s="12"/>
      <c r="N612" s="12"/>
      <c r="O612" s="12">
        <f t="shared" si="246"/>
        <v>0</v>
      </c>
      <c r="P612" s="12"/>
      <c r="Q612" s="12"/>
      <c r="R612" s="12">
        <f t="shared" si="247"/>
        <v>0</v>
      </c>
      <c r="S612" s="12"/>
      <c r="T612" s="12"/>
      <c r="U612" s="12">
        <f t="shared" si="248"/>
        <v>0</v>
      </c>
      <c r="V612" s="12"/>
      <c r="W612" s="12"/>
      <c r="X612" s="12">
        <f t="shared" si="249"/>
        <v>0</v>
      </c>
      <c r="Y612" s="12"/>
      <c r="Z612" s="12"/>
      <c r="AA612" s="13">
        <f t="shared" si="229"/>
        <v>1560000</v>
      </c>
      <c r="AB612" s="14"/>
    </row>
    <row r="613" spans="1:28" ht="15.75" hidden="1" x14ac:dyDescent="0.25">
      <c r="A613" s="65">
        <v>46076</v>
      </c>
      <c r="B613" s="10" t="s">
        <v>514</v>
      </c>
      <c r="C613" s="10"/>
      <c r="D613" s="10" t="s">
        <v>195</v>
      </c>
      <c r="E613" s="10" t="s">
        <v>116</v>
      </c>
      <c r="F613" s="10">
        <v>12</v>
      </c>
      <c r="G613" s="10" t="s">
        <v>67</v>
      </c>
      <c r="H613" s="10">
        <v>65000</v>
      </c>
      <c r="I613" s="10">
        <f t="shared" si="228"/>
        <v>780000</v>
      </c>
      <c r="J613" s="29" t="s">
        <v>110</v>
      </c>
      <c r="K613" s="10" t="s">
        <v>517</v>
      </c>
      <c r="L613" s="12">
        <f t="shared" si="245"/>
        <v>0</v>
      </c>
      <c r="M613" s="12"/>
      <c r="N613" s="12"/>
      <c r="O613" s="12">
        <f t="shared" si="246"/>
        <v>780000</v>
      </c>
      <c r="P613" s="12">
        <v>780000</v>
      </c>
      <c r="Q613" s="12"/>
      <c r="R613" s="12">
        <f t="shared" si="247"/>
        <v>0</v>
      </c>
      <c r="S613" s="12"/>
      <c r="T613" s="12"/>
      <c r="U613" s="12">
        <f t="shared" si="248"/>
        <v>0</v>
      </c>
      <c r="V613" s="12"/>
      <c r="W613" s="12"/>
      <c r="X613" s="12">
        <f t="shared" si="249"/>
        <v>0</v>
      </c>
      <c r="Y613" s="12"/>
      <c r="Z613" s="12"/>
      <c r="AA613" s="13">
        <f t="shared" si="229"/>
        <v>0</v>
      </c>
      <c r="AB613" s="14">
        <v>46076</v>
      </c>
    </row>
    <row r="614" spans="1:28" ht="15.75" hidden="1" x14ac:dyDescent="0.25">
      <c r="A614" s="65">
        <v>46076</v>
      </c>
      <c r="B614" s="10" t="s">
        <v>514</v>
      </c>
      <c r="C614" s="10"/>
      <c r="D614" s="10" t="s">
        <v>195</v>
      </c>
      <c r="E614" s="10" t="s">
        <v>117</v>
      </c>
      <c r="F614" s="10">
        <v>10</v>
      </c>
      <c r="G614" s="10" t="s">
        <v>36</v>
      </c>
      <c r="H614" s="10">
        <v>70000</v>
      </c>
      <c r="I614" s="10">
        <f t="shared" si="228"/>
        <v>700000</v>
      </c>
      <c r="J614" s="29" t="s">
        <v>110</v>
      </c>
      <c r="K614" s="10" t="s">
        <v>517</v>
      </c>
      <c r="L614" s="12">
        <f t="shared" si="245"/>
        <v>0</v>
      </c>
      <c r="M614" s="12"/>
      <c r="N614" s="12"/>
      <c r="O614" s="12">
        <f t="shared" si="246"/>
        <v>700000</v>
      </c>
      <c r="P614" s="12">
        <v>700000</v>
      </c>
      <c r="Q614" s="12"/>
      <c r="R614" s="12">
        <f t="shared" si="247"/>
        <v>0</v>
      </c>
      <c r="S614" s="12"/>
      <c r="T614" s="12"/>
      <c r="U614" s="12">
        <f t="shared" si="248"/>
        <v>0</v>
      </c>
      <c r="V614" s="12"/>
      <c r="W614" s="12"/>
      <c r="X614" s="12">
        <f t="shared" si="249"/>
        <v>0</v>
      </c>
      <c r="Y614" s="12"/>
      <c r="Z614" s="12"/>
      <c r="AA614" s="13">
        <f t="shared" si="229"/>
        <v>0</v>
      </c>
      <c r="AB614" s="14">
        <v>46076</v>
      </c>
    </row>
    <row r="615" spans="1:28" ht="15.75" hidden="1" x14ac:dyDescent="0.25">
      <c r="A615" s="65">
        <v>46076</v>
      </c>
      <c r="B615" s="10" t="s">
        <v>368</v>
      </c>
      <c r="C615" s="10"/>
      <c r="D615" s="10" t="s">
        <v>383</v>
      </c>
      <c r="E615" s="10" t="s">
        <v>51</v>
      </c>
      <c r="F615" s="10">
        <v>3</v>
      </c>
      <c r="G615" s="10" t="s">
        <v>22</v>
      </c>
      <c r="H615" s="10">
        <v>400000</v>
      </c>
      <c r="I615" s="10">
        <f t="shared" si="228"/>
        <v>1200000</v>
      </c>
      <c r="J615" s="29" t="s">
        <v>113</v>
      </c>
      <c r="K615" s="10"/>
      <c r="L615" s="12">
        <f t="shared" si="245"/>
        <v>1200000</v>
      </c>
      <c r="M615" s="12">
        <v>1200000</v>
      </c>
      <c r="N615" s="12"/>
      <c r="O615" s="12">
        <f t="shared" si="246"/>
        <v>0</v>
      </c>
      <c r="P615" s="12"/>
      <c r="Q615" s="12"/>
      <c r="R615" s="12">
        <f t="shared" si="247"/>
        <v>0</v>
      </c>
      <c r="S615" s="12"/>
      <c r="T615" s="12"/>
      <c r="U615" s="12">
        <f t="shared" si="248"/>
        <v>0</v>
      </c>
      <c r="V615" s="12"/>
      <c r="W615" s="12"/>
      <c r="X615" s="12">
        <f t="shared" si="249"/>
        <v>0</v>
      </c>
      <c r="Y615" s="12"/>
      <c r="Z615" s="12"/>
      <c r="AA615" s="13">
        <f t="shared" si="229"/>
        <v>0</v>
      </c>
      <c r="AB615" s="14">
        <v>46077</v>
      </c>
    </row>
    <row r="616" spans="1:28" ht="15.75" hidden="1" x14ac:dyDescent="0.25">
      <c r="A616" s="65">
        <v>46076</v>
      </c>
      <c r="B616" s="10" t="s">
        <v>515</v>
      </c>
      <c r="C616" s="10"/>
      <c r="D616" s="10" t="s">
        <v>383</v>
      </c>
      <c r="E616" s="10" t="s">
        <v>116</v>
      </c>
      <c r="F616" s="10">
        <v>24</v>
      </c>
      <c r="G616" s="10" t="s">
        <v>67</v>
      </c>
      <c r="H616" s="10">
        <v>60000</v>
      </c>
      <c r="I616" s="10">
        <f t="shared" si="228"/>
        <v>1440000</v>
      </c>
      <c r="J616" s="29" t="s">
        <v>110</v>
      </c>
      <c r="K616" s="10" t="s">
        <v>517</v>
      </c>
      <c r="L616" s="12">
        <f t="shared" si="245"/>
        <v>0</v>
      </c>
      <c r="M616" s="12"/>
      <c r="N616" s="12"/>
      <c r="O616" s="12">
        <f t="shared" si="246"/>
        <v>1440000</v>
      </c>
      <c r="P616" s="12">
        <v>1440000</v>
      </c>
      <c r="Q616" s="12"/>
      <c r="R616" s="12">
        <f t="shared" si="247"/>
        <v>0</v>
      </c>
      <c r="S616" s="12"/>
      <c r="T616" s="12"/>
      <c r="U616" s="12">
        <f t="shared" si="248"/>
        <v>0</v>
      </c>
      <c r="V616" s="12"/>
      <c r="W616" s="12"/>
      <c r="X616" s="12">
        <f t="shared" si="249"/>
        <v>0</v>
      </c>
      <c r="Y616" s="12"/>
      <c r="Z616" s="12"/>
      <c r="AA616" s="13">
        <f t="shared" si="229"/>
        <v>0</v>
      </c>
      <c r="AB616" s="14">
        <v>46076</v>
      </c>
    </row>
    <row r="617" spans="1:28" ht="15.75" hidden="1" x14ac:dyDescent="0.25">
      <c r="A617" s="65">
        <v>46076</v>
      </c>
      <c r="B617" s="10" t="s">
        <v>515</v>
      </c>
      <c r="C617" s="10"/>
      <c r="D617" s="10" t="s">
        <v>383</v>
      </c>
      <c r="E617" s="10" t="s">
        <v>117</v>
      </c>
      <c r="F617" s="10">
        <v>20</v>
      </c>
      <c r="G617" s="10" t="s">
        <v>36</v>
      </c>
      <c r="H617" s="10">
        <v>65000</v>
      </c>
      <c r="I617" s="10">
        <f t="shared" si="228"/>
        <v>1300000</v>
      </c>
      <c r="J617" s="29" t="s">
        <v>110</v>
      </c>
      <c r="K617" s="10" t="s">
        <v>517</v>
      </c>
      <c r="L617" s="12">
        <f t="shared" si="245"/>
        <v>0</v>
      </c>
      <c r="M617" s="12"/>
      <c r="N617" s="12"/>
      <c r="O617" s="12">
        <f t="shared" si="246"/>
        <v>1300000</v>
      </c>
      <c r="P617" s="12">
        <v>1300000</v>
      </c>
      <c r="Q617" s="12"/>
      <c r="R617" s="12">
        <f t="shared" si="247"/>
        <v>0</v>
      </c>
      <c r="S617" s="12"/>
      <c r="T617" s="12"/>
      <c r="U617" s="12">
        <f t="shared" si="248"/>
        <v>0</v>
      </c>
      <c r="V617" s="12"/>
      <c r="W617" s="12"/>
      <c r="X617" s="12">
        <f t="shared" si="249"/>
        <v>0</v>
      </c>
      <c r="Y617" s="12"/>
      <c r="Z617" s="12"/>
      <c r="AA617" s="13">
        <f t="shared" si="229"/>
        <v>0</v>
      </c>
      <c r="AB617" s="14">
        <v>46076</v>
      </c>
    </row>
    <row r="618" spans="1:28" ht="15.75" hidden="1" x14ac:dyDescent="0.25">
      <c r="A618" s="65">
        <v>46076</v>
      </c>
      <c r="B618" s="10" t="s">
        <v>515</v>
      </c>
      <c r="C618" s="10"/>
      <c r="D618" s="10" t="s">
        <v>383</v>
      </c>
      <c r="E618" s="10" t="s">
        <v>131</v>
      </c>
      <c r="F618" s="10">
        <v>100</v>
      </c>
      <c r="G618" s="10" t="s">
        <v>36</v>
      </c>
      <c r="H618" s="10">
        <v>86100</v>
      </c>
      <c r="I618" s="10">
        <f t="shared" si="228"/>
        <v>8610000</v>
      </c>
      <c r="J618" s="29" t="s">
        <v>110</v>
      </c>
      <c r="K618" s="10" t="s">
        <v>517</v>
      </c>
      <c r="L618" s="12">
        <f t="shared" si="245"/>
        <v>0</v>
      </c>
      <c r="M618" s="12"/>
      <c r="N618" s="12"/>
      <c r="O618" s="12">
        <f t="shared" si="246"/>
        <v>8610000</v>
      </c>
      <c r="P618" s="12">
        <v>8610000</v>
      </c>
      <c r="Q618" s="12"/>
      <c r="R618" s="12">
        <f t="shared" si="247"/>
        <v>0</v>
      </c>
      <c r="S618" s="12"/>
      <c r="T618" s="12"/>
      <c r="U618" s="12">
        <f t="shared" si="248"/>
        <v>0</v>
      </c>
      <c r="V618" s="12"/>
      <c r="W618" s="12"/>
      <c r="X618" s="12">
        <f t="shared" si="249"/>
        <v>0</v>
      </c>
      <c r="Y618" s="12"/>
      <c r="Z618" s="12"/>
      <c r="AA618" s="13">
        <f t="shared" si="229"/>
        <v>0</v>
      </c>
      <c r="AB618" s="14">
        <v>46076</v>
      </c>
    </row>
    <row r="619" spans="1:28" ht="15.75" hidden="1" x14ac:dyDescent="0.25">
      <c r="A619" s="65">
        <v>46076</v>
      </c>
      <c r="B619" s="10" t="s">
        <v>515</v>
      </c>
      <c r="C619" s="10"/>
      <c r="D619" s="10" t="s">
        <v>383</v>
      </c>
      <c r="E619" s="10" t="s">
        <v>88</v>
      </c>
      <c r="F619" s="10">
        <v>400</v>
      </c>
      <c r="G619" s="10" t="s">
        <v>36</v>
      </c>
      <c r="H619" s="10">
        <v>86100</v>
      </c>
      <c r="I619" s="10">
        <f t="shared" si="228"/>
        <v>34440000</v>
      </c>
      <c r="J619" s="29" t="s">
        <v>110</v>
      </c>
      <c r="K619" s="10" t="s">
        <v>517</v>
      </c>
      <c r="L619" s="12">
        <f t="shared" si="245"/>
        <v>0</v>
      </c>
      <c r="M619" s="12"/>
      <c r="N619" s="12"/>
      <c r="O619" s="12">
        <f t="shared" si="246"/>
        <v>34440000</v>
      </c>
      <c r="P619" s="12">
        <v>34440000</v>
      </c>
      <c r="Q619" s="12"/>
      <c r="R619" s="12">
        <f t="shared" si="247"/>
        <v>0</v>
      </c>
      <c r="S619" s="12"/>
      <c r="T619" s="12"/>
      <c r="U619" s="12">
        <f t="shared" si="248"/>
        <v>0</v>
      </c>
      <c r="V619" s="12"/>
      <c r="W619" s="12"/>
      <c r="X619" s="12">
        <f t="shared" si="249"/>
        <v>0</v>
      </c>
      <c r="Y619" s="12"/>
      <c r="Z619" s="12"/>
      <c r="AA619" s="13">
        <f t="shared" si="229"/>
        <v>0</v>
      </c>
      <c r="AB619" s="14">
        <v>46076</v>
      </c>
    </row>
    <row r="620" spans="1:28" ht="15.75" hidden="1" x14ac:dyDescent="0.25">
      <c r="A620" s="65">
        <v>46076</v>
      </c>
      <c r="B620" s="10" t="s">
        <v>278</v>
      </c>
      <c r="C620" s="10"/>
      <c r="D620" s="10" t="s">
        <v>195</v>
      </c>
      <c r="E620" s="10" t="s">
        <v>114</v>
      </c>
      <c r="F620" s="10">
        <v>40</v>
      </c>
      <c r="G620" s="10" t="s">
        <v>67</v>
      </c>
      <c r="H620" s="10">
        <v>50000</v>
      </c>
      <c r="I620" s="10">
        <f t="shared" si="228"/>
        <v>2000000</v>
      </c>
      <c r="J620" s="29" t="s">
        <v>113</v>
      </c>
      <c r="K620" s="10"/>
      <c r="L620" s="12">
        <f t="shared" si="245"/>
        <v>0</v>
      </c>
      <c r="M620" s="12"/>
      <c r="N620" s="12"/>
      <c r="O620" s="12">
        <f t="shared" si="246"/>
        <v>0</v>
      </c>
      <c r="P620" s="12"/>
      <c r="Q620" s="12"/>
      <c r="R620" s="12">
        <f t="shared" si="247"/>
        <v>0</v>
      </c>
      <c r="S620" s="12"/>
      <c r="T620" s="12"/>
      <c r="U620" s="12">
        <f t="shared" si="248"/>
        <v>2000000</v>
      </c>
      <c r="V620" s="12">
        <v>2000000</v>
      </c>
      <c r="W620" s="12"/>
      <c r="X620" s="12">
        <f t="shared" si="249"/>
        <v>0</v>
      </c>
      <c r="Y620" s="12"/>
      <c r="Z620" s="12"/>
      <c r="AA620" s="13">
        <f t="shared" si="229"/>
        <v>0</v>
      </c>
      <c r="AB620" s="14">
        <v>46076</v>
      </c>
    </row>
    <row r="621" spans="1:28" ht="15.75" hidden="1" x14ac:dyDescent="0.25">
      <c r="A621" s="65">
        <v>46076</v>
      </c>
      <c r="B621" s="10" t="s">
        <v>278</v>
      </c>
      <c r="C621" s="10"/>
      <c r="D621" s="10" t="s">
        <v>195</v>
      </c>
      <c r="E621" s="10" t="s">
        <v>116</v>
      </c>
      <c r="F621" s="10">
        <v>8</v>
      </c>
      <c r="G621" s="10" t="s">
        <v>67</v>
      </c>
      <c r="H621" s="10">
        <v>65000</v>
      </c>
      <c r="I621" s="10">
        <f t="shared" si="228"/>
        <v>520000</v>
      </c>
      <c r="J621" s="29" t="s">
        <v>113</v>
      </c>
      <c r="K621" s="10"/>
      <c r="L621" s="12">
        <f t="shared" si="245"/>
        <v>0</v>
      </c>
      <c r="M621" s="12"/>
      <c r="N621" s="12"/>
      <c r="O621" s="12">
        <f t="shared" si="246"/>
        <v>0</v>
      </c>
      <c r="P621" s="12"/>
      <c r="Q621" s="12"/>
      <c r="R621" s="12">
        <f t="shared" si="247"/>
        <v>0</v>
      </c>
      <c r="S621" s="12"/>
      <c r="T621" s="12"/>
      <c r="U621" s="12">
        <f t="shared" si="248"/>
        <v>520000</v>
      </c>
      <c r="V621" s="12">
        <v>520000</v>
      </c>
      <c r="W621" s="12"/>
      <c r="X621" s="12">
        <f t="shared" si="249"/>
        <v>0</v>
      </c>
      <c r="Y621" s="12"/>
      <c r="Z621" s="12"/>
      <c r="AA621" s="13">
        <f t="shared" si="229"/>
        <v>0</v>
      </c>
      <c r="AB621" s="14">
        <v>46076</v>
      </c>
    </row>
    <row r="622" spans="1:28" ht="15.75" x14ac:dyDescent="0.25">
      <c r="A622" s="65">
        <v>46076</v>
      </c>
      <c r="B622" s="10" t="s">
        <v>272</v>
      </c>
      <c r="C622" s="10"/>
      <c r="D622" s="10"/>
      <c r="E622" s="10" t="s">
        <v>315</v>
      </c>
      <c r="F622" s="10">
        <v>53.8</v>
      </c>
      <c r="G622" s="10" t="s">
        <v>36</v>
      </c>
      <c r="H622" s="10">
        <v>43000</v>
      </c>
      <c r="I622" s="10">
        <f t="shared" si="228"/>
        <v>2313400</v>
      </c>
      <c r="J622" s="115" t="s">
        <v>90</v>
      </c>
      <c r="K622" s="10"/>
      <c r="L622" s="12">
        <f t="shared" ref="L622" si="250">M622+N622</f>
        <v>0</v>
      </c>
      <c r="M622" s="12"/>
      <c r="N622" s="12"/>
      <c r="O622" s="12">
        <f t="shared" ref="O622" si="251">P622+Q622</f>
        <v>0</v>
      </c>
      <c r="P622" s="12"/>
      <c r="Q622" s="12"/>
      <c r="R622" s="12">
        <f t="shared" ref="R622" si="252">S622+T622</f>
        <v>0</v>
      </c>
      <c r="S622" s="12"/>
      <c r="T622" s="12"/>
      <c r="U622" s="12">
        <f t="shared" ref="U622" si="253">V622+W622</f>
        <v>0</v>
      </c>
      <c r="V622" s="12"/>
      <c r="W622" s="12"/>
      <c r="X622" s="12">
        <f t="shared" ref="X622" si="254">Y622+Z622</f>
        <v>0</v>
      </c>
      <c r="Y622" s="12"/>
      <c r="Z622" s="12"/>
      <c r="AA622" s="13">
        <f t="shared" si="229"/>
        <v>2313400</v>
      </c>
      <c r="AB622" s="14"/>
    </row>
    <row r="623" spans="1:28" ht="15.75" hidden="1" x14ac:dyDescent="0.25">
      <c r="A623" s="28">
        <v>46076</v>
      </c>
      <c r="B623" s="10" t="s">
        <v>270</v>
      </c>
      <c r="C623" s="10"/>
      <c r="D623" s="10" t="s">
        <v>195</v>
      </c>
      <c r="E623" s="10" t="s">
        <v>104</v>
      </c>
      <c r="F623" s="10">
        <v>200</v>
      </c>
      <c r="G623" s="10" t="s">
        <v>26</v>
      </c>
      <c r="H623" s="10">
        <v>2000</v>
      </c>
      <c r="I623" s="10">
        <f t="shared" si="228"/>
        <v>400000</v>
      </c>
      <c r="J623" s="29" t="s">
        <v>110</v>
      </c>
      <c r="K623" s="10" t="s">
        <v>519</v>
      </c>
      <c r="L623" s="12">
        <f t="shared" ref="L623:L624" si="255">M623+N623</f>
        <v>0</v>
      </c>
      <c r="M623" s="12"/>
      <c r="N623" s="12"/>
      <c r="O623" s="12">
        <f t="shared" ref="O623:O624" si="256">P623+Q623</f>
        <v>400000</v>
      </c>
      <c r="P623" s="12">
        <v>400000</v>
      </c>
      <c r="Q623" s="12"/>
      <c r="R623" s="12">
        <f t="shared" ref="R623:R624" si="257">S623+T623</f>
        <v>0</v>
      </c>
      <c r="S623" s="12"/>
      <c r="T623" s="12"/>
      <c r="U623" s="12">
        <f t="shared" ref="U623:U624" si="258">V623+W623</f>
        <v>0</v>
      </c>
      <c r="V623" s="12"/>
      <c r="W623" s="12"/>
      <c r="X623" s="12">
        <f t="shared" ref="X623:X624" si="259">Y623+Z623</f>
        <v>0</v>
      </c>
      <c r="Y623" s="12"/>
      <c r="Z623" s="12"/>
      <c r="AA623" s="13">
        <f t="shared" si="229"/>
        <v>0</v>
      </c>
      <c r="AB623" s="14">
        <v>46076</v>
      </c>
    </row>
    <row r="624" spans="1:28" ht="15.75" hidden="1" x14ac:dyDescent="0.25">
      <c r="A624" s="65">
        <v>46076</v>
      </c>
      <c r="B624" s="10" t="s">
        <v>516</v>
      </c>
      <c r="C624" s="10"/>
      <c r="D624" s="10" t="s">
        <v>195</v>
      </c>
      <c r="E624" s="10" t="s">
        <v>130</v>
      </c>
      <c r="F624" s="10">
        <v>10</v>
      </c>
      <c r="G624" s="10" t="s">
        <v>67</v>
      </c>
      <c r="H624" s="10">
        <v>50000</v>
      </c>
      <c r="I624" s="10">
        <f t="shared" si="228"/>
        <v>500000</v>
      </c>
      <c r="J624" s="29" t="s">
        <v>110</v>
      </c>
      <c r="K624" s="10" t="s">
        <v>520</v>
      </c>
      <c r="L624" s="12">
        <f t="shared" si="255"/>
        <v>0</v>
      </c>
      <c r="M624" s="12"/>
      <c r="N624" s="12"/>
      <c r="O624" s="12">
        <f t="shared" si="256"/>
        <v>500000</v>
      </c>
      <c r="P624" s="12">
        <v>500000</v>
      </c>
      <c r="Q624" s="12"/>
      <c r="R624" s="12">
        <f t="shared" si="257"/>
        <v>0</v>
      </c>
      <c r="S624" s="12"/>
      <c r="T624" s="12"/>
      <c r="U624" s="12">
        <f t="shared" si="258"/>
        <v>0</v>
      </c>
      <c r="V624" s="12"/>
      <c r="W624" s="12"/>
      <c r="X624" s="12">
        <f t="shared" si="259"/>
        <v>0</v>
      </c>
      <c r="Y624" s="12"/>
      <c r="Z624" s="12"/>
      <c r="AA624" s="13">
        <f t="shared" si="229"/>
        <v>0</v>
      </c>
      <c r="AB624" s="14">
        <v>46076</v>
      </c>
    </row>
    <row r="625" spans="1:28" ht="16.5" hidden="1" thickBot="1" x14ac:dyDescent="0.3">
      <c r="A625" s="53">
        <v>46076</v>
      </c>
      <c r="B625" s="31" t="s">
        <v>163</v>
      </c>
      <c r="C625" s="31"/>
      <c r="D625" s="31" t="s">
        <v>383</v>
      </c>
      <c r="E625" s="31" t="s">
        <v>70</v>
      </c>
      <c r="F625" s="31">
        <v>420</v>
      </c>
      <c r="G625" s="31" t="s">
        <v>36</v>
      </c>
      <c r="H625" s="31">
        <v>54000</v>
      </c>
      <c r="I625" s="31">
        <f t="shared" si="228"/>
        <v>22680000</v>
      </c>
      <c r="J625" s="51" t="s">
        <v>110</v>
      </c>
      <c r="K625" s="31" t="s">
        <v>531</v>
      </c>
      <c r="L625" s="34">
        <f t="shared" ref="L625:L626" si="260">M625+N625</f>
        <v>0</v>
      </c>
      <c r="M625" s="34"/>
      <c r="N625" s="34"/>
      <c r="O625" s="34">
        <f t="shared" ref="O625:O626" si="261">P625+Q625</f>
        <v>22680000</v>
      </c>
      <c r="P625" s="34">
        <v>22680000</v>
      </c>
      <c r="Q625" s="34"/>
      <c r="R625" s="34">
        <f t="shared" ref="R625:R626" si="262">S625+T625</f>
        <v>0</v>
      </c>
      <c r="S625" s="34"/>
      <c r="T625" s="34"/>
      <c r="U625" s="34">
        <f t="shared" ref="U625:U626" si="263">V625+W625</f>
        <v>0</v>
      </c>
      <c r="V625" s="34"/>
      <c r="W625" s="34"/>
      <c r="X625" s="34">
        <f t="shared" ref="X625:X626" si="264">Y625+Z625</f>
        <v>0</v>
      </c>
      <c r="Y625" s="34"/>
      <c r="Z625" s="34"/>
      <c r="AA625" s="35">
        <f t="shared" si="229"/>
        <v>0</v>
      </c>
      <c r="AB625" s="36">
        <v>46079</v>
      </c>
    </row>
    <row r="626" spans="1:28" ht="15.75" hidden="1" x14ac:dyDescent="0.25">
      <c r="A626" s="65">
        <v>46077</v>
      </c>
      <c r="B626" s="66" t="s">
        <v>55</v>
      </c>
      <c r="C626" s="66"/>
      <c r="D626" s="66" t="s">
        <v>195</v>
      </c>
      <c r="E626" s="66" t="s">
        <v>104</v>
      </c>
      <c r="F626" s="66">
        <v>2000</v>
      </c>
      <c r="G626" s="66" t="s">
        <v>26</v>
      </c>
      <c r="H626" s="66">
        <v>2000</v>
      </c>
      <c r="I626" s="10">
        <f t="shared" si="228"/>
        <v>4000000</v>
      </c>
      <c r="J626" s="84" t="s">
        <v>110</v>
      </c>
      <c r="K626" s="10" t="s">
        <v>527</v>
      </c>
      <c r="L626" s="12">
        <f t="shared" si="260"/>
        <v>0</v>
      </c>
      <c r="M626" s="12"/>
      <c r="N626" s="12"/>
      <c r="O626" s="12">
        <f t="shared" si="261"/>
        <v>4000000</v>
      </c>
      <c r="P626" s="12">
        <v>4000000</v>
      </c>
      <c r="Q626" s="12"/>
      <c r="R626" s="12">
        <f t="shared" si="262"/>
        <v>0</v>
      </c>
      <c r="S626" s="12"/>
      <c r="T626" s="12"/>
      <c r="U626" s="12">
        <f t="shared" si="263"/>
        <v>0</v>
      </c>
      <c r="V626" s="12"/>
      <c r="W626" s="12"/>
      <c r="X626" s="12">
        <f t="shared" si="264"/>
        <v>0</v>
      </c>
      <c r="Y626" s="12"/>
      <c r="Z626" s="12"/>
      <c r="AA626" s="13">
        <f t="shared" si="229"/>
        <v>0</v>
      </c>
      <c r="AB626" s="14">
        <v>46076</v>
      </c>
    </row>
    <row r="627" spans="1:28" ht="15.75" hidden="1" x14ac:dyDescent="0.25">
      <c r="A627" s="65">
        <v>46077</v>
      </c>
      <c r="B627" s="10" t="s">
        <v>106</v>
      </c>
      <c r="C627" s="10"/>
      <c r="D627" s="66" t="s">
        <v>195</v>
      </c>
      <c r="E627" s="10" t="s">
        <v>298</v>
      </c>
      <c r="F627" s="10">
        <v>1</v>
      </c>
      <c r="G627" s="10" t="s">
        <v>61</v>
      </c>
      <c r="H627" s="10">
        <v>230000</v>
      </c>
      <c r="I627" s="10">
        <f t="shared" si="228"/>
        <v>230000</v>
      </c>
      <c r="J627" s="84" t="s">
        <v>113</v>
      </c>
      <c r="K627" s="10"/>
      <c r="L627" s="12">
        <f t="shared" ref="L627:L637" si="265">M627+N627</f>
        <v>0</v>
      </c>
      <c r="M627" s="12"/>
      <c r="N627" s="12"/>
      <c r="O627" s="12">
        <f t="shared" ref="O627:O637" si="266">P627+Q627</f>
        <v>0</v>
      </c>
      <c r="P627" s="12"/>
      <c r="Q627" s="12"/>
      <c r="R627" s="12">
        <f t="shared" ref="R627:R637" si="267">S627+T627</f>
        <v>0</v>
      </c>
      <c r="S627" s="12"/>
      <c r="T627" s="12"/>
      <c r="U627" s="12">
        <f t="shared" ref="U627:U637" si="268">V627+W627</f>
        <v>230000</v>
      </c>
      <c r="V627" s="12">
        <v>230000</v>
      </c>
      <c r="W627" s="12"/>
      <c r="X627" s="12">
        <f t="shared" ref="X627:X637" si="269">Y627+Z627</f>
        <v>0</v>
      </c>
      <c r="Y627" s="12"/>
      <c r="Z627" s="12"/>
      <c r="AA627" s="13">
        <f t="shared" si="229"/>
        <v>0</v>
      </c>
      <c r="AB627" s="14">
        <v>46077</v>
      </c>
    </row>
    <row r="628" spans="1:28" ht="15.75" hidden="1" x14ac:dyDescent="0.25">
      <c r="A628" s="65">
        <v>46077</v>
      </c>
      <c r="B628" s="10" t="s">
        <v>465</v>
      </c>
      <c r="C628" s="10"/>
      <c r="D628" s="66" t="s">
        <v>195</v>
      </c>
      <c r="E628" s="10" t="s">
        <v>191</v>
      </c>
      <c r="F628" s="10">
        <v>3</v>
      </c>
      <c r="G628" s="10" t="s">
        <v>192</v>
      </c>
      <c r="H628" s="10">
        <v>1200000</v>
      </c>
      <c r="I628" s="10">
        <f t="shared" si="228"/>
        <v>3600000</v>
      </c>
      <c r="J628" s="84" t="s">
        <v>110</v>
      </c>
      <c r="K628" s="10" t="s">
        <v>528</v>
      </c>
      <c r="L628" s="12">
        <f t="shared" si="265"/>
        <v>0</v>
      </c>
      <c r="M628" s="12"/>
      <c r="N628" s="12"/>
      <c r="O628" s="12">
        <f t="shared" si="266"/>
        <v>3600000</v>
      </c>
      <c r="P628" s="12">
        <v>3600000</v>
      </c>
      <c r="Q628" s="12"/>
      <c r="R628" s="12">
        <f t="shared" si="267"/>
        <v>0</v>
      </c>
      <c r="S628" s="12"/>
      <c r="T628" s="12"/>
      <c r="U628" s="12">
        <f t="shared" si="268"/>
        <v>0</v>
      </c>
      <c r="V628" s="12"/>
      <c r="W628" s="12"/>
      <c r="X628" s="12">
        <f t="shared" si="269"/>
        <v>0</v>
      </c>
      <c r="Y628" s="12"/>
      <c r="Z628" s="12"/>
      <c r="AA628" s="13">
        <f t="shared" si="229"/>
        <v>0</v>
      </c>
      <c r="AB628" s="14">
        <v>46077</v>
      </c>
    </row>
    <row r="629" spans="1:28" ht="15.75" hidden="1" x14ac:dyDescent="0.25">
      <c r="A629" s="65">
        <v>46077</v>
      </c>
      <c r="B629" s="10" t="s">
        <v>525</v>
      </c>
      <c r="C629" s="10"/>
      <c r="D629" s="66" t="s">
        <v>195</v>
      </c>
      <c r="E629" s="10" t="s">
        <v>38</v>
      </c>
      <c r="F629" s="10">
        <v>2</v>
      </c>
      <c r="G629" s="10" t="s">
        <v>39</v>
      </c>
      <c r="H629" s="10">
        <v>45000</v>
      </c>
      <c r="I629" s="10">
        <f t="shared" si="228"/>
        <v>90000</v>
      </c>
      <c r="J629" s="29" t="s">
        <v>113</v>
      </c>
      <c r="K629" s="10"/>
      <c r="L629" s="12">
        <f t="shared" si="265"/>
        <v>0</v>
      </c>
      <c r="M629" s="12"/>
      <c r="N629" s="12"/>
      <c r="O629" s="12">
        <f t="shared" si="266"/>
        <v>0</v>
      </c>
      <c r="P629" s="12"/>
      <c r="Q629" s="12"/>
      <c r="R629" s="12">
        <f t="shared" si="267"/>
        <v>0</v>
      </c>
      <c r="S629" s="12"/>
      <c r="T629" s="12"/>
      <c r="U629" s="12">
        <f t="shared" si="268"/>
        <v>90000</v>
      </c>
      <c r="V629" s="12">
        <v>90000</v>
      </c>
      <c r="W629" s="12"/>
      <c r="X629" s="12">
        <f t="shared" si="269"/>
        <v>0</v>
      </c>
      <c r="Y629" s="12"/>
      <c r="Z629" s="12"/>
      <c r="AA629" s="13">
        <f t="shared" si="229"/>
        <v>0</v>
      </c>
      <c r="AB629" s="14">
        <v>46077</v>
      </c>
    </row>
    <row r="630" spans="1:28" ht="15.75" hidden="1" x14ac:dyDescent="0.25">
      <c r="A630" s="65">
        <v>46077</v>
      </c>
      <c r="B630" s="10" t="s">
        <v>53</v>
      </c>
      <c r="C630" s="10"/>
      <c r="D630" s="10" t="s">
        <v>383</v>
      </c>
      <c r="E630" s="10" t="s">
        <v>307</v>
      </c>
      <c r="F630" s="10">
        <v>135</v>
      </c>
      <c r="G630" s="10" t="s">
        <v>36</v>
      </c>
      <c r="H630" s="10">
        <v>43000</v>
      </c>
      <c r="I630" s="10">
        <f t="shared" si="228"/>
        <v>5805000</v>
      </c>
      <c r="J630" s="52" t="s">
        <v>90</v>
      </c>
      <c r="K630" s="10" t="s">
        <v>530</v>
      </c>
      <c r="L630" s="12">
        <f t="shared" si="265"/>
        <v>0</v>
      </c>
      <c r="M630" s="12"/>
      <c r="N630" s="12"/>
      <c r="O630" s="12">
        <f t="shared" si="266"/>
        <v>0</v>
      </c>
      <c r="P630" s="12"/>
      <c r="Q630" s="12"/>
      <c r="R630" s="12">
        <f t="shared" si="267"/>
        <v>0</v>
      </c>
      <c r="S630" s="12"/>
      <c r="T630" s="12"/>
      <c r="U630" s="12">
        <f t="shared" si="268"/>
        <v>0</v>
      </c>
      <c r="V630" s="12"/>
      <c r="W630" s="12"/>
      <c r="X630" s="12">
        <f t="shared" si="269"/>
        <v>0</v>
      </c>
      <c r="Y630" s="12"/>
      <c r="Z630" s="12"/>
      <c r="AA630" s="13">
        <f t="shared" si="229"/>
        <v>5805000</v>
      </c>
      <c r="AB630" s="14"/>
    </row>
    <row r="631" spans="1:28" ht="15.75" hidden="1" x14ac:dyDescent="0.25">
      <c r="A631" s="65">
        <v>46077</v>
      </c>
      <c r="B631" s="10" t="s">
        <v>109</v>
      </c>
      <c r="C631" s="10"/>
      <c r="D631" s="10" t="s">
        <v>383</v>
      </c>
      <c r="E631" s="10" t="s">
        <v>134</v>
      </c>
      <c r="F631" s="10">
        <v>1</v>
      </c>
      <c r="G631" s="10" t="s">
        <v>26</v>
      </c>
      <c r="H631" s="10">
        <v>75000</v>
      </c>
      <c r="I631" s="10">
        <f t="shared" si="228"/>
        <v>75000</v>
      </c>
      <c r="J631" s="29" t="s">
        <v>113</v>
      </c>
      <c r="K631" s="10"/>
      <c r="L631" s="12">
        <f t="shared" si="265"/>
        <v>75000</v>
      </c>
      <c r="M631" s="12">
        <v>75000</v>
      </c>
      <c r="N631" s="12"/>
      <c r="O631" s="12">
        <f t="shared" si="266"/>
        <v>0</v>
      </c>
      <c r="P631" s="12"/>
      <c r="Q631" s="12"/>
      <c r="R631" s="12">
        <f t="shared" si="267"/>
        <v>0</v>
      </c>
      <c r="S631" s="12"/>
      <c r="T631" s="12"/>
      <c r="U631" s="12">
        <f t="shared" si="268"/>
        <v>0</v>
      </c>
      <c r="V631" s="12"/>
      <c r="W631" s="12"/>
      <c r="X631" s="12">
        <f t="shared" si="269"/>
        <v>0</v>
      </c>
      <c r="Y631" s="12"/>
      <c r="Z631" s="12"/>
      <c r="AA631" s="13">
        <f t="shared" si="229"/>
        <v>0</v>
      </c>
      <c r="AB631" s="14"/>
    </row>
    <row r="632" spans="1:28" ht="15.75" hidden="1" x14ac:dyDescent="0.25">
      <c r="A632" s="65">
        <v>46077</v>
      </c>
      <c r="B632" s="10" t="s">
        <v>109</v>
      </c>
      <c r="C632" s="10"/>
      <c r="D632" s="10" t="s">
        <v>383</v>
      </c>
      <c r="E632" s="10" t="s">
        <v>112</v>
      </c>
      <c r="F632" s="10">
        <v>1</v>
      </c>
      <c r="G632" s="10" t="s">
        <v>26</v>
      </c>
      <c r="H632" s="10">
        <v>95000</v>
      </c>
      <c r="I632" s="10">
        <f t="shared" si="228"/>
        <v>95000</v>
      </c>
      <c r="J632" s="29" t="s">
        <v>113</v>
      </c>
      <c r="K632" s="10"/>
      <c r="L632" s="12">
        <f t="shared" si="265"/>
        <v>95000</v>
      </c>
      <c r="M632" s="12">
        <v>95000</v>
      </c>
      <c r="N632" s="12"/>
      <c r="O632" s="12">
        <f t="shared" si="266"/>
        <v>0</v>
      </c>
      <c r="P632" s="12"/>
      <c r="Q632" s="12"/>
      <c r="R632" s="12">
        <f t="shared" si="267"/>
        <v>0</v>
      </c>
      <c r="S632" s="12"/>
      <c r="T632" s="12"/>
      <c r="U632" s="12">
        <f t="shared" si="268"/>
        <v>0</v>
      </c>
      <c r="V632" s="12"/>
      <c r="W632" s="12"/>
      <c r="X632" s="12">
        <f t="shared" si="269"/>
        <v>0</v>
      </c>
      <c r="Y632" s="12"/>
      <c r="Z632" s="12"/>
      <c r="AA632" s="13">
        <f t="shared" si="229"/>
        <v>0</v>
      </c>
      <c r="AB632" s="14"/>
    </row>
    <row r="633" spans="1:28" ht="15.75" hidden="1" x14ac:dyDescent="0.25">
      <c r="A633" s="65">
        <v>46077</v>
      </c>
      <c r="B633" s="10" t="s">
        <v>473</v>
      </c>
      <c r="C633" s="10"/>
      <c r="D633" s="10" t="s">
        <v>195</v>
      </c>
      <c r="E633" s="10" t="s">
        <v>271</v>
      </c>
      <c r="F633" s="10">
        <v>1</v>
      </c>
      <c r="G633" s="10" t="s">
        <v>36</v>
      </c>
      <c r="H633" s="10">
        <v>170000</v>
      </c>
      <c r="I633" s="10">
        <f t="shared" si="228"/>
        <v>170000</v>
      </c>
      <c r="J633" s="29" t="s">
        <v>110</v>
      </c>
      <c r="K633" s="10" t="s">
        <v>529</v>
      </c>
      <c r="L633" s="12">
        <f t="shared" si="265"/>
        <v>0</v>
      </c>
      <c r="M633" s="12"/>
      <c r="N633" s="12"/>
      <c r="O633" s="12">
        <f t="shared" si="266"/>
        <v>170000</v>
      </c>
      <c r="P633" s="12">
        <v>170000</v>
      </c>
      <c r="Q633" s="12"/>
      <c r="R633" s="12">
        <f t="shared" si="267"/>
        <v>0</v>
      </c>
      <c r="S633" s="12"/>
      <c r="T633" s="12"/>
      <c r="U633" s="12">
        <f t="shared" si="268"/>
        <v>0</v>
      </c>
      <c r="V633" s="12"/>
      <c r="W633" s="12"/>
      <c r="X633" s="12">
        <f t="shared" si="269"/>
        <v>0</v>
      </c>
      <c r="Y633" s="12"/>
      <c r="Z633" s="12"/>
      <c r="AA633" s="13">
        <f t="shared" si="229"/>
        <v>0</v>
      </c>
      <c r="AB633" s="14">
        <v>46062</v>
      </c>
    </row>
    <row r="634" spans="1:28" ht="15.75" hidden="1" x14ac:dyDescent="0.25">
      <c r="A634" s="65">
        <v>46077</v>
      </c>
      <c r="B634" s="10" t="s">
        <v>473</v>
      </c>
      <c r="C634" s="10"/>
      <c r="D634" s="10" t="s">
        <v>195</v>
      </c>
      <c r="E634" s="10" t="s">
        <v>116</v>
      </c>
      <c r="F634" s="10">
        <v>12</v>
      </c>
      <c r="G634" s="10" t="s">
        <v>67</v>
      </c>
      <c r="H634" s="10">
        <v>65000</v>
      </c>
      <c r="I634" s="10">
        <f t="shared" si="228"/>
        <v>780000</v>
      </c>
      <c r="J634" s="29" t="s">
        <v>110</v>
      </c>
      <c r="K634" s="10" t="s">
        <v>529</v>
      </c>
      <c r="L634" s="12">
        <f t="shared" si="265"/>
        <v>0</v>
      </c>
      <c r="M634" s="12"/>
      <c r="N634" s="12"/>
      <c r="O634" s="12">
        <f t="shared" si="266"/>
        <v>780000</v>
      </c>
      <c r="P634" s="12">
        <v>780000</v>
      </c>
      <c r="Q634" s="12"/>
      <c r="R634" s="12">
        <f t="shared" si="267"/>
        <v>0</v>
      </c>
      <c r="S634" s="12"/>
      <c r="T634" s="12"/>
      <c r="U634" s="12">
        <f t="shared" si="268"/>
        <v>0</v>
      </c>
      <c r="V634" s="12"/>
      <c r="W634" s="12"/>
      <c r="X634" s="12">
        <f t="shared" si="269"/>
        <v>0</v>
      </c>
      <c r="Y634" s="12"/>
      <c r="Z634" s="12"/>
      <c r="AA634" s="13">
        <f t="shared" si="229"/>
        <v>0</v>
      </c>
      <c r="AB634" s="14">
        <v>46062</v>
      </c>
    </row>
    <row r="635" spans="1:28" ht="15.75" hidden="1" x14ac:dyDescent="0.25">
      <c r="A635" s="65">
        <v>46077</v>
      </c>
      <c r="B635" s="10" t="s">
        <v>178</v>
      </c>
      <c r="C635" s="10"/>
      <c r="D635" s="10" t="s">
        <v>195</v>
      </c>
      <c r="E635" s="10" t="s">
        <v>25</v>
      </c>
      <c r="F635" s="10">
        <v>200</v>
      </c>
      <c r="G635" s="10" t="s">
        <v>26</v>
      </c>
      <c r="H635" s="10">
        <v>2700</v>
      </c>
      <c r="I635" s="10">
        <f t="shared" si="228"/>
        <v>540000</v>
      </c>
      <c r="J635" s="29" t="s">
        <v>110</v>
      </c>
      <c r="K635" s="10" t="s">
        <v>526</v>
      </c>
      <c r="L635" s="12">
        <f t="shared" si="265"/>
        <v>0</v>
      </c>
      <c r="M635" s="12"/>
      <c r="N635" s="12"/>
      <c r="O635" s="12">
        <f t="shared" si="266"/>
        <v>540000</v>
      </c>
      <c r="P635" s="12">
        <v>540000</v>
      </c>
      <c r="Q635" s="12"/>
      <c r="R635" s="12">
        <f t="shared" si="267"/>
        <v>0</v>
      </c>
      <c r="S635" s="12"/>
      <c r="T635" s="12"/>
      <c r="U635" s="12">
        <f t="shared" si="268"/>
        <v>0</v>
      </c>
      <c r="V635" s="12"/>
      <c r="W635" s="12"/>
      <c r="X635" s="12">
        <f t="shared" si="269"/>
        <v>0</v>
      </c>
      <c r="Y635" s="12"/>
      <c r="Z635" s="12"/>
      <c r="AA635" s="13">
        <f t="shared" si="229"/>
        <v>0</v>
      </c>
      <c r="AB635" s="14">
        <v>46076</v>
      </c>
    </row>
    <row r="636" spans="1:28" ht="15.75" x14ac:dyDescent="0.25">
      <c r="A636" s="28">
        <v>46077</v>
      </c>
      <c r="B636" s="10" t="s">
        <v>272</v>
      </c>
      <c r="C636" s="10"/>
      <c r="D636" s="10"/>
      <c r="E636" s="10" t="s">
        <v>315</v>
      </c>
      <c r="F636" s="10">
        <v>161.30000000000001</v>
      </c>
      <c r="G636" s="10" t="s">
        <v>36</v>
      </c>
      <c r="H636" s="10">
        <v>43000</v>
      </c>
      <c r="I636" s="10">
        <f t="shared" si="228"/>
        <v>6935900.0000000009</v>
      </c>
      <c r="J636" s="115" t="s">
        <v>90</v>
      </c>
      <c r="K636" s="10"/>
      <c r="L636" s="12">
        <f t="shared" si="265"/>
        <v>0</v>
      </c>
      <c r="M636" s="12"/>
      <c r="N636" s="12"/>
      <c r="O636" s="12">
        <f t="shared" si="266"/>
        <v>0</v>
      </c>
      <c r="P636" s="12"/>
      <c r="Q636" s="12"/>
      <c r="R636" s="12">
        <f t="shared" si="267"/>
        <v>0</v>
      </c>
      <c r="S636" s="12"/>
      <c r="T636" s="12"/>
      <c r="U636" s="12">
        <f t="shared" si="268"/>
        <v>0</v>
      </c>
      <c r="V636" s="12"/>
      <c r="W636" s="12"/>
      <c r="X636" s="12">
        <f t="shared" si="269"/>
        <v>0</v>
      </c>
      <c r="Y636" s="12"/>
      <c r="Z636" s="12"/>
      <c r="AA636" s="13">
        <f t="shared" si="229"/>
        <v>6935900.0000000009</v>
      </c>
      <c r="AB636" s="14"/>
    </row>
    <row r="637" spans="1:28" ht="15.75" x14ac:dyDescent="0.25">
      <c r="A637" s="65">
        <v>46077</v>
      </c>
      <c r="B637" s="10" t="s">
        <v>272</v>
      </c>
      <c r="C637" s="10"/>
      <c r="D637" s="10"/>
      <c r="E637" s="10" t="s">
        <v>198</v>
      </c>
      <c r="F637" s="10">
        <v>33.6</v>
      </c>
      <c r="G637" s="10" t="s">
        <v>36</v>
      </c>
      <c r="H637" s="10">
        <v>43000</v>
      </c>
      <c r="I637" s="10">
        <f t="shared" si="228"/>
        <v>1444800</v>
      </c>
      <c r="J637" s="115" t="s">
        <v>90</v>
      </c>
      <c r="K637" s="10"/>
      <c r="L637" s="12">
        <f t="shared" si="265"/>
        <v>0</v>
      </c>
      <c r="M637" s="12"/>
      <c r="N637" s="12"/>
      <c r="O637" s="12">
        <f t="shared" si="266"/>
        <v>0</v>
      </c>
      <c r="P637" s="12"/>
      <c r="Q637" s="12"/>
      <c r="R637" s="12">
        <f t="shared" si="267"/>
        <v>0</v>
      </c>
      <c r="S637" s="12"/>
      <c r="T637" s="12"/>
      <c r="U637" s="12">
        <f t="shared" si="268"/>
        <v>0</v>
      </c>
      <c r="V637" s="12"/>
      <c r="W637" s="12"/>
      <c r="X637" s="12">
        <f t="shared" si="269"/>
        <v>0</v>
      </c>
      <c r="Y637" s="12"/>
      <c r="Z637" s="12"/>
      <c r="AA637" s="13">
        <f t="shared" si="229"/>
        <v>1444800</v>
      </c>
      <c r="AB637" s="14"/>
    </row>
    <row r="638" spans="1:28" ht="16.5" hidden="1" thickBot="1" x14ac:dyDescent="0.3">
      <c r="A638" s="53">
        <v>46077</v>
      </c>
      <c r="B638" s="31" t="s">
        <v>361</v>
      </c>
      <c r="C638" s="31"/>
      <c r="D638" s="31" t="s">
        <v>195</v>
      </c>
      <c r="E638" s="31" t="s">
        <v>229</v>
      </c>
      <c r="F638" s="31">
        <v>14.7</v>
      </c>
      <c r="G638" s="31" t="s">
        <v>36</v>
      </c>
      <c r="H638" s="31">
        <v>43000</v>
      </c>
      <c r="I638" s="31">
        <f t="shared" si="228"/>
        <v>632100</v>
      </c>
      <c r="J638" s="51" t="s">
        <v>113</v>
      </c>
      <c r="K638" s="31"/>
      <c r="L638" s="34">
        <f t="shared" ref="L638:L639" si="270">M638+N638</f>
        <v>0</v>
      </c>
      <c r="M638" s="34"/>
      <c r="N638" s="34"/>
      <c r="O638" s="34">
        <f t="shared" ref="O638:O639" si="271">P638+Q638</f>
        <v>0</v>
      </c>
      <c r="P638" s="34"/>
      <c r="Q638" s="34"/>
      <c r="R638" s="34">
        <f t="shared" ref="R638:R639" si="272">S638+T638</f>
        <v>632100</v>
      </c>
      <c r="S638" s="34">
        <v>632100</v>
      </c>
      <c r="T638" s="34"/>
      <c r="U638" s="34">
        <f t="shared" ref="U638:U639" si="273">V638+W638</f>
        <v>0</v>
      </c>
      <c r="V638" s="34"/>
      <c r="W638" s="34"/>
      <c r="X638" s="34">
        <f t="shared" ref="X638:X639" si="274">Y638+Z638</f>
        <v>0</v>
      </c>
      <c r="Y638" s="34"/>
      <c r="Z638" s="34"/>
      <c r="AA638" s="35">
        <f t="shared" si="229"/>
        <v>0</v>
      </c>
      <c r="AB638" s="36">
        <v>46077</v>
      </c>
    </row>
    <row r="639" spans="1:28" ht="15.75" hidden="1" x14ac:dyDescent="0.25">
      <c r="A639" s="65">
        <v>46078</v>
      </c>
      <c r="B639" s="66" t="s">
        <v>532</v>
      </c>
      <c r="C639" s="66"/>
      <c r="D639" s="66" t="s">
        <v>383</v>
      </c>
      <c r="E639" s="66" t="s">
        <v>118</v>
      </c>
      <c r="F639" s="66">
        <v>3</v>
      </c>
      <c r="G639" s="66" t="s">
        <v>22</v>
      </c>
      <c r="H639" s="66">
        <v>400000</v>
      </c>
      <c r="I639" s="10">
        <f t="shared" si="228"/>
        <v>1200000</v>
      </c>
      <c r="J639" s="29" t="s">
        <v>113</v>
      </c>
      <c r="K639" s="10"/>
      <c r="L639" s="12">
        <f t="shared" si="270"/>
        <v>0</v>
      </c>
      <c r="M639" s="12"/>
      <c r="N639" s="12"/>
      <c r="O639" s="12">
        <f t="shared" si="271"/>
        <v>0</v>
      </c>
      <c r="P639" s="12"/>
      <c r="Q639" s="12"/>
      <c r="R639" s="12">
        <f t="shared" si="272"/>
        <v>1200000</v>
      </c>
      <c r="S639" s="12">
        <v>1200000</v>
      </c>
      <c r="T639" s="12"/>
      <c r="U639" s="12">
        <f t="shared" si="273"/>
        <v>0</v>
      </c>
      <c r="V639" s="12"/>
      <c r="W639" s="12"/>
      <c r="X639" s="12">
        <f t="shared" si="274"/>
        <v>0</v>
      </c>
      <c r="Y639" s="12"/>
      <c r="Z639" s="12"/>
      <c r="AA639" s="13">
        <f t="shared" si="229"/>
        <v>0</v>
      </c>
      <c r="AB639" s="14">
        <v>46077</v>
      </c>
    </row>
    <row r="640" spans="1:28" ht="15.75" hidden="1" x14ac:dyDescent="0.25">
      <c r="A640" s="65">
        <v>46078</v>
      </c>
      <c r="B640" s="10" t="s">
        <v>233</v>
      </c>
      <c r="C640" s="10"/>
      <c r="D640" s="10" t="s">
        <v>195</v>
      </c>
      <c r="E640" s="10" t="s">
        <v>65</v>
      </c>
      <c r="F640" s="85">
        <v>200</v>
      </c>
      <c r="G640" s="10" t="s">
        <v>26</v>
      </c>
      <c r="H640" s="10">
        <v>4000</v>
      </c>
      <c r="I640" s="10">
        <f t="shared" si="228"/>
        <v>800000</v>
      </c>
      <c r="J640" s="29" t="s">
        <v>113</v>
      </c>
      <c r="K640" s="10"/>
      <c r="L640" s="12">
        <f t="shared" ref="L640:L661" si="275">M640+N640</f>
        <v>0</v>
      </c>
      <c r="M640" s="12"/>
      <c r="N640" s="12"/>
      <c r="O640" s="12">
        <f t="shared" ref="O640:O661" si="276">P640+Q640</f>
        <v>0</v>
      </c>
      <c r="P640" s="12"/>
      <c r="Q640" s="12"/>
      <c r="R640" s="12">
        <f t="shared" ref="R640:R661" si="277">S640+T640</f>
        <v>0</v>
      </c>
      <c r="S640" s="12"/>
      <c r="T640" s="12"/>
      <c r="U640" s="12">
        <f t="shared" ref="U640:U661" si="278">V640+W640</f>
        <v>800000</v>
      </c>
      <c r="V640" s="12">
        <v>800000</v>
      </c>
      <c r="W640" s="12"/>
      <c r="X640" s="12">
        <f t="shared" ref="X640:X661" si="279">Y640+Z640</f>
        <v>0</v>
      </c>
      <c r="Y640" s="12"/>
      <c r="Z640" s="12"/>
      <c r="AA640" s="13">
        <f t="shared" si="229"/>
        <v>0</v>
      </c>
      <c r="AB640" s="14">
        <v>46077</v>
      </c>
    </row>
    <row r="641" spans="1:28" ht="15.75" hidden="1" x14ac:dyDescent="0.25">
      <c r="A641" s="65">
        <v>46078</v>
      </c>
      <c r="B641" s="10" t="s">
        <v>533</v>
      </c>
      <c r="C641" s="10"/>
      <c r="D641" s="10" t="s">
        <v>195</v>
      </c>
      <c r="E641" s="10" t="s">
        <v>104</v>
      </c>
      <c r="F641" s="10">
        <v>1600</v>
      </c>
      <c r="G641" s="10" t="s">
        <v>26</v>
      </c>
      <c r="H641" s="10">
        <v>2000</v>
      </c>
      <c r="I641" s="10">
        <f t="shared" si="228"/>
        <v>3200000</v>
      </c>
      <c r="J641" s="29" t="s">
        <v>110</v>
      </c>
      <c r="K641" s="10" t="s">
        <v>539</v>
      </c>
      <c r="L641" s="12">
        <f t="shared" si="275"/>
        <v>0</v>
      </c>
      <c r="M641" s="12"/>
      <c r="N641" s="12"/>
      <c r="O641" s="12">
        <f t="shared" si="276"/>
        <v>3200000</v>
      </c>
      <c r="P641" s="12">
        <v>3200000</v>
      </c>
      <c r="Q641" s="12"/>
      <c r="R641" s="12">
        <f t="shared" si="277"/>
        <v>0</v>
      </c>
      <c r="S641" s="12"/>
      <c r="T641" s="12"/>
      <c r="U641" s="12">
        <f t="shared" si="278"/>
        <v>0</v>
      </c>
      <c r="V641" s="12"/>
      <c r="W641" s="12"/>
      <c r="X641" s="12">
        <f t="shared" si="279"/>
        <v>0</v>
      </c>
      <c r="Y641" s="12"/>
      <c r="Z641" s="12"/>
      <c r="AA641" s="13">
        <f t="shared" si="229"/>
        <v>0</v>
      </c>
      <c r="AB641" s="14">
        <v>46078</v>
      </c>
    </row>
    <row r="642" spans="1:28" ht="15.75" hidden="1" x14ac:dyDescent="0.25">
      <c r="A642" s="65">
        <v>46078</v>
      </c>
      <c r="B642" s="10" t="s">
        <v>450</v>
      </c>
      <c r="C642" s="10"/>
      <c r="D642" s="10" t="s">
        <v>195</v>
      </c>
      <c r="E642" s="10" t="s">
        <v>186</v>
      </c>
      <c r="F642" s="10">
        <v>2</v>
      </c>
      <c r="G642" s="10" t="s">
        <v>22</v>
      </c>
      <c r="H642" s="10">
        <v>1200000</v>
      </c>
      <c r="I642" s="10">
        <f t="shared" si="228"/>
        <v>2400000</v>
      </c>
      <c r="J642" s="29" t="s">
        <v>110</v>
      </c>
      <c r="K642" s="10" t="s">
        <v>540</v>
      </c>
      <c r="L642" s="12">
        <f t="shared" si="275"/>
        <v>0</v>
      </c>
      <c r="M642" s="12"/>
      <c r="N642" s="12"/>
      <c r="O642" s="12">
        <f t="shared" si="276"/>
        <v>2400000</v>
      </c>
      <c r="P642" s="12">
        <v>2400000</v>
      </c>
      <c r="Q642" s="12"/>
      <c r="R642" s="12">
        <f t="shared" si="277"/>
        <v>0</v>
      </c>
      <c r="S642" s="12"/>
      <c r="T642" s="12"/>
      <c r="U642" s="12">
        <f t="shared" si="278"/>
        <v>0</v>
      </c>
      <c r="V642" s="12"/>
      <c r="W642" s="12"/>
      <c r="X642" s="12">
        <f t="shared" si="279"/>
        <v>0</v>
      </c>
      <c r="Y642" s="12"/>
      <c r="Z642" s="12"/>
      <c r="AA642" s="13">
        <f t="shared" si="229"/>
        <v>0</v>
      </c>
      <c r="AB642" s="14">
        <v>46078</v>
      </c>
    </row>
    <row r="643" spans="1:28" ht="15.75" hidden="1" x14ac:dyDescent="0.25">
      <c r="A643" s="65">
        <v>46078</v>
      </c>
      <c r="B643" s="10" t="s">
        <v>450</v>
      </c>
      <c r="C643" s="10"/>
      <c r="D643" s="10" t="s">
        <v>195</v>
      </c>
      <c r="E643" s="10" t="s">
        <v>80</v>
      </c>
      <c r="F643" s="10">
        <v>45.4</v>
      </c>
      <c r="G643" s="10" t="s">
        <v>36</v>
      </c>
      <c r="H643" s="10">
        <v>43000</v>
      </c>
      <c r="I643" s="10">
        <f t="shared" ref="I643:I706" si="280">F643*H643</f>
        <v>1952200</v>
      </c>
      <c r="J643" s="29" t="s">
        <v>110</v>
      </c>
      <c r="K643" s="10" t="s">
        <v>540</v>
      </c>
      <c r="L643" s="12">
        <f t="shared" si="275"/>
        <v>0</v>
      </c>
      <c r="M643" s="12"/>
      <c r="N643" s="12"/>
      <c r="O643" s="12">
        <f t="shared" si="276"/>
        <v>1952200</v>
      </c>
      <c r="P643" s="12">
        <v>1952200</v>
      </c>
      <c r="Q643" s="12"/>
      <c r="R643" s="12">
        <f t="shared" si="277"/>
        <v>0</v>
      </c>
      <c r="S643" s="12"/>
      <c r="T643" s="12"/>
      <c r="U643" s="12">
        <f t="shared" si="278"/>
        <v>0</v>
      </c>
      <c r="V643" s="12"/>
      <c r="W643" s="12"/>
      <c r="X643" s="12">
        <f t="shared" si="279"/>
        <v>0</v>
      </c>
      <c r="Y643" s="12"/>
      <c r="Z643" s="12"/>
      <c r="AA643" s="13">
        <f t="shared" si="229"/>
        <v>0</v>
      </c>
      <c r="AB643" s="14">
        <v>46078</v>
      </c>
    </row>
    <row r="644" spans="1:28" ht="15.75" hidden="1" x14ac:dyDescent="0.25">
      <c r="A644" s="65">
        <v>46078</v>
      </c>
      <c r="B644" s="10" t="s">
        <v>534</v>
      </c>
      <c r="C644" s="10"/>
      <c r="D644" s="10" t="s">
        <v>195</v>
      </c>
      <c r="E644" s="10" t="s">
        <v>310</v>
      </c>
      <c r="F644" s="10">
        <v>1</v>
      </c>
      <c r="G644" s="10" t="s">
        <v>39</v>
      </c>
      <c r="H644" s="10">
        <v>250000</v>
      </c>
      <c r="I644" s="10">
        <f t="shared" si="280"/>
        <v>250000</v>
      </c>
      <c r="J644" s="29" t="s">
        <v>113</v>
      </c>
      <c r="K644" s="10"/>
      <c r="L644" s="12">
        <f t="shared" si="275"/>
        <v>0</v>
      </c>
      <c r="M644" s="12"/>
      <c r="N644" s="12"/>
      <c r="O644" s="12">
        <f t="shared" si="276"/>
        <v>0</v>
      </c>
      <c r="P644" s="12"/>
      <c r="Q644" s="12"/>
      <c r="R644" s="12">
        <f t="shared" si="277"/>
        <v>0</v>
      </c>
      <c r="S644" s="12"/>
      <c r="T644" s="12"/>
      <c r="U644" s="12">
        <f t="shared" si="278"/>
        <v>250000</v>
      </c>
      <c r="V644" s="12">
        <v>250000</v>
      </c>
      <c r="W644" s="12"/>
      <c r="X644" s="12">
        <f t="shared" si="279"/>
        <v>0</v>
      </c>
      <c r="Y644" s="12"/>
      <c r="Z644" s="12"/>
      <c r="AA644" s="13">
        <f t="shared" ref="AA644:AA707" si="281">C644+I644-L644-O644-U644-X644-R644</f>
        <v>0</v>
      </c>
      <c r="AB644" s="14">
        <v>46078</v>
      </c>
    </row>
    <row r="645" spans="1:28" ht="15.75" x14ac:dyDescent="0.25">
      <c r="A645" s="65">
        <v>46078</v>
      </c>
      <c r="B645" s="10" t="s">
        <v>272</v>
      </c>
      <c r="C645" s="10"/>
      <c r="D645" s="10"/>
      <c r="E645" s="10" t="s">
        <v>338</v>
      </c>
      <c r="F645" s="10">
        <v>85.2</v>
      </c>
      <c r="G645" s="10" t="s">
        <v>36</v>
      </c>
      <c r="H645" s="10">
        <v>43000</v>
      </c>
      <c r="I645" s="10">
        <f t="shared" si="280"/>
        <v>3663600</v>
      </c>
      <c r="J645" s="115" t="s">
        <v>90</v>
      </c>
      <c r="K645" s="10"/>
      <c r="L645" s="12">
        <f t="shared" si="275"/>
        <v>0</v>
      </c>
      <c r="M645" s="12"/>
      <c r="N645" s="12"/>
      <c r="O645" s="12">
        <f t="shared" si="276"/>
        <v>0</v>
      </c>
      <c r="P645" s="12"/>
      <c r="Q645" s="12"/>
      <c r="R645" s="12">
        <f t="shared" si="277"/>
        <v>0</v>
      </c>
      <c r="S645" s="12"/>
      <c r="T645" s="12"/>
      <c r="U645" s="12">
        <f t="shared" si="278"/>
        <v>0</v>
      </c>
      <c r="V645" s="12"/>
      <c r="W645" s="12"/>
      <c r="X645" s="12">
        <f t="shared" si="279"/>
        <v>0</v>
      </c>
      <c r="Y645" s="12"/>
      <c r="Z645" s="12"/>
      <c r="AA645" s="13">
        <f t="shared" si="281"/>
        <v>3663600</v>
      </c>
      <c r="AB645" s="14"/>
    </row>
    <row r="646" spans="1:28" ht="15.75" x14ac:dyDescent="0.25">
      <c r="A646" s="65">
        <v>46078</v>
      </c>
      <c r="B646" s="10" t="s">
        <v>272</v>
      </c>
      <c r="C646" s="10"/>
      <c r="D646" s="10"/>
      <c r="E646" s="10" t="s">
        <v>315</v>
      </c>
      <c r="F646" s="10">
        <v>27</v>
      </c>
      <c r="G646" s="10" t="s">
        <v>36</v>
      </c>
      <c r="H646" s="10">
        <v>43000</v>
      </c>
      <c r="I646" s="10">
        <f t="shared" si="280"/>
        <v>1161000</v>
      </c>
      <c r="J646" s="115" t="s">
        <v>90</v>
      </c>
      <c r="K646" s="10"/>
      <c r="L646" s="12">
        <f t="shared" si="275"/>
        <v>0</v>
      </c>
      <c r="M646" s="12"/>
      <c r="N646" s="12"/>
      <c r="O646" s="12">
        <f t="shared" si="276"/>
        <v>0</v>
      </c>
      <c r="P646" s="12"/>
      <c r="Q646" s="12"/>
      <c r="R646" s="12">
        <f t="shared" si="277"/>
        <v>0</v>
      </c>
      <c r="S646" s="12"/>
      <c r="T646" s="12"/>
      <c r="U646" s="12">
        <f t="shared" si="278"/>
        <v>0</v>
      </c>
      <c r="V646" s="12"/>
      <c r="W646" s="12"/>
      <c r="X646" s="12">
        <f t="shared" si="279"/>
        <v>0</v>
      </c>
      <c r="Y646" s="12"/>
      <c r="Z646" s="12"/>
      <c r="AA646" s="13">
        <f t="shared" si="281"/>
        <v>1161000</v>
      </c>
      <c r="AB646" s="14"/>
    </row>
    <row r="647" spans="1:28" ht="15.75" x14ac:dyDescent="0.25">
      <c r="A647" s="65">
        <v>46078</v>
      </c>
      <c r="B647" s="10" t="s">
        <v>272</v>
      </c>
      <c r="C647" s="10"/>
      <c r="D647" s="10"/>
      <c r="E647" s="10" t="s">
        <v>306</v>
      </c>
      <c r="F647" s="10">
        <v>26.2</v>
      </c>
      <c r="G647" s="10" t="s">
        <v>36</v>
      </c>
      <c r="H647" s="10">
        <v>43000</v>
      </c>
      <c r="I647" s="10">
        <f t="shared" si="280"/>
        <v>1126600</v>
      </c>
      <c r="J647" s="115" t="s">
        <v>90</v>
      </c>
      <c r="K647" s="10"/>
      <c r="L647" s="12">
        <f t="shared" si="275"/>
        <v>0</v>
      </c>
      <c r="M647" s="12"/>
      <c r="N647" s="12"/>
      <c r="O647" s="12">
        <f t="shared" si="276"/>
        <v>0</v>
      </c>
      <c r="P647" s="12"/>
      <c r="Q647" s="12"/>
      <c r="R647" s="12">
        <f t="shared" si="277"/>
        <v>0</v>
      </c>
      <c r="S647" s="12"/>
      <c r="T647" s="12"/>
      <c r="U647" s="12">
        <f t="shared" si="278"/>
        <v>0</v>
      </c>
      <c r="V647" s="12"/>
      <c r="W647" s="12"/>
      <c r="X647" s="12">
        <f t="shared" si="279"/>
        <v>0</v>
      </c>
      <c r="Y647" s="12"/>
      <c r="Z647" s="12"/>
      <c r="AA647" s="13">
        <f t="shared" si="281"/>
        <v>1126600</v>
      </c>
      <c r="AB647" s="14"/>
    </row>
    <row r="648" spans="1:28" ht="15.75" x14ac:dyDescent="0.25">
      <c r="A648" s="65">
        <v>46078</v>
      </c>
      <c r="B648" s="10" t="s">
        <v>272</v>
      </c>
      <c r="C648" s="10"/>
      <c r="D648" s="10"/>
      <c r="E648" s="10" t="s">
        <v>80</v>
      </c>
      <c r="F648" s="10">
        <v>22.4</v>
      </c>
      <c r="G648" s="10" t="s">
        <v>36</v>
      </c>
      <c r="H648" s="10">
        <v>43000</v>
      </c>
      <c r="I648" s="10">
        <f t="shared" si="280"/>
        <v>963199.99999999988</v>
      </c>
      <c r="J648" s="115" t="s">
        <v>90</v>
      </c>
      <c r="K648" s="10"/>
      <c r="L648" s="12">
        <f t="shared" si="275"/>
        <v>0</v>
      </c>
      <c r="M648" s="12"/>
      <c r="N648" s="12"/>
      <c r="O648" s="12">
        <f t="shared" si="276"/>
        <v>0</v>
      </c>
      <c r="P648" s="12"/>
      <c r="Q648" s="12"/>
      <c r="R648" s="12">
        <f t="shared" si="277"/>
        <v>0</v>
      </c>
      <c r="S648" s="12"/>
      <c r="T648" s="12"/>
      <c r="U648" s="12">
        <f t="shared" si="278"/>
        <v>0</v>
      </c>
      <c r="V648" s="12"/>
      <c r="W648" s="12"/>
      <c r="X648" s="12">
        <f t="shared" si="279"/>
        <v>0</v>
      </c>
      <c r="Y648" s="12"/>
      <c r="Z648" s="12"/>
      <c r="AA648" s="13">
        <f t="shared" si="281"/>
        <v>963199.99999999988</v>
      </c>
      <c r="AB648" s="14"/>
    </row>
    <row r="649" spans="1:28" ht="15.75" hidden="1" x14ac:dyDescent="0.25">
      <c r="A649" s="65">
        <v>46078</v>
      </c>
      <c r="B649" s="10" t="s">
        <v>246</v>
      </c>
      <c r="C649" s="10"/>
      <c r="D649" s="10" t="s">
        <v>383</v>
      </c>
      <c r="E649" s="10" t="s">
        <v>136</v>
      </c>
      <c r="F649" s="10">
        <v>94.3</v>
      </c>
      <c r="G649" s="10" t="s">
        <v>36</v>
      </c>
      <c r="H649" s="10">
        <v>43000</v>
      </c>
      <c r="I649" s="10">
        <f t="shared" si="280"/>
        <v>4054900</v>
      </c>
      <c r="J649" s="52" t="s">
        <v>90</v>
      </c>
      <c r="K649" s="10" t="s">
        <v>542</v>
      </c>
      <c r="L649" s="12">
        <f t="shared" si="275"/>
        <v>0</v>
      </c>
      <c r="M649" s="12"/>
      <c r="N649" s="12"/>
      <c r="O649" s="12">
        <f t="shared" si="276"/>
        <v>0</v>
      </c>
      <c r="P649" s="12"/>
      <c r="Q649" s="12"/>
      <c r="R649" s="12">
        <f t="shared" si="277"/>
        <v>0</v>
      </c>
      <c r="S649" s="12"/>
      <c r="T649" s="12"/>
      <c r="U649" s="12">
        <f t="shared" si="278"/>
        <v>0</v>
      </c>
      <c r="V649" s="12"/>
      <c r="W649" s="12"/>
      <c r="X649" s="12">
        <f t="shared" si="279"/>
        <v>0</v>
      </c>
      <c r="Y649" s="12"/>
      <c r="Z649" s="12"/>
      <c r="AA649" s="13">
        <f t="shared" si="281"/>
        <v>4054900</v>
      </c>
      <c r="AB649" s="14"/>
    </row>
    <row r="650" spans="1:28" ht="15.75" hidden="1" x14ac:dyDescent="0.25">
      <c r="A650" s="65">
        <v>46078</v>
      </c>
      <c r="B650" s="10" t="s">
        <v>246</v>
      </c>
      <c r="C650" s="10"/>
      <c r="D650" s="10" t="s">
        <v>383</v>
      </c>
      <c r="E650" s="10" t="s">
        <v>80</v>
      </c>
      <c r="F650" s="10">
        <v>90.4</v>
      </c>
      <c r="G650" s="10" t="s">
        <v>36</v>
      </c>
      <c r="H650" s="10">
        <v>43000</v>
      </c>
      <c r="I650" s="10">
        <f t="shared" si="280"/>
        <v>3887200.0000000005</v>
      </c>
      <c r="J650" s="52" t="s">
        <v>90</v>
      </c>
      <c r="K650" s="10" t="s">
        <v>542</v>
      </c>
      <c r="L650" s="12">
        <f t="shared" si="275"/>
        <v>0</v>
      </c>
      <c r="M650" s="12"/>
      <c r="N650" s="12"/>
      <c r="O650" s="12">
        <f t="shared" si="276"/>
        <v>0</v>
      </c>
      <c r="P650" s="12"/>
      <c r="Q650" s="12"/>
      <c r="R650" s="12">
        <f t="shared" si="277"/>
        <v>0</v>
      </c>
      <c r="S650" s="12"/>
      <c r="T650" s="12"/>
      <c r="U650" s="12">
        <f t="shared" si="278"/>
        <v>0</v>
      </c>
      <c r="V650" s="12"/>
      <c r="W650" s="12"/>
      <c r="X650" s="12">
        <f t="shared" si="279"/>
        <v>0</v>
      </c>
      <c r="Y650" s="12"/>
      <c r="Z650" s="12"/>
      <c r="AA650" s="13">
        <f t="shared" si="281"/>
        <v>3887200.0000000005</v>
      </c>
      <c r="AB650" s="14"/>
    </row>
    <row r="651" spans="1:28" ht="15.75" hidden="1" x14ac:dyDescent="0.25">
      <c r="A651" s="65">
        <v>46078</v>
      </c>
      <c r="B651" s="10" t="s">
        <v>246</v>
      </c>
      <c r="C651" s="10"/>
      <c r="D651" s="10" t="s">
        <v>383</v>
      </c>
      <c r="E651" s="10" t="s">
        <v>265</v>
      </c>
      <c r="F651" s="10">
        <v>47.6</v>
      </c>
      <c r="G651" s="10" t="s">
        <v>36</v>
      </c>
      <c r="H651" s="10">
        <v>43000</v>
      </c>
      <c r="I651" s="10">
        <f t="shared" si="280"/>
        <v>2046800</v>
      </c>
      <c r="J651" s="52" t="s">
        <v>90</v>
      </c>
      <c r="K651" s="10" t="s">
        <v>542</v>
      </c>
      <c r="L651" s="12">
        <f t="shared" si="275"/>
        <v>0</v>
      </c>
      <c r="M651" s="12"/>
      <c r="N651" s="12"/>
      <c r="O651" s="12">
        <f t="shared" si="276"/>
        <v>0</v>
      </c>
      <c r="P651" s="12"/>
      <c r="Q651" s="12"/>
      <c r="R651" s="12">
        <f t="shared" si="277"/>
        <v>0</v>
      </c>
      <c r="S651" s="12"/>
      <c r="T651" s="12"/>
      <c r="U651" s="12">
        <f t="shared" si="278"/>
        <v>0</v>
      </c>
      <c r="V651" s="12"/>
      <c r="W651" s="12"/>
      <c r="X651" s="12">
        <f t="shared" si="279"/>
        <v>0</v>
      </c>
      <c r="Y651" s="12"/>
      <c r="Z651" s="12"/>
      <c r="AA651" s="13">
        <f t="shared" si="281"/>
        <v>2046800</v>
      </c>
      <c r="AB651" s="14"/>
    </row>
    <row r="652" spans="1:28" ht="15.75" hidden="1" x14ac:dyDescent="0.25">
      <c r="A652" s="65">
        <v>46078</v>
      </c>
      <c r="B652" s="10" t="s">
        <v>246</v>
      </c>
      <c r="C652" s="10"/>
      <c r="D652" s="10" t="s">
        <v>383</v>
      </c>
      <c r="E652" s="10" t="s">
        <v>315</v>
      </c>
      <c r="F652" s="10">
        <v>26.8</v>
      </c>
      <c r="G652" s="10" t="s">
        <v>36</v>
      </c>
      <c r="H652" s="10">
        <v>43000</v>
      </c>
      <c r="I652" s="10">
        <f t="shared" si="280"/>
        <v>1152400</v>
      </c>
      <c r="J652" s="52" t="s">
        <v>90</v>
      </c>
      <c r="K652" s="10" t="s">
        <v>542</v>
      </c>
      <c r="L652" s="12">
        <f t="shared" si="275"/>
        <v>0</v>
      </c>
      <c r="M652" s="12"/>
      <c r="N652" s="12"/>
      <c r="O652" s="12">
        <f t="shared" si="276"/>
        <v>0</v>
      </c>
      <c r="P652" s="12"/>
      <c r="Q652" s="12"/>
      <c r="R652" s="12">
        <f t="shared" si="277"/>
        <v>0</v>
      </c>
      <c r="S652" s="12"/>
      <c r="T652" s="12"/>
      <c r="U652" s="12">
        <f t="shared" si="278"/>
        <v>0</v>
      </c>
      <c r="V652" s="12"/>
      <c r="W652" s="12"/>
      <c r="X652" s="12">
        <f t="shared" si="279"/>
        <v>0</v>
      </c>
      <c r="Y652" s="12"/>
      <c r="Z652" s="12"/>
      <c r="AA652" s="13">
        <f t="shared" si="281"/>
        <v>1152400</v>
      </c>
      <c r="AB652" s="14"/>
    </row>
    <row r="653" spans="1:28" ht="15.75" hidden="1" x14ac:dyDescent="0.25">
      <c r="A653" s="65">
        <v>46078</v>
      </c>
      <c r="B653" s="10" t="s">
        <v>246</v>
      </c>
      <c r="C653" s="10"/>
      <c r="D653" s="10" t="s">
        <v>383</v>
      </c>
      <c r="E653" s="10" t="s">
        <v>117</v>
      </c>
      <c r="F653" s="10">
        <v>3</v>
      </c>
      <c r="G653" s="10" t="s">
        <v>36</v>
      </c>
      <c r="H653" s="10">
        <v>70000</v>
      </c>
      <c r="I653" s="10">
        <f t="shared" si="280"/>
        <v>210000</v>
      </c>
      <c r="J653" s="52" t="s">
        <v>90</v>
      </c>
      <c r="K653" s="10" t="s">
        <v>542</v>
      </c>
      <c r="L653" s="12">
        <f t="shared" si="275"/>
        <v>0</v>
      </c>
      <c r="M653" s="12"/>
      <c r="N653" s="12"/>
      <c r="O653" s="12">
        <f t="shared" si="276"/>
        <v>0</v>
      </c>
      <c r="P653" s="12"/>
      <c r="Q653" s="12"/>
      <c r="R653" s="12">
        <f t="shared" si="277"/>
        <v>0</v>
      </c>
      <c r="S653" s="12"/>
      <c r="T653" s="12"/>
      <c r="U653" s="12">
        <f t="shared" si="278"/>
        <v>0</v>
      </c>
      <c r="V653" s="12"/>
      <c r="W653" s="12"/>
      <c r="X653" s="12">
        <f t="shared" si="279"/>
        <v>0</v>
      </c>
      <c r="Y653" s="12"/>
      <c r="Z653" s="12"/>
      <c r="AA653" s="13">
        <f t="shared" si="281"/>
        <v>210000</v>
      </c>
      <c r="AB653" s="14"/>
    </row>
    <row r="654" spans="1:28" ht="15.75" hidden="1" x14ac:dyDescent="0.25">
      <c r="A654" s="65">
        <v>46078</v>
      </c>
      <c r="B654" s="10" t="s">
        <v>535</v>
      </c>
      <c r="C654" s="10"/>
      <c r="D654" s="10" t="s">
        <v>195</v>
      </c>
      <c r="E654" s="10" t="s">
        <v>114</v>
      </c>
      <c r="F654" s="10">
        <v>10</v>
      </c>
      <c r="G654" s="10" t="s">
        <v>67</v>
      </c>
      <c r="H654" s="10">
        <v>50000</v>
      </c>
      <c r="I654" s="10">
        <f t="shared" si="280"/>
        <v>500000</v>
      </c>
      <c r="J654" s="29" t="s">
        <v>113</v>
      </c>
      <c r="K654" s="10"/>
      <c r="L654" s="12">
        <f t="shared" si="275"/>
        <v>0</v>
      </c>
      <c r="M654" s="12"/>
      <c r="N654" s="12"/>
      <c r="O654" s="12">
        <f t="shared" si="276"/>
        <v>0</v>
      </c>
      <c r="P654" s="12"/>
      <c r="Q654" s="12"/>
      <c r="R654" s="12">
        <f t="shared" si="277"/>
        <v>0</v>
      </c>
      <c r="S654" s="12"/>
      <c r="T654" s="12"/>
      <c r="U654" s="12">
        <f t="shared" si="278"/>
        <v>500000</v>
      </c>
      <c r="V654" s="12">
        <v>500000</v>
      </c>
      <c r="W654" s="12"/>
      <c r="X654" s="12">
        <f t="shared" si="279"/>
        <v>0</v>
      </c>
      <c r="Y654" s="12"/>
      <c r="Z654" s="12"/>
      <c r="AA654" s="13">
        <f t="shared" si="281"/>
        <v>0</v>
      </c>
      <c r="AB654" s="14">
        <v>46078</v>
      </c>
    </row>
    <row r="655" spans="1:28" ht="15.75" hidden="1" x14ac:dyDescent="0.25">
      <c r="A655" s="65">
        <v>46078</v>
      </c>
      <c r="B655" s="10" t="s">
        <v>536</v>
      </c>
      <c r="C655" s="10"/>
      <c r="D655" s="10" t="s">
        <v>195</v>
      </c>
      <c r="E655" s="10" t="s">
        <v>84</v>
      </c>
      <c r="F655" s="10">
        <v>17.100000000000001</v>
      </c>
      <c r="G655" s="10" t="s">
        <v>36</v>
      </c>
      <c r="H655" s="10">
        <v>43000</v>
      </c>
      <c r="I655" s="10">
        <f t="shared" si="280"/>
        <v>735300.00000000012</v>
      </c>
      <c r="J655" s="29" t="s">
        <v>110</v>
      </c>
      <c r="K655" s="10" t="s">
        <v>537</v>
      </c>
      <c r="L655" s="12">
        <f t="shared" si="275"/>
        <v>0</v>
      </c>
      <c r="M655" s="12"/>
      <c r="N655" s="12"/>
      <c r="O655" s="12">
        <f t="shared" si="276"/>
        <v>735300</v>
      </c>
      <c r="P655" s="12">
        <v>735300</v>
      </c>
      <c r="Q655" s="12"/>
      <c r="R655" s="12">
        <f t="shared" si="277"/>
        <v>0</v>
      </c>
      <c r="S655" s="12"/>
      <c r="T655" s="12"/>
      <c r="U655" s="12">
        <f t="shared" si="278"/>
        <v>0</v>
      </c>
      <c r="V655" s="12"/>
      <c r="W655" s="12"/>
      <c r="X655" s="12">
        <f t="shared" si="279"/>
        <v>0</v>
      </c>
      <c r="Y655" s="12"/>
      <c r="Z655" s="12"/>
      <c r="AA655" s="13">
        <f t="shared" si="281"/>
        <v>1.1641532182693481E-10</v>
      </c>
      <c r="AB655" s="14">
        <v>46077</v>
      </c>
    </row>
    <row r="656" spans="1:28" ht="15.75" hidden="1" x14ac:dyDescent="0.25">
      <c r="A656" s="65">
        <v>46078</v>
      </c>
      <c r="B656" s="10" t="s">
        <v>536</v>
      </c>
      <c r="C656" s="10"/>
      <c r="D656" s="10" t="s">
        <v>195</v>
      </c>
      <c r="E656" s="10" t="s">
        <v>136</v>
      </c>
      <c r="F656" s="10">
        <v>24.5</v>
      </c>
      <c r="G656" s="10" t="s">
        <v>36</v>
      </c>
      <c r="H656" s="10">
        <v>43000</v>
      </c>
      <c r="I656" s="10">
        <f t="shared" si="280"/>
        <v>1053500</v>
      </c>
      <c r="J656" s="29" t="s">
        <v>110</v>
      </c>
      <c r="K656" s="10" t="s">
        <v>537</v>
      </c>
      <c r="L656" s="12">
        <f t="shared" si="275"/>
        <v>0</v>
      </c>
      <c r="M656" s="12"/>
      <c r="N656" s="12"/>
      <c r="O656" s="12">
        <f t="shared" si="276"/>
        <v>1053500</v>
      </c>
      <c r="P656" s="12">
        <v>1053500</v>
      </c>
      <c r="Q656" s="12"/>
      <c r="R656" s="12">
        <f t="shared" si="277"/>
        <v>0</v>
      </c>
      <c r="S656" s="12"/>
      <c r="T656" s="12"/>
      <c r="U656" s="12">
        <f t="shared" si="278"/>
        <v>0</v>
      </c>
      <c r="V656" s="12"/>
      <c r="W656" s="12"/>
      <c r="X656" s="12">
        <f t="shared" si="279"/>
        <v>0</v>
      </c>
      <c r="Y656" s="12"/>
      <c r="Z656" s="12"/>
      <c r="AA656" s="13">
        <f t="shared" si="281"/>
        <v>0</v>
      </c>
      <c r="AB656" s="14">
        <v>46077</v>
      </c>
    </row>
    <row r="657" spans="1:28" ht="15.75" hidden="1" x14ac:dyDescent="0.25">
      <c r="A657" s="28">
        <v>46078</v>
      </c>
      <c r="B657" s="10" t="s">
        <v>536</v>
      </c>
      <c r="C657" s="10"/>
      <c r="D657" s="10" t="s">
        <v>195</v>
      </c>
      <c r="E657" s="10" t="s">
        <v>104</v>
      </c>
      <c r="F657" s="10">
        <v>1000</v>
      </c>
      <c r="G657" s="10" t="s">
        <v>26</v>
      </c>
      <c r="H657" s="10">
        <v>2000</v>
      </c>
      <c r="I657" s="10">
        <f t="shared" si="280"/>
        <v>2000000</v>
      </c>
      <c r="J657" s="29" t="s">
        <v>110</v>
      </c>
      <c r="K657" s="10" t="s">
        <v>537</v>
      </c>
      <c r="L657" s="12">
        <f t="shared" si="275"/>
        <v>0</v>
      </c>
      <c r="M657" s="12"/>
      <c r="N657" s="12"/>
      <c r="O657" s="12">
        <f t="shared" si="276"/>
        <v>2000000</v>
      </c>
      <c r="P657" s="12">
        <v>2000000</v>
      </c>
      <c r="Q657" s="12"/>
      <c r="R657" s="12">
        <f t="shared" si="277"/>
        <v>0</v>
      </c>
      <c r="S657" s="12"/>
      <c r="T657" s="12"/>
      <c r="U657" s="12">
        <f t="shared" si="278"/>
        <v>0</v>
      </c>
      <c r="V657" s="12"/>
      <c r="W657" s="12"/>
      <c r="X657" s="12">
        <f t="shared" si="279"/>
        <v>0</v>
      </c>
      <c r="Y657" s="12"/>
      <c r="Z657" s="12"/>
      <c r="AA657" s="13">
        <f t="shared" si="281"/>
        <v>0</v>
      </c>
      <c r="AB657" s="14">
        <v>46077</v>
      </c>
    </row>
    <row r="658" spans="1:28" ht="15.75" hidden="1" x14ac:dyDescent="0.25">
      <c r="A658" s="65">
        <v>46078</v>
      </c>
      <c r="B658" s="10" t="s">
        <v>536</v>
      </c>
      <c r="C658" s="10"/>
      <c r="D658" s="10" t="s">
        <v>195</v>
      </c>
      <c r="E658" s="10" t="s">
        <v>160</v>
      </c>
      <c r="F658" s="10">
        <v>1</v>
      </c>
      <c r="G658" s="10" t="s">
        <v>22</v>
      </c>
      <c r="H658" s="10">
        <v>400000</v>
      </c>
      <c r="I658" s="10">
        <f t="shared" si="280"/>
        <v>400000</v>
      </c>
      <c r="J658" s="29" t="s">
        <v>110</v>
      </c>
      <c r="K658" s="10" t="s">
        <v>537</v>
      </c>
      <c r="L658" s="12">
        <f t="shared" si="275"/>
        <v>0</v>
      </c>
      <c r="M658" s="12"/>
      <c r="N658" s="12"/>
      <c r="O658" s="12">
        <f t="shared" si="276"/>
        <v>400000</v>
      </c>
      <c r="P658" s="12">
        <v>400000</v>
      </c>
      <c r="Q658" s="12"/>
      <c r="R658" s="12">
        <f t="shared" si="277"/>
        <v>0</v>
      </c>
      <c r="S658" s="12"/>
      <c r="T658" s="12"/>
      <c r="U658" s="12">
        <f t="shared" si="278"/>
        <v>0</v>
      </c>
      <c r="V658" s="12"/>
      <c r="W658" s="12"/>
      <c r="X658" s="12">
        <f t="shared" si="279"/>
        <v>0</v>
      </c>
      <c r="Y658" s="12"/>
      <c r="Z658" s="12"/>
      <c r="AA658" s="13">
        <f t="shared" si="281"/>
        <v>0</v>
      </c>
      <c r="AB658" s="14">
        <v>46077</v>
      </c>
    </row>
    <row r="659" spans="1:28" ht="15.75" hidden="1" x14ac:dyDescent="0.25">
      <c r="A659" s="65">
        <v>46078</v>
      </c>
      <c r="B659" s="10" t="s">
        <v>536</v>
      </c>
      <c r="C659" s="10"/>
      <c r="D659" s="10" t="s">
        <v>195</v>
      </c>
      <c r="E659" s="10" t="s">
        <v>116</v>
      </c>
      <c r="F659" s="10">
        <v>2</v>
      </c>
      <c r="G659" s="10" t="s">
        <v>67</v>
      </c>
      <c r="H659" s="10">
        <v>65000</v>
      </c>
      <c r="I659" s="10">
        <f t="shared" si="280"/>
        <v>130000</v>
      </c>
      <c r="J659" s="29" t="s">
        <v>110</v>
      </c>
      <c r="K659" s="10" t="s">
        <v>537</v>
      </c>
      <c r="L659" s="12">
        <f t="shared" si="275"/>
        <v>0</v>
      </c>
      <c r="M659" s="12"/>
      <c r="N659" s="12"/>
      <c r="O659" s="12">
        <f t="shared" si="276"/>
        <v>130000</v>
      </c>
      <c r="P659" s="12">
        <v>130000</v>
      </c>
      <c r="Q659" s="12"/>
      <c r="R659" s="12">
        <f t="shared" si="277"/>
        <v>0</v>
      </c>
      <c r="S659" s="12"/>
      <c r="T659" s="12"/>
      <c r="U659" s="12">
        <f t="shared" si="278"/>
        <v>0</v>
      </c>
      <c r="V659" s="12"/>
      <c r="W659" s="12"/>
      <c r="X659" s="12">
        <f t="shared" si="279"/>
        <v>0</v>
      </c>
      <c r="Y659" s="12"/>
      <c r="Z659" s="12"/>
      <c r="AA659" s="13">
        <f t="shared" si="281"/>
        <v>0</v>
      </c>
      <c r="AB659" s="14">
        <v>46077</v>
      </c>
    </row>
    <row r="660" spans="1:28" ht="16.5" hidden="1" thickBot="1" x14ac:dyDescent="0.3">
      <c r="A660" s="53">
        <v>46078</v>
      </c>
      <c r="B660" s="31" t="s">
        <v>238</v>
      </c>
      <c r="C660" s="31"/>
      <c r="D660" s="31" t="s">
        <v>195</v>
      </c>
      <c r="E660" s="31" t="s">
        <v>65</v>
      </c>
      <c r="F660" s="31">
        <v>200</v>
      </c>
      <c r="G660" s="31" t="s">
        <v>26</v>
      </c>
      <c r="H660" s="31">
        <v>4000</v>
      </c>
      <c r="I660" s="31">
        <f t="shared" si="280"/>
        <v>800000</v>
      </c>
      <c r="J660" s="51" t="s">
        <v>110</v>
      </c>
      <c r="K660" s="31" t="s">
        <v>538</v>
      </c>
      <c r="L660" s="34">
        <f t="shared" si="275"/>
        <v>0</v>
      </c>
      <c r="M660" s="34"/>
      <c r="N660" s="34"/>
      <c r="O660" s="34">
        <f t="shared" si="276"/>
        <v>800000</v>
      </c>
      <c r="P660" s="34">
        <v>800000</v>
      </c>
      <c r="Q660" s="34"/>
      <c r="R660" s="34">
        <f t="shared" si="277"/>
        <v>0</v>
      </c>
      <c r="S660" s="34"/>
      <c r="T660" s="34"/>
      <c r="U660" s="34">
        <f t="shared" si="278"/>
        <v>0</v>
      </c>
      <c r="V660" s="34"/>
      <c r="W660" s="34"/>
      <c r="X660" s="34">
        <f t="shared" si="279"/>
        <v>0</v>
      </c>
      <c r="Y660" s="34"/>
      <c r="Z660" s="34"/>
      <c r="AA660" s="35">
        <f t="shared" si="281"/>
        <v>0</v>
      </c>
      <c r="AB660" s="36">
        <v>46078</v>
      </c>
    </row>
    <row r="661" spans="1:28" ht="15.75" hidden="1" x14ac:dyDescent="0.25">
      <c r="A661" s="65">
        <v>46079</v>
      </c>
      <c r="B661" s="66" t="s">
        <v>267</v>
      </c>
      <c r="C661" s="66"/>
      <c r="D661" s="66" t="s">
        <v>195</v>
      </c>
      <c r="E661" s="66" t="s">
        <v>300</v>
      </c>
      <c r="F661" s="66">
        <v>2</v>
      </c>
      <c r="G661" s="66" t="s">
        <v>61</v>
      </c>
      <c r="H661" s="66">
        <v>150000</v>
      </c>
      <c r="I661" s="10">
        <f t="shared" si="280"/>
        <v>300000</v>
      </c>
      <c r="J661" s="84" t="s">
        <v>113</v>
      </c>
      <c r="K661" s="10"/>
      <c r="L661" s="12">
        <f t="shared" si="275"/>
        <v>300000</v>
      </c>
      <c r="M661" s="12">
        <v>300000</v>
      </c>
      <c r="N661" s="12"/>
      <c r="O661" s="12">
        <f t="shared" si="276"/>
        <v>0</v>
      </c>
      <c r="P661" s="12"/>
      <c r="Q661" s="12"/>
      <c r="R661" s="12">
        <f t="shared" si="277"/>
        <v>0</v>
      </c>
      <c r="S661" s="12"/>
      <c r="T661" s="12"/>
      <c r="U661" s="12">
        <f t="shared" si="278"/>
        <v>0</v>
      </c>
      <c r="V661" s="12"/>
      <c r="W661" s="12"/>
      <c r="X661" s="12">
        <f t="shared" si="279"/>
        <v>0</v>
      </c>
      <c r="Y661" s="12"/>
      <c r="Z661" s="12"/>
      <c r="AA661" s="13">
        <f t="shared" si="281"/>
        <v>0</v>
      </c>
      <c r="AB661" s="14">
        <v>46079</v>
      </c>
    </row>
    <row r="662" spans="1:28" ht="15.75" hidden="1" x14ac:dyDescent="0.25">
      <c r="A662" s="65">
        <v>46079</v>
      </c>
      <c r="B662" s="66" t="s">
        <v>267</v>
      </c>
      <c r="C662" s="10"/>
      <c r="D662" s="66" t="s">
        <v>195</v>
      </c>
      <c r="E662" s="10" t="s">
        <v>116</v>
      </c>
      <c r="F662" s="10">
        <v>4</v>
      </c>
      <c r="G662" s="10" t="s">
        <v>67</v>
      </c>
      <c r="H662" s="10">
        <v>65000</v>
      </c>
      <c r="I662" s="10">
        <f t="shared" si="280"/>
        <v>260000</v>
      </c>
      <c r="J662" s="29" t="s">
        <v>113</v>
      </c>
      <c r="K662" s="10"/>
      <c r="L662" s="12">
        <f t="shared" ref="L662:L677" si="282">M662+N662</f>
        <v>260000</v>
      </c>
      <c r="M662" s="12">
        <v>260000</v>
      </c>
      <c r="N662" s="12"/>
      <c r="O662" s="12">
        <f t="shared" ref="O662:O677" si="283">P662+Q662</f>
        <v>0</v>
      </c>
      <c r="P662" s="12"/>
      <c r="Q662" s="12"/>
      <c r="R662" s="12">
        <f t="shared" ref="R662:R677" si="284">S662+T662</f>
        <v>0</v>
      </c>
      <c r="S662" s="12"/>
      <c r="T662" s="12"/>
      <c r="U662" s="12">
        <f t="shared" ref="U662:U677" si="285">V662+W662</f>
        <v>0</v>
      </c>
      <c r="V662" s="12"/>
      <c r="W662" s="12"/>
      <c r="X662" s="12">
        <f t="shared" ref="X662:X677" si="286">Y662+Z662</f>
        <v>0</v>
      </c>
      <c r="Y662" s="12"/>
      <c r="Z662" s="12"/>
      <c r="AA662" s="13">
        <f t="shared" si="281"/>
        <v>0</v>
      </c>
      <c r="AB662" s="14">
        <v>46079</v>
      </c>
    </row>
    <row r="663" spans="1:28" ht="15.75" hidden="1" x14ac:dyDescent="0.25">
      <c r="A663" s="65">
        <v>46079</v>
      </c>
      <c r="B663" s="10" t="s">
        <v>197</v>
      </c>
      <c r="C663" s="10"/>
      <c r="D663" s="66" t="s">
        <v>195</v>
      </c>
      <c r="E663" s="10" t="s">
        <v>160</v>
      </c>
      <c r="F663" s="10">
        <v>2</v>
      </c>
      <c r="G663" s="10" t="s">
        <v>22</v>
      </c>
      <c r="H663" s="10">
        <v>400000</v>
      </c>
      <c r="I663" s="10">
        <f t="shared" si="280"/>
        <v>800000</v>
      </c>
      <c r="J663" s="29" t="s">
        <v>110</v>
      </c>
      <c r="K663" s="10" t="s">
        <v>546</v>
      </c>
      <c r="L663" s="12">
        <f t="shared" si="282"/>
        <v>0</v>
      </c>
      <c r="M663" s="12"/>
      <c r="N663" s="12"/>
      <c r="O663" s="12">
        <f t="shared" si="283"/>
        <v>800000</v>
      </c>
      <c r="P663" s="12">
        <v>800000</v>
      </c>
      <c r="Q663" s="12"/>
      <c r="R663" s="12">
        <f t="shared" si="284"/>
        <v>0</v>
      </c>
      <c r="S663" s="12"/>
      <c r="T663" s="12"/>
      <c r="U663" s="12">
        <f t="shared" si="285"/>
        <v>0</v>
      </c>
      <c r="V663" s="12"/>
      <c r="W663" s="12"/>
      <c r="X663" s="12">
        <f t="shared" si="286"/>
        <v>0</v>
      </c>
      <c r="Y663" s="12"/>
      <c r="Z663" s="12"/>
      <c r="AA663" s="13">
        <f t="shared" si="281"/>
        <v>0</v>
      </c>
      <c r="AB663" s="14">
        <v>46077</v>
      </c>
    </row>
    <row r="664" spans="1:28" ht="15.75" hidden="1" x14ac:dyDescent="0.25">
      <c r="A664" s="65">
        <v>46079</v>
      </c>
      <c r="B664" s="10" t="s">
        <v>94</v>
      </c>
      <c r="C664" s="10"/>
      <c r="D664" s="66" t="s">
        <v>195</v>
      </c>
      <c r="E664" s="10" t="s">
        <v>160</v>
      </c>
      <c r="F664" s="10">
        <v>1</v>
      </c>
      <c r="G664" s="10" t="s">
        <v>22</v>
      </c>
      <c r="H664" s="10">
        <v>400000</v>
      </c>
      <c r="I664" s="10">
        <f t="shared" si="280"/>
        <v>400000</v>
      </c>
      <c r="J664" s="83" t="s">
        <v>113</v>
      </c>
      <c r="K664" s="10"/>
      <c r="L664" s="12">
        <f t="shared" si="282"/>
        <v>400000</v>
      </c>
      <c r="M664" s="12">
        <v>400000</v>
      </c>
      <c r="N664" s="12"/>
      <c r="O664" s="12">
        <f t="shared" si="283"/>
        <v>0</v>
      </c>
      <c r="P664" s="12"/>
      <c r="Q664" s="12"/>
      <c r="R664" s="12">
        <f t="shared" si="284"/>
        <v>0</v>
      </c>
      <c r="S664" s="12"/>
      <c r="T664" s="12"/>
      <c r="U664" s="12">
        <f t="shared" si="285"/>
        <v>0</v>
      </c>
      <c r="V664" s="12"/>
      <c r="W664" s="12"/>
      <c r="X664" s="12">
        <f t="shared" si="286"/>
        <v>0</v>
      </c>
      <c r="Y664" s="12"/>
      <c r="Z664" s="12"/>
      <c r="AA664" s="13">
        <f t="shared" si="281"/>
        <v>0</v>
      </c>
      <c r="AB664" s="14">
        <v>46079</v>
      </c>
    </row>
    <row r="665" spans="1:28" ht="15.75" hidden="1" x14ac:dyDescent="0.25">
      <c r="A665" s="65">
        <v>46079</v>
      </c>
      <c r="B665" s="10" t="s">
        <v>174</v>
      </c>
      <c r="C665" s="10"/>
      <c r="D665" s="66" t="s">
        <v>195</v>
      </c>
      <c r="E665" s="10" t="s">
        <v>160</v>
      </c>
      <c r="F665" s="10">
        <v>4</v>
      </c>
      <c r="G665" s="10" t="s">
        <v>22</v>
      </c>
      <c r="H665" s="10">
        <v>400000</v>
      </c>
      <c r="I665" s="10">
        <f t="shared" si="280"/>
        <v>1600000</v>
      </c>
      <c r="J665" s="83" t="s">
        <v>110</v>
      </c>
      <c r="K665" s="10" t="s">
        <v>547</v>
      </c>
      <c r="L665" s="12">
        <f t="shared" si="282"/>
        <v>0</v>
      </c>
      <c r="M665" s="12"/>
      <c r="N665" s="12"/>
      <c r="O665" s="12">
        <f t="shared" si="283"/>
        <v>1600000</v>
      </c>
      <c r="P665" s="12">
        <v>1600000</v>
      </c>
      <c r="Q665" s="12"/>
      <c r="R665" s="12">
        <f t="shared" si="284"/>
        <v>0</v>
      </c>
      <c r="S665" s="12"/>
      <c r="T665" s="12"/>
      <c r="U665" s="12">
        <f t="shared" si="285"/>
        <v>0</v>
      </c>
      <c r="V665" s="12"/>
      <c r="W665" s="12"/>
      <c r="X665" s="12">
        <f t="shared" si="286"/>
        <v>0</v>
      </c>
      <c r="Y665" s="12"/>
      <c r="Z665" s="12"/>
      <c r="AA665" s="13">
        <f t="shared" si="281"/>
        <v>0</v>
      </c>
      <c r="AB665" s="14">
        <v>46079</v>
      </c>
    </row>
    <row r="666" spans="1:28" ht="15.75" hidden="1" x14ac:dyDescent="0.25">
      <c r="A666" s="65">
        <v>46079</v>
      </c>
      <c r="B666" s="10" t="s">
        <v>174</v>
      </c>
      <c r="C666" s="10"/>
      <c r="D666" s="66" t="s">
        <v>195</v>
      </c>
      <c r="E666" s="10" t="s">
        <v>421</v>
      </c>
      <c r="F666" s="10">
        <v>1</v>
      </c>
      <c r="G666" s="10" t="s">
        <v>22</v>
      </c>
      <c r="H666" s="10">
        <v>400000</v>
      </c>
      <c r="I666" s="10">
        <f t="shared" si="280"/>
        <v>400000</v>
      </c>
      <c r="J666" s="83" t="s">
        <v>110</v>
      </c>
      <c r="K666" s="10" t="s">
        <v>547</v>
      </c>
      <c r="L666" s="12">
        <f t="shared" si="282"/>
        <v>0</v>
      </c>
      <c r="M666" s="12"/>
      <c r="N666" s="12"/>
      <c r="O666" s="12">
        <f t="shared" si="283"/>
        <v>400000</v>
      </c>
      <c r="P666" s="12">
        <v>400000</v>
      </c>
      <c r="Q666" s="12"/>
      <c r="R666" s="12">
        <f t="shared" si="284"/>
        <v>0</v>
      </c>
      <c r="S666" s="12"/>
      <c r="T666" s="12"/>
      <c r="U666" s="12">
        <f t="shared" si="285"/>
        <v>0</v>
      </c>
      <c r="V666" s="12"/>
      <c r="W666" s="12"/>
      <c r="X666" s="12">
        <f t="shared" si="286"/>
        <v>0</v>
      </c>
      <c r="Y666" s="12"/>
      <c r="Z666" s="12"/>
      <c r="AA666" s="13">
        <f t="shared" si="281"/>
        <v>0</v>
      </c>
      <c r="AB666" s="14">
        <v>46079</v>
      </c>
    </row>
    <row r="667" spans="1:28" ht="15.75" hidden="1" x14ac:dyDescent="0.25">
      <c r="A667" s="65">
        <v>46079</v>
      </c>
      <c r="B667" s="10" t="s">
        <v>543</v>
      </c>
      <c r="C667" s="10"/>
      <c r="D667" s="66" t="s">
        <v>195</v>
      </c>
      <c r="E667" s="10" t="s">
        <v>88</v>
      </c>
      <c r="F667" s="10">
        <v>25</v>
      </c>
      <c r="G667" s="10" t="s">
        <v>36</v>
      </c>
      <c r="H667" s="10">
        <v>125000</v>
      </c>
      <c r="I667" s="10">
        <f t="shared" si="280"/>
        <v>3125000</v>
      </c>
      <c r="J667" s="83" t="s">
        <v>113</v>
      </c>
      <c r="K667" s="10"/>
      <c r="L667" s="12">
        <f t="shared" si="282"/>
        <v>0</v>
      </c>
      <c r="M667" s="12"/>
      <c r="N667" s="12"/>
      <c r="O667" s="12">
        <f t="shared" si="283"/>
        <v>0</v>
      </c>
      <c r="P667" s="12"/>
      <c r="Q667" s="12"/>
      <c r="R667" s="12">
        <f t="shared" si="284"/>
        <v>0</v>
      </c>
      <c r="S667" s="12"/>
      <c r="T667" s="12"/>
      <c r="U667" s="12">
        <f t="shared" si="285"/>
        <v>3125000</v>
      </c>
      <c r="V667" s="12">
        <v>3125000</v>
      </c>
      <c r="W667" s="12"/>
      <c r="X667" s="12">
        <f t="shared" si="286"/>
        <v>0</v>
      </c>
      <c r="Y667" s="12"/>
      <c r="Z667" s="12"/>
      <c r="AA667" s="13">
        <f t="shared" si="281"/>
        <v>0</v>
      </c>
      <c r="AB667" s="14">
        <v>46079</v>
      </c>
    </row>
    <row r="668" spans="1:28" ht="15.75" hidden="1" x14ac:dyDescent="0.25">
      <c r="A668" s="65">
        <v>46079</v>
      </c>
      <c r="B668" s="10" t="s">
        <v>278</v>
      </c>
      <c r="C668" s="10"/>
      <c r="D668" s="66" t="s">
        <v>195</v>
      </c>
      <c r="E668" s="10" t="s">
        <v>117</v>
      </c>
      <c r="F668" s="10">
        <v>5</v>
      </c>
      <c r="G668" s="10" t="s">
        <v>36</v>
      </c>
      <c r="H668" s="10">
        <v>70000</v>
      </c>
      <c r="I668" s="10">
        <f t="shared" si="280"/>
        <v>350000</v>
      </c>
      <c r="J668" s="83" t="s">
        <v>113</v>
      </c>
      <c r="K668" s="10"/>
      <c r="L668" s="12">
        <f t="shared" si="282"/>
        <v>350000</v>
      </c>
      <c r="M668" s="12">
        <v>350000</v>
      </c>
      <c r="N668" s="12"/>
      <c r="O668" s="12">
        <f t="shared" si="283"/>
        <v>0</v>
      </c>
      <c r="P668" s="12"/>
      <c r="Q668" s="12"/>
      <c r="R668" s="12">
        <f t="shared" si="284"/>
        <v>0</v>
      </c>
      <c r="S668" s="12"/>
      <c r="T668" s="12"/>
      <c r="U668" s="12">
        <f t="shared" si="285"/>
        <v>0</v>
      </c>
      <c r="V668" s="12"/>
      <c r="W668" s="12"/>
      <c r="X668" s="12">
        <f t="shared" si="286"/>
        <v>0</v>
      </c>
      <c r="Y668" s="12"/>
      <c r="Z668" s="12"/>
      <c r="AA668" s="13">
        <f t="shared" si="281"/>
        <v>0</v>
      </c>
      <c r="AB668" s="14">
        <v>46079</v>
      </c>
    </row>
    <row r="669" spans="1:28" ht="15.75" hidden="1" x14ac:dyDescent="0.25">
      <c r="A669" s="65">
        <v>46079</v>
      </c>
      <c r="B669" s="10" t="s">
        <v>544</v>
      </c>
      <c r="C669" s="10"/>
      <c r="D669" s="66" t="s">
        <v>195</v>
      </c>
      <c r="E669" s="10" t="s">
        <v>116</v>
      </c>
      <c r="F669" s="10">
        <v>4</v>
      </c>
      <c r="G669" s="10" t="s">
        <v>67</v>
      </c>
      <c r="H669" s="10">
        <v>65000</v>
      </c>
      <c r="I669" s="10">
        <f t="shared" si="280"/>
        <v>260000</v>
      </c>
      <c r="J669" s="83" t="s">
        <v>113</v>
      </c>
      <c r="K669" s="10"/>
      <c r="L669" s="12">
        <f t="shared" si="282"/>
        <v>0</v>
      </c>
      <c r="M669" s="12"/>
      <c r="N669" s="12"/>
      <c r="O669" s="12">
        <f t="shared" si="283"/>
        <v>0</v>
      </c>
      <c r="P669" s="12"/>
      <c r="Q669" s="12"/>
      <c r="R669" s="12">
        <f t="shared" si="284"/>
        <v>0</v>
      </c>
      <c r="S669" s="12"/>
      <c r="T669" s="12"/>
      <c r="U669" s="12">
        <f t="shared" si="285"/>
        <v>260000</v>
      </c>
      <c r="V669" s="12">
        <v>260000</v>
      </c>
      <c r="W669" s="12"/>
      <c r="X669" s="12">
        <f t="shared" si="286"/>
        <v>0</v>
      </c>
      <c r="Y669" s="12"/>
      <c r="Z669" s="12"/>
      <c r="AA669" s="13">
        <f t="shared" si="281"/>
        <v>0</v>
      </c>
      <c r="AB669" s="14">
        <v>46079</v>
      </c>
    </row>
    <row r="670" spans="1:28" ht="15.75" hidden="1" x14ac:dyDescent="0.25">
      <c r="A670" s="65">
        <v>46079</v>
      </c>
      <c r="B670" s="10" t="s">
        <v>544</v>
      </c>
      <c r="C670" s="10"/>
      <c r="D670" s="66" t="s">
        <v>195</v>
      </c>
      <c r="E670" s="10" t="s">
        <v>117</v>
      </c>
      <c r="F670" s="10">
        <v>2</v>
      </c>
      <c r="G670" s="10" t="s">
        <v>36</v>
      </c>
      <c r="H670" s="10">
        <v>70000</v>
      </c>
      <c r="I670" s="10">
        <f t="shared" si="280"/>
        <v>140000</v>
      </c>
      <c r="J670" s="83" t="s">
        <v>113</v>
      </c>
      <c r="K670" s="10"/>
      <c r="L670" s="12">
        <f t="shared" si="282"/>
        <v>0</v>
      </c>
      <c r="M670" s="12"/>
      <c r="N670" s="12"/>
      <c r="O670" s="12">
        <f t="shared" si="283"/>
        <v>0</v>
      </c>
      <c r="P670" s="12"/>
      <c r="Q670" s="12"/>
      <c r="R670" s="12">
        <f t="shared" si="284"/>
        <v>0</v>
      </c>
      <c r="S670" s="12"/>
      <c r="T670" s="12"/>
      <c r="U670" s="12">
        <f t="shared" si="285"/>
        <v>140000</v>
      </c>
      <c r="V670" s="12">
        <v>140000</v>
      </c>
      <c r="W670" s="12"/>
      <c r="X670" s="12">
        <f t="shared" si="286"/>
        <v>0</v>
      </c>
      <c r="Y670" s="12"/>
      <c r="Z670" s="12"/>
      <c r="AA670" s="13">
        <f t="shared" si="281"/>
        <v>0</v>
      </c>
      <c r="AB670" s="14">
        <v>46079</v>
      </c>
    </row>
    <row r="671" spans="1:28" ht="15.75" hidden="1" x14ac:dyDescent="0.25">
      <c r="A671" s="65">
        <v>46079</v>
      </c>
      <c r="B671" s="10" t="s">
        <v>163</v>
      </c>
      <c r="C671" s="10"/>
      <c r="D671" s="10" t="s">
        <v>383</v>
      </c>
      <c r="E671" s="10" t="s">
        <v>70</v>
      </c>
      <c r="F671" s="10">
        <v>120</v>
      </c>
      <c r="G671" s="10" t="s">
        <v>36</v>
      </c>
      <c r="H671" s="10">
        <v>54000</v>
      </c>
      <c r="I671" s="10">
        <f t="shared" si="280"/>
        <v>6480000</v>
      </c>
      <c r="J671" s="52" t="s">
        <v>90</v>
      </c>
      <c r="K671" s="10" t="s">
        <v>531</v>
      </c>
      <c r="L671" s="12">
        <f t="shared" si="282"/>
        <v>0</v>
      </c>
      <c r="M671" s="12"/>
      <c r="N671" s="12"/>
      <c r="O671" s="12">
        <f t="shared" si="283"/>
        <v>0</v>
      </c>
      <c r="P671" s="12"/>
      <c r="Q671" s="12"/>
      <c r="R671" s="12">
        <f t="shared" si="284"/>
        <v>0</v>
      </c>
      <c r="S671" s="12"/>
      <c r="T671" s="12"/>
      <c r="U671" s="12">
        <f t="shared" si="285"/>
        <v>0</v>
      </c>
      <c r="V671" s="12"/>
      <c r="W671" s="12"/>
      <c r="X671" s="12">
        <f t="shared" si="286"/>
        <v>0</v>
      </c>
      <c r="Y671" s="12"/>
      <c r="Z671" s="12"/>
      <c r="AA671" s="13">
        <f t="shared" si="281"/>
        <v>6480000</v>
      </c>
      <c r="AB671" s="14"/>
    </row>
    <row r="672" spans="1:28" ht="15.75" hidden="1" x14ac:dyDescent="0.25">
      <c r="A672" s="65">
        <v>46079</v>
      </c>
      <c r="B672" s="10" t="s">
        <v>362</v>
      </c>
      <c r="C672" s="10"/>
      <c r="D672" s="10" t="s">
        <v>195</v>
      </c>
      <c r="E672" s="10" t="s">
        <v>186</v>
      </c>
      <c r="F672" s="10">
        <v>2</v>
      </c>
      <c r="G672" s="10" t="s">
        <v>22</v>
      </c>
      <c r="H672" s="10">
        <v>1200000</v>
      </c>
      <c r="I672" s="10">
        <f t="shared" si="280"/>
        <v>2400000</v>
      </c>
      <c r="J672" s="83" t="s">
        <v>110</v>
      </c>
      <c r="K672" s="10" t="s">
        <v>548</v>
      </c>
      <c r="L672" s="12">
        <f t="shared" si="282"/>
        <v>0</v>
      </c>
      <c r="M672" s="12"/>
      <c r="N672" s="12"/>
      <c r="O672" s="12">
        <f t="shared" si="283"/>
        <v>2400000</v>
      </c>
      <c r="P672" s="12">
        <v>2400000</v>
      </c>
      <c r="Q672" s="12"/>
      <c r="R672" s="12">
        <f t="shared" si="284"/>
        <v>0</v>
      </c>
      <c r="S672" s="12"/>
      <c r="T672" s="12"/>
      <c r="U672" s="12">
        <f t="shared" si="285"/>
        <v>0</v>
      </c>
      <c r="V672" s="12"/>
      <c r="W672" s="12"/>
      <c r="X672" s="12">
        <f t="shared" si="286"/>
        <v>0</v>
      </c>
      <c r="Y672" s="12"/>
      <c r="Z672" s="12"/>
      <c r="AA672" s="13">
        <f t="shared" si="281"/>
        <v>0</v>
      </c>
      <c r="AB672" s="14">
        <v>46079</v>
      </c>
    </row>
    <row r="673" spans="1:28" ht="15.75" x14ac:dyDescent="0.25">
      <c r="A673" s="65">
        <v>46079</v>
      </c>
      <c r="B673" s="10" t="s">
        <v>272</v>
      </c>
      <c r="C673" s="10"/>
      <c r="D673" s="10"/>
      <c r="E673" s="10" t="s">
        <v>229</v>
      </c>
      <c r="F673" s="10">
        <v>14.2</v>
      </c>
      <c r="G673" s="10" t="s">
        <v>36</v>
      </c>
      <c r="H673" s="10">
        <v>43000</v>
      </c>
      <c r="I673" s="10">
        <f t="shared" si="280"/>
        <v>610600</v>
      </c>
      <c r="J673" s="115" t="s">
        <v>90</v>
      </c>
      <c r="K673" s="10"/>
      <c r="L673" s="12">
        <f t="shared" si="282"/>
        <v>0</v>
      </c>
      <c r="M673" s="12"/>
      <c r="N673" s="12"/>
      <c r="O673" s="12">
        <f t="shared" si="283"/>
        <v>0</v>
      </c>
      <c r="P673" s="12"/>
      <c r="Q673" s="12"/>
      <c r="R673" s="12">
        <f t="shared" si="284"/>
        <v>0</v>
      </c>
      <c r="S673" s="12"/>
      <c r="T673" s="12"/>
      <c r="U673" s="12">
        <f t="shared" si="285"/>
        <v>0</v>
      </c>
      <c r="V673" s="12"/>
      <c r="W673" s="12"/>
      <c r="X673" s="12">
        <f t="shared" si="286"/>
        <v>0</v>
      </c>
      <c r="Y673" s="12"/>
      <c r="Z673" s="12"/>
      <c r="AA673" s="13">
        <f t="shared" si="281"/>
        <v>610600</v>
      </c>
      <c r="AB673" s="14"/>
    </row>
    <row r="674" spans="1:28" ht="15.75" x14ac:dyDescent="0.25">
      <c r="A674" s="65">
        <v>46079</v>
      </c>
      <c r="B674" s="10" t="s">
        <v>272</v>
      </c>
      <c r="C674" s="10"/>
      <c r="D674" s="10"/>
      <c r="E674" s="10" t="s">
        <v>436</v>
      </c>
      <c r="F674" s="10">
        <v>33.1</v>
      </c>
      <c r="G674" s="10" t="s">
        <v>36</v>
      </c>
      <c r="H674" s="10">
        <v>43000</v>
      </c>
      <c r="I674" s="10">
        <f t="shared" si="280"/>
        <v>1423300</v>
      </c>
      <c r="J674" s="115" t="s">
        <v>90</v>
      </c>
      <c r="K674" s="10"/>
      <c r="L674" s="12">
        <f t="shared" si="282"/>
        <v>0</v>
      </c>
      <c r="M674" s="12"/>
      <c r="N674" s="12"/>
      <c r="O674" s="12">
        <f t="shared" si="283"/>
        <v>0</v>
      </c>
      <c r="P674" s="12"/>
      <c r="Q674" s="12"/>
      <c r="R674" s="12">
        <f t="shared" si="284"/>
        <v>0</v>
      </c>
      <c r="S674" s="12"/>
      <c r="T674" s="12"/>
      <c r="U674" s="12">
        <f t="shared" si="285"/>
        <v>0</v>
      </c>
      <c r="V674" s="12"/>
      <c r="W674" s="12"/>
      <c r="X674" s="12">
        <f t="shared" si="286"/>
        <v>0</v>
      </c>
      <c r="Y674" s="12"/>
      <c r="Z674" s="12"/>
      <c r="AA674" s="13">
        <f t="shared" si="281"/>
        <v>1423300</v>
      </c>
      <c r="AB674" s="14"/>
    </row>
    <row r="675" spans="1:28" ht="15.75" x14ac:dyDescent="0.25">
      <c r="A675" s="65">
        <v>46079</v>
      </c>
      <c r="B675" s="10" t="s">
        <v>272</v>
      </c>
      <c r="C675" s="10"/>
      <c r="D675" s="10"/>
      <c r="E675" s="10" t="s">
        <v>315</v>
      </c>
      <c r="F675" s="10">
        <v>26.6</v>
      </c>
      <c r="G675" s="10" t="s">
        <v>36</v>
      </c>
      <c r="H675" s="10">
        <v>43000</v>
      </c>
      <c r="I675" s="10">
        <f t="shared" si="280"/>
        <v>1143800</v>
      </c>
      <c r="J675" s="115" t="s">
        <v>90</v>
      </c>
      <c r="K675" s="10"/>
      <c r="L675" s="12">
        <f t="shared" si="282"/>
        <v>0</v>
      </c>
      <c r="M675" s="12"/>
      <c r="N675" s="12"/>
      <c r="O675" s="12">
        <f t="shared" si="283"/>
        <v>0</v>
      </c>
      <c r="P675" s="12"/>
      <c r="Q675" s="12"/>
      <c r="R675" s="12">
        <f t="shared" si="284"/>
        <v>0</v>
      </c>
      <c r="S675" s="12"/>
      <c r="T675" s="12"/>
      <c r="U675" s="12">
        <f t="shared" si="285"/>
        <v>0</v>
      </c>
      <c r="V675" s="12"/>
      <c r="W675" s="12"/>
      <c r="X675" s="12">
        <f t="shared" si="286"/>
        <v>0</v>
      </c>
      <c r="Y675" s="12"/>
      <c r="Z675" s="12"/>
      <c r="AA675" s="13">
        <f t="shared" si="281"/>
        <v>1143800</v>
      </c>
      <c r="AB675" s="14"/>
    </row>
    <row r="676" spans="1:28" ht="15.75" hidden="1" x14ac:dyDescent="0.25">
      <c r="A676" s="28">
        <v>46079</v>
      </c>
      <c r="B676" s="10" t="s">
        <v>285</v>
      </c>
      <c r="C676" s="10"/>
      <c r="D676" s="10" t="s">
        <v>383</v>
      </c>
      <c r="E676" s="10" t="s">
        <v>104</v>
      </c>
      <c r="F676" s="10">
        <v>10400</v>
      </c>
      <c r="G676" s="10" t="s">
        <v>26</v>
      </c>
      <c r="H676" s="10">
        <v>1800</v>
      </c>
      <c r="I676" s="10">
        <f t="shared" si="280"/>
        <v>18720000</v>
      </c>
      <c r="J676" s="83" t="s">
        <v>110</v>
      </c>
      <c r="K676" s="10" t="s">
        <v>545</v>
      </c>
      <c r="L676" s="12">
        <f t="shared" si="282"/>
        <v>0</v>
      </c>
      <c r="M676" s="12"/>
      <c r="N676" s="12"/>
      <c r="O676" s="12">
        <f t="shared" si="283"/>
        <v>18720000</v>
      </c>
      <c r="P676" s="12">
        <v>18720000</v>
      </c>
      <c r="Q676" s="12"/>
      <c r="R676" s="12">
        <f t="shared" si="284"/>
        <v>0</v>
      </c>
      <c r="S676" s="12"/>
      <c r="T676" s="12"/>
      <c r="U676" s="12">
        <f t="shared" si="285"/>
        <v>0</v>
      </c>
      <c r="V676" s="12"/>
      <c r="W676" s="12"/>
      <c r="X676" s="12">
        <f t="shared" si="286"/>
        <v>0</v>
      </c>
      <c r="Y676" s="12"/>
      <c r="Z676" s="12"/>
      <c r="AA676" s="13">
        <f t="shared" si="281"/>
        <v>0</v>
      </c>
      <c r="AB676" s="14">
        <v>46079</v>
      </c>
    </row>
    <row r="677" spans="1:28" ht="15.75" x14ac:dyDescent="0.25">
      <c r="A677" s="65">
        <v>46079</v>
      </c>
      <c r="B677" s="10" t="s">
        <v>272</v>
      </c>
      <c r="C677" s="10"/>
      <c r="D677" s="10"/>
      <c r="E677" s="10" t="s">
        <v>315</v>
      </c>
      <c r="F677" s="10">
        <v>53.6</v>
      </c>
      <c r="G677" s="10" t="s">
        <v>36</v>
      </c>
      <c r="H677" s="10">
        <v>43000</v>
      </c>
      <c r="I677" s="10">
        <f t="shared" si="280"/>
        <v>2304800</v>
      </c>
      <c r="J677" s="115" t="s">
        <v>90</v>
      </c>
      <c r="K677" s="10"/>
      <c r="L677" s="12">
        <f t="shared" si="282"/>
        <v>0</v>
      </c>
      <c r="M677" s="12"/>
      <c r="N677" s="12"/>
      <c r="O677" s="12">
        <f t="shared" si="283"/>
        <v>0</v>
      </c>
      <c r="P677" s="12"/>
      <c r="Q677" s="12"/>
      <c r="R677" s="12">
        <f t="shared" si="284"/>
        <v>0</v>
      </c>
      <c r="S677" s="12"/>
      <c r="T677" s="12"/>
      <c r="U677" s="12">
        <f t="shared" si="285"/>
        <v>0</v>
      </c>
      <c r="V677" s="12"/>
      <c r="W677" s="12"/>
      <c r="X677" s="12">
        <f t="shared" si="286"/>
        <v>0</v>
      </c>
      <c r="Y677" s="12"/>
      <c r="Z677" s="12"/>
      <c r="AA677" s="13">
        <f t="shared" si="281"/>
        <v>2304800</v>
      </c>
      <c r="AB677" s="14"/>
    </row>
    <row r="678" spans="1:28" ht="16.5" thickBot="1" x14ac:dyDescent="0.3">
      <c r="A678" s="53">
        <v>46079</v>
      </c>
      <c r="B678" s="31" t="s">
        <v>272</v>
      </c>
      <c r="C678" s="31"/>
      <c r="D678" s="31"/>
      <c r="E678" s="31" t="s">
        <v>306</v>
      </c>
      <c r="F678" s="31">
        <v>84.2</v>
      </c>
      <c r="G678" s="31" t="s">
        <v>36</v>
      </c>
      <c r="H678" s="31">
        <v>43000</v>
      </c>
      <c r="I678" s="31">
        <f t="shared" si="280"/>
        <v>3620600</v>
      </c>
      <c r="J678" s="116" t="s">
        <v>90</v>
      </c>
      <c r="K678" s="31"/>
      <c r="L678" s="34">
        <f t="shared" ref="L678:L679" si="287">M678+N678</f>
        <v>0</v>
      </c>
      <c r="M678" s="34"/>
      <c r="N678" s="34"/>
      <c r="O678" s="34">
        <f t="shared" ref="O678:O679" si="288">P678+Q678</f>
        <v>0</v>
      </c>
      <c r="P678" s="34"/>
      <c r="Q678" s="34"/>
      <c r="R678" s="34">
        <f t="shared" ref="R678:R679" si="289">S678+T678</f>
        <v>0</v>
      </c>
      <c r="S678" s="34"/>
      <c r="T678" s="34"/>
      <c r="U678" s="34">
        <f t="shared" ref="U678:U679" si="290">V678+W678</f>
        <v>0</v>
      </c>
      <c r="V678" s="34"/>
      <c r="W678" s="34"/>
      <c r="X678" s="34">
        <f t="shared" ref="X678:X679" si="291">Y678+Z678</f>
        <v>0</v>
      </c>
      <c r="Y678" s="34"/>
      <c r="Z678" s="34"/>
      <c r="AA678" s="35">
        <f t="shared" si="281"/>
        <v>3620600</v>
      </c>
      <c r="AB678" s="36"/>
    </row>
    <row r="679" spans="1:28" ht="15.75" hidden="1" x14ac:dyDescent="0.25">
      <c r="A679" s="65">
        <v>46080</v>
      </c>
      <c r="B679" s="66" t="s">
        <v>69</v>
      </c>
      <c r="C679" s="66"/>
      <c r="D679" s="66" t="s">
        <v>383</v>
      </c>
      <c r="E679" s="66" t="s">
        <v>156</v>
      </c>
      <c r="F679" s="66">
        <v>600</v>
      </c>
      <c r="G679" s="66" t="s">
        <v>39</v>
      </c>
      <c r="H679" s="66">
        <v>28000</v>
      </c>
      <c r="I679" s="10">
        <f t="shared" si="280"/>
        <v>16800000</v>
      </c>
      <c r="J679" s="114" t="s">
        <v>90</v>
      </c>
      <c r="K679" s="10" t="s">
        <v>553</v>
      </c>
      <c r="L679" s="12">
        <f t="shared" si="287"/>
        <v>0</v>
      </c>
      <c r="M679" s="12"/>
      <c r="N679" s="12"/>
      <c r="O679" s="12">
        <f t="shared" si="288"/>
        <v>0</v>
      </c>
      <c r="P679" s="12"/>
      <c r="Q679" s="12"/>
      <c r="R679" s="12">
        <f t="shared" si="289"/>
        <v>0</v>
      </c>
      <c r="S679" s="12"/>
      <c r="T679" s="12"/>
      <c r="U679" s="12">
        <f t="shared" si="290"/>
        <v>0</v>
      </c>
      <c r="V679" s="12"/>
      <c r="W679" s="12"/>
      <c r="X679" s="12">
        <f t="shared" si="291"/>
        <v>0</v>
      </c>
      <c r="Y679" s="12"/>
      <c r="Z679" s="12"/>
      <c r="AA679" s="13">
        <f t="shared" si="281"/>
        <v>16800000</v>
      </c>
      <c r="AB679" s="14"/>
    </row>
    <row r="680" spans="1:28" ht="15.75" hidden="1" x14ac:dyDescent="0.25">
      <c r="A680" s="65">
        <v>46080</v>
      </c>
      <c r="B680" s="66" t="s">
        <v>69</v>
      </c>
      <c r="C680" s="10"/>
      <c r="D680" s="66" t="s">
        <v>383</v>
      </c>
      <c r="E680" s="10" t="s">
        <v>66</v>
      </c>
      <c r="F680" s="10">
        <v>40</v>
      </c>
      <c r="G680" s="10" t="s">
        <v>67</v>
      </c>
      <c r="H680" s="10">
        <v>50000</v>
      </c>
      <c r="I680" s="10">
        <f t="shared" si="280"/>
        <v>2000000</v>
      </c>
      <c r="J680" s="114" t="s">
        <v>90</v>
      </c>
      <c r="K680" s="10" t="s">
        <v>553</v>
      </c>
      <c r="L680" s="12">
        <f t="shared" ref="L680:L697" si="292">M680+N680</f>
        <v>0</v>
      </c>
      <c r="M680" s="12"/>
      <c r="N680" s="12"/>
      <c r="O680" s="12">
        <f t="shared" ref="O680:O697" si="293">P680+Q680</f>
        <v>0</v>
      </c>
      <c r="P680" s="12"/>
      <c r="Q680" s="12"/>
      <c r="R680" s="12">
        <f t="shared" ref="R680:R697" si="294">S680+T680</f>
        <v>0</v>
      </c>
      <c r="S680" s="12"/>
      <c r="T680" s="12"/>
      <c r="U680" s="12">
        <f t="shared" ref="U680:U697" si="295">V680+W680</f>
        <v>0</v>
      </c>
      <c r="V680" s="12"/>
      <c r="W680" s="12"/>
      <c r="X680" s="12">
        <f t="shared" ref="X680:X697" si="296">Y680+Z680</f>
        <v>0</v>
      </c>
      <c r="Y680" s="12"/>
      <c r="Z680" s="12"/>
      <c r="AA680" s="13">
        <f t="shared" si="281"/>
        <v>2000000</v>
      </c>
      <c r="AB680" s="14"/>
    </row>
    <row r="681" spans="1:28" ht="15.75" hidden="1" x14ac:dyDescent="0.25">
      <c r="A681" s="65">
        <v>46080</v>
      </c>
      <c r="B681" s="66" t="s">
        <v>69</v>
      </c>
      <c r="C681" s="10"/>
      <c r="D681" s="66" t="s">
        <v>383</v>
      </c>
      <c r="E681" s="10" t="s">
        <v>70</v>
      </c>
      <c r="F681" s="10">
        <v>100</v>
      </c>
      <c r="G681" s="10" t="s">
        <v>36</v>
      </c>
      <c r="H681" s="10">
        <v>55000</v>
      </c>
      <c r="I681" s="10">
        <f t="shared" si="280"/>
        <v>5500000</v>
      </c>
      <c r="J681" s="114" t="s">
        <v>90</v>
      </c>
      <c r="K681" s="10" t="s">
        <v>553</v>
      </c>
      <c r="L681" s="12">
        <f t="shared" si="292"/>
        <v>0</v>
      </c>
      <c r="M681" s="12"/>
      <c r="N681" s="12"/>
      <c r="O681" s="12">
        <f t="shared" si="293"/>
        <v>0</v>
      </c>
      <c r="P681" s="12"/>
      <c r="Q681" s="12"/>
      <c r="R681" s="12">
        <f t="shared" si="294"/>
        <v>0</v>
      </c>
      <c r="S681" s="12"/>
      <c r="T681" s="12"/>
      <c r="U681" s="12">
        <f t="shared" si="295"/>
        <v>0</v>
      </c>
      <c r="V681" s="12"/>
      <c r="W681" s="12"/>
      <c r="X681" s="12">
        <f t="shared" si="296"/>
        <v>0</v>
      </c>
      <c r="Y681" s="12"/>
      <c r="Z681" s="12"/>
      <c r="AA681" s="13">
        <f t="shared" si="281"/>
        <v>5500000</v>
      </c>
      <c r="AB681" s="14"/>
    </row>
    <row r="682" spans="1:28" ht="15.75" hidden="1" x14ac:dyDescent="0.25">
      <c r="A682" s="65">
        <v>46080</v>
      </c>
      <c r="B682" s="66" t="s">
        <v>69</v>
      </c>
      <c r="C682" s="10"/>
      <c r="D682" s="66" t="s">
        <v>383</v>
      </c>
      <c r="E682" s="10" t="s">
        <v>80</v>
      </c>
      <c r="F682" s="10">
        <v>45.1</v>
      </c>
      <c r="G682" s="10" t="s">
        <v>36</v>
      </c>
      <c r="H682" s="10">
        <v>43000</v>
      </c>
      <c r="I682" s="10">
        <f t="shared" si="280"/>
        <v>1939300</v>
      </c>
      <c r="J682" s="114" t="s">
        <v>90</v>
      </c>
      <c r="K682" s="10" t="s">
        <v>553</v>
      </c>
      <c r="L682" s="12">
        <f t="shared" si="292"/>
        <v>0</v>
      </c>
      <c r="M682" s="12"/>
      <c r="N682" s="12"/>
      <c r="O682" s="12">
        <f t="shared" si="293"/>
        <v>0</v>
      </c>
      <c r="P682" s="12"/>
      <c r="Q682" s="12"/>
      <c r="R682" s="12">
        <f t="shared" si="294"/>
        <v>0</v>
      </c>
      <c r="S682" s="12"/>
      <c r="T682" s="12"/>
      <c r="U682" s="12">
        <f t="shared" si="295"/>
        <v>0</v>
      </c>
      <c r="V682" s="12"/>
      <c r="W682" s="12"/>
      <c r="X682" s="12">
        <f t="shared" si="296"/>
        <v>0</v>
      </c>
      <c r="Y682" s="12"/>
      <c r="Z682" s="12"/>
      <c r="AA682" s="13">
        <f t="shared" si="281"/>
        <v>1939300</v>
      </c>
      <c r="AB682" s="14"/>
    </row>
    <row r="683" spans="1:28" ht="15.75" hidden="1" x14ac:dyDescent="0.25">
      <c r="A683" s="65">
        <v>46080</v>
      </c>
      <c r="B683" s="10" t="s">
        <v>400</v>
      </c>
      <c r="C683" s="10"/>
      <c r="D683" s="10" t="s">
        <v>195</v>
      </c>
      <c r="E683" s="10" t="s">
        <v>160</v>
      </c>
      <c r="F683" s="10">
        <v>1</v>
      </c>
      <c r="G683" s="10" t="s">
        <v>22</v>
      </c>
      <c r="H683" s="10">
        <v>400000</v>
      </c>
      <c r="I683" s="10">
        <f t="shared" si="280"/>
        <v>400000</v>
      </c>
      <c r="J683" s="29" t="s">
        <v>113</v>
      </c>
      <c r="K683" s="10"/>
      <c r="L683" s="12">
        <f t="shared" si="292"/>
        <v>0</v>
      </c>
      <c r="M683" s="12"/>
      <c r="N683" s="12"/>
      <c r="O683" s="12">
        <f t="shared" si="293"/>
        <v>0</v>
      </c>
      <c r="P683" s="12"/>
      <c r="Q683" s="12"/>
      <c r="R683" s="12">
        <f t="shared" si="294"/>
        <v>0</v>
      </c>
      <c r="S683" s="12"/>
      <c r="T683" s="12"/>
      <c r="U683" s="12">
        <f t="shared" si="295"/>
        <v>400000</v>
      </c>
      <c r="V683" s="12">
        <v>400000</v>
      </c>
      <c r="W683" s="12"/>
      <c r="X683" s="12">
        <f t="shared" si="296"/>
        <v>0</v>
      </c>
      <c r="Y683" s="12"/>
      <c r="Z683" s="12"/>
      <c r="AA683" s="13">
        <f t="shared" si="281"/>
        <v>0</v>
      </c>
      <c r="AB683" s="14">
        <v>46079</v>
      </c>
    </row>
    <row r="684" spans="1:28" ht="15.75" hidden="1" x14ac:dyDescent="0.25">
      <c r="A684" s="65">
        <v>46080</v>
      </c>
      <c r="B684" s="10" t="s">
        <v>55</v>
      </c>
      <c r="C684" s="10"/>
      <c r="D684" s="10" t="s">
        <v>195</v>
      </c>
      <c r="E684" s="10" t="s">
        <v>134</v>
      </c>
      <c r="F684" s="10">
        <v>4</v>
      </c>
      <c r="G684" s="10" t="s">
        <v>26</v>
      </c>
      <c r="H684" s="10">
        <v>75000</v>
      </c>
      <c r="I684" s="10">
        <f t="shared" si="280"/>
        <v>300000</v>
      </c>
      <c r="J684" s="29" t="s">
        <v>110</v>
      </c>
      <c r="K684" s="10" t="s">
        <v>555</v>
      </c>
      <c r="L684" s="12">
        <f t="shared" si="292"/>
        <v>0</v>
      </c>
      <c r="M684" s="12"/>
      <c r="N684" s="12"/>
      <c r="O684" s="12">
        <f t="shared" si="293"/>
        <v>300000</v>
      </c>
      <c r="P684" s="12">
        <v>300000</v>
      </c>
      <c r="Q684" s="12"/>
      <c r="R684" s="12">
        <f t="shared" si="294"/>
        <v>0</v>
      </c>
      <c r="S684" s="12"/>
      <c r="T684" s="12"/>
      <c r="U684" s="12">
        <f t="shared" si="295"/>
        <v>0</v>
      </c>
      <c r="V684" s="12"/>
      <c r="W684" s="12"/>
      <c r="X684" s="12">
        <f t="shared" si="296"/>
        <v>0</v>
      </c>
      <c r="Y684" s="12"/>
      <c r="Z684" s="12"/>
      <c r="AA684" s="13">
        <f t="shared" si="281"/>
        <v>0</v>
      </c>
      <c r="AB684" s="14">
        <v>46079</v>
      </c>
    </row>
    <row r="685" spans="1:28" ht="15.75" hidden="1" x14ac:dyDescent="0.25">
      <c r="A685" s="65">
        <v>46080</v>
      </c>
      <c r="B685" s="10" t="s">
        <v>55</v>
      </c>
      <c r="C685" s="10"/>
      <c r="D685" s="10" t="s">
        <v>195</v>
      </c>
      <c r="E685" s="10" t="s">
        <v>112</v>
      </c>
      <c r="F685" s="10">
        <v>4</v>
      </c>
      <c r="G685" s="10" t="s">
        <v>26</v>
      </c>
      <c r="H685" s="10">
        <v>95000</v>
      </c>
      <c r="I685" s="10">
        <f t="shared" si="280"/>
        <v>380000</v>
      </c>
      <c r="J685" s="29" t="s">
        <v>110</v>
      </c>
      <c r="K685" s="10" t="s">
        <v>555</v>
      </c>
      <c r="L685" s="12">
        <f t="shared" si="292"/>
        <v>0</v>
      </c>
      <c r="M685" s="12"/>
      <c r="N685" s="12"/>
      <c r="O685" s="12">
        <f t="shared" si="293"/>
        <v>380000</v>
      </c>
      <c r="P685" s="12">
        <v>380000</v>
      </c>
      <c r="Q685" s="12"/>
      <c r="R685" s="12">
        <f t="shared" si="294"/>
        <v>0</v>
      </c>
      <c r="S685" s="12"/>
      <c r="T685" s="12"/>
      <c r="U685" s="12">
        <f t="shared" si="295"/>
        <v>0</v>
      </c>
      <c r="V685" s="12"/>
      <c r="W685" s="12"/>
      <c r="X685" s="12">
        <f t="shared" si="296"/>
        <v>0</v>
      </c>
      <c r="Y685" s="12"/>
      <c r="Z685" s="12"/>
      <c r="AA685" s="13">
        <f t="shared" si="281"/>
        <v>0</v>
      </c>
      <c r="AB685" s="14">
        <v>46079</v>
      </c>
    </row>
    <row r="686" spans="1:28" ht="15.75" hidden="1" x14ac:dyDescent="0.25">
      <c r="A686" s="65">
        <v>46080</v>
      </c>
      <c r="B686" s="10" t="s">
        <v>549</v>
      </c>
      <c r="C686" s="10"/>
      <c r="D686" s="10" t="s">
        <v>195</v>
      </c>
      <c r="E686" s="10" t="s">
        <v>114</v>
      </c>
      <c r="F686" s="10">
        <v>10</v>
      </c>
      <c r="G686" s="10" t="s">
        <v>67</v>
      </c>
      <c r="H686" s="10">
        <v>50000</v>
      </c>
      <c r="I686" s="10">
        <f t="shared" si="280"/>
        <v>500000</v>
      </c>
      <c r="J686" s="29" t="s">
        <v>113</v>
      </c>
      <c r="K686" s="10"/>
      <c r="L686" s="12">
        <f t="shared" si="292"/>
        <v>0</v>
      </c>
      <c r="M686" s="12"/>
      <c r="N686" s="12"/>
      <c r="O686" s="12">
        <f t="shared" si="293"/>
        <v>0</v>
      </c>
      <c r="P686" s="12"/>
      <c r="Q686" s="12"/>
      <c r="R686" s="12">
        <f t="shared" si="294"/>
        <v>500000</v>
      </c>
      <c r="S686" s="12">
        <v>500000</v>
      </c>
      <c r="T686" s="12"/>
      <c r="U686" s="12">
        <f t="shared" si="295"/>
        <v>0</v>
      </c>
      <c r="V686" s="12"/>
      <c r="W686" s="12"/>
      <c r="X686" s="12">
        <f t="shared" si="296"/>
        <v>0</v>
      </c>
      <c r="Y686" s="12"/>
      <c r="Z686" s="12"/>
      <c r="AA686" s="13">
        <f t="shared" si="281"/>
        <v>0</v>
      </c>
      <c r="AB686" s="14">
        <v>46080</v>
      </c>
    </row>
    <row r="687" spans="1:28" ht="15.75" hidden="1" x14ac:dyDescent="0.25">
      <c r="A687" s="65">
        <v>46080</v>
      </c>
      <c r="B687" s="10" t="s">
        <v>550</v>
      </c>
      <c r="C687" s="10"/>
      <c r="D687" s="10" t="s">
        <v>195</v>
      </c>
      <c r="E687" s="10" t="s">
        <v>325</v>
      </c>
      <c r="F687" s="10">
        <v>1</v>
      </c>
      <c r="G687" s="10" t="s">
        <v>61</v>
      </c>
      <c r="H687" s="10">
        <v>150000</v>
      </c>
      <c r="I687" s="10">
        <f t="shared" si="280"/>
        <v>150000</v>
      </c>
      <c r="J687" s="29" t="s">
        <v>113</v>
      </c>
      <c r="K687" s="10"/>
      <c r="L687" s="12">
        <f t="shared" si="292"/>
        <v>0</v>
      </c>
      <c r="M687" s="12"/>
      <c r="N687" s="12"/>
      <c r="O687" s="12">
        <f t="shared" si="293"/>
        <v>0</v>
      </c>
      <c r="P687" s="12"/>
      <c r="Q687" s="12"/>
      <c r="R687" s="12">
        <f t="shared" si="294"/>
        <v>0</v>
      </c>
      <c r="S687" s="12"/>
      <c r="T687" s="12"/>
      <c r="U687" s="12">
        <f t="shared" si="295"/>
        <v>150000</v>
      </c>
      <c r="V687" s="12">
        <v>150000</v>
      </c>
      <c r="W687" s="12"/>
      <c r="X687" s="12">
        <f t="shared" si="296"/>
        <v>0</v>
      </c>
      <c r="Y687" s="12"/>
      <c r="Z687" s="12"/>
      <c r="AA687" s="13">
        <f t="shared" si="281"/>
        <v>0</v>
      </c>
      <c r="AB687" s="14">
        <v>46080</v>
      </c>
    </row>
    <row r="688" spans="1:28" ht="15.75" hidden="1" x14ac:dyDescent="0.25">
      <c r="A688" s="65">
        <v>46080</v>
      </c>
      <c r="B688" s="10" t="s">
        <v>509</v>
      </c>
      <c r="C688" s="10"/>
      <c r="D688" s="10" t="s">
        <v>195</v>
      </c>
      <c r="E688" s="10" t="s">
        <v>130</v>
      </c>
      <c r="F688" s="10">
        <v>10</v>
      </c>
      <c r="G688" s="10" t="s">
        <v>67</v>
      </c>
      <c r="H688" s="10">
        <v>50000</v>
      </c>
      <c r="I688" s="10">
        <f t="shared" si="280"/>
        <v>500000</v>
      </c>
      <c r="J688" s="29" t="s">
        <v>110</v>
      </c>
      <c r="K688" s="10" t="s">
        <v>556</v>
      </c>
      <c r="L688" s="12">
        <f t="shared" si="292"/>
        <v>0</v>
      </c>
      <c r="M688" s="12"/>
      <c r="N688" s="12"/>
      <c r="O688" s="12">
        <f t="shared" si="293"/>
        <v>500000</v>
      </c>
      <c r="P688" s="12">
        <v>500000</v>
      </c>
      <c r="Q688" s="12"/>
      <c r="R688" s="12">
        <f t="shared" si="294"/>
        <v>0</v>
      </c>
      <c r="S688" s="12"/>
      <c r="T688" s="12"/>
      <c r="U688" s="12">
        <f t="shared" si="295"/>
        <v>0</v>
      </c>
      <c r="V688" s="12"/>
      <c r="W688" s="12"/>
      <c r="X688" s="12">
        <f t="shared" si="296"/>
        <v>0</v>
      </c>
      <c r="Y688" s="12"/>
      <c r="Z688" s="12"/>
      <c r="AA688" s="13">
        <f t="shared" si="281"/>
        <v>0</v>
      </c>
      <c r="AB688" s="14">
        <v>46077</v>
      </c>
    </row>
    <row r="689" spans="1:28" ht="15.75" hidden="1" x14ac:dyDescent="0.25">
      <c r="A689" s="65">
        <v>46080</v>
      </c>
      <c r="B689" s="10" t="s">
        <v>509</v>
      </c>
      <c r="C689" s="10"/>
      <c r="D689" s="10" t="s">
        <v>195</v>
      </c>
      <c r="E689" s="10" t="s">
        <v>116</v>
      </c>
      <c r="F689" s="10">
        <v>12</v>
      </c>
      <c r="G689" s="10" t="s">
        <v>67</v>
      </c>
      <c r="H689" s="10">
        <v>65000</v>
      </c>
      <c r="I689" s="10">
        <f t="shared" si="280"/>
        <v>780000</v>
      </c>
      <c r="J689" s="29" t="s">
        <v>110</v>
      </c>
      <c r="K689" s="10" t="s">
        <v>556</v>
      </c>
      <c r="L689" s="12">
        <f t="shared" si="292"/>
        <v>0</v>
      </c>
      <c r="M689" s="12"/>
      <c r="N689" s="12"/>
      <c r="O689" s="12">
        <f t="shared" si="293"/>
        <v>780000</v>
      </c>
      <c r="P689" s="12">
        <v>780000</v>
      </c>
      <c r="Q689" s="12"/>
      <c r="R689" s="12">
        <f t="shared" si="294"/>
        <v>0</v>
      </c>
      <c r="S689" s="12"/>
      <c r="T689" s="12"/>
      <c r="U689" s="12">
        <f t="shared" si="295"/>
        <v>0</v>
      </c>
      <c r="V689" s="12"/>
      <c r="W689" s="12"/>
      <c r="X689" s="12">
        <f t="shared" si="296"/>
        <v>0</v>
      </c>
      <c r="Y689" s="12"/>
      <c r="Z689" s="12"/>
      <c r="AA689" s="13">
        <f t="shared" si="281"/>
        <v>0</v>
      </c>
      <c r="AB689" s="14">
        <v>46077</v>
      </c>
    </row>
    <row r="690" spans="1:28" ht="15.75" hidden="1" x14ac:dyDescent="0.25">
      <c r="A690" s="65">
        <v>46080</v>
      </c>
      <c r="B690" s="10" t="s">
        <v>296</v>
      </c>
      <c r="C690" s="10"/>
      <c r="D690" s="10" t="s">
        <v>195</v>
      </c>
      <c r="E690" s="10" t="s">
        <v>104</v>
      </c>
      <c r="F690" s="10">
        <v>200</v>
      </c>
      <c r="G690" s="10" t="s">
        <v>26</v>
      </c>
      <c r="H690" s="10">
        <v>2000</v>
      </c>
      <c r="I690" s="10">
        <f t="shared" si="280"/>
        <v>400000</v>
      </c>
      <c r="J690" s="29" t="s">
        <v>110</v>
      </c>
      <c r="K690" s="10" t="s">
        <v>552</v>
      </c>
      <c r="L690" s="12">
        <f t="shared" si="292"/>
        <v>0</v>
      </c>
      <c r="M690" s="12"/>
      <c r="N690" s="12"/>
      <c r="O690" s="12">
        <f t="shared" si="293"/>
        <v>400000</v>
      </c>
      <c r="P690" s="12">
        <v>400000</v>
      </c>
      <c r="Q690" s="12"/>
      <c r="R690" s="12">
        <f t="shared" si="294"/>
        <v>0</v>
      </c>
      <c r="S690" s="12"/>
      <c r="T690" s="12"/>
      <c r="U690" s="12">
        <f t="shared" si="295"/>
        <v>0</v>
      </c>
      <c r="V690" s="12"/>
      <c r="W690" s="12"/>
      <c r="X690" s="12">
        <f t="shared" si="296"/>
        <v>0</v>
      </c>
      <c r="Y690" s="12"/>
      <c r="Z690" s="12"/>
      <c r="AA690" s="13">
        <f t="shared" si="281"/>
        <v>0</v>
      </c>
      <c r="AB690" s="14">
        <v>46080</v>
      </c>
    </row>
    <row r="691" spans="1:28" ht="15.75" hidden="1" x14ac:dyDescent="0.25">
      <c r="A691" s="65">
        <v>46080</v>
      </c>
      <c r="B691" s="10" t="s">
        <v>296</v>
      </c>
      <c r="C691" s="10"/>
      <c r="D691" s="10" t="s">
        <v>195</v>
      </c>
      <c r="E691" s="10" t="s">
        <v>291</v>
      </c>
      <c r="F691" s="10">
        <v>1</v>
      </c>
      <c r="G691" s="10" t="s">
        <v>39</v>
      </c>
      <c r="H691" s="10">
        <v>480000</v>
      </c>
      <c r="I691" s="10">
        <f t="shared" si="280"/>
        <v>480000</v>
      </c>
      <c r="J691" s="29" t="s">
        <v>110</v>
      </c>
      <c r="K691" s="10" t="s">
        <v>552</v>
      </c>
      <c r="L691" s="12">
        <f t="shared" si="292"/>
        <v>0</v>
      </c>
      <c r="M691" s="12"/>
      <c r="N691" s="12"/>
      <c r="O691" s="12">
        <f t="shared" si="293"/>
        <v>480000</v>
      </c>
      <c r="P691" s="12">
        <v>480000</v>
      </c>
      <c r="Q691" s="12"/>
      <c r="R691" s="12">
        <f t="shared" si="294"/>
        <v>0</v>
      </c>
      <c r="S691" s="12"/>
      <c r="T691" s="12"/>
      <c r="U691" s="12">
        <f t="shared" si="295"/>
        <v>0</v>
      </c>
      <c r="V691" s="12"/>
      <c r="W691" s="12"/>
      <c r="X691" s="12">
        <f t="shared" si="296"/>
        <v>0</v>
      </c>
      <c r="Y691" s="12"/>
      <c r="Z691" s="12"/>
      <c r="AA691" s="13">
        <f t="shared" si="281"/>
        <v>0</v>
      </c>
      <c r="AB691" s="14">
        <v>46080</v>
      </c>
    </row>
    <row r="692" spans="1:28" ht="15.75" hidden="1" x14ac:dyDescent="0.25">
      <c r="A692" s="65">
        <v>46080</v>
      </c>
      <c r="B692" s="10" t="s">
        <v>551</v>
      </c>
      <c r="C692" s="10"/>
      <c r="D692" s="10" t="s">
        <v>195</v>
      </c>
      <c r="E692" s="10" t="s">
        <v>116</v>
      </c>
      <c r="F692" s="10">
        <v>12</v>
      </c>
      <c r="G692" s="10" t="s">
        <v>67</v>
      </c>
      <c r="H692" s="10">
        <v>65000</v>
      </c>
      <c r="I692" s="10">
        <f t="shared" si="280"/>
        <v>780000</v>
      </c>
      <c r="J692" s="29" t="s">
        <v>113</v>
      </c>
      <c r="K692" s="10"/>
      <c r="L692" s="12">
        <f t="shared" si="292"/>
        <v>0</v>
      </c>
      <c r="M692" s="12"/>
      <c r="N692" s="12"/>
      <c r="O692" s="12">
        <f t="shared" si="293"/>
        <v>0</v>
      </c>
      <c r="P692" s="12"/>
      <c r="Q692" s="12"/>
      <c r="R692" s="12">
        <f t="shared" si="294"/>
        <v>0</v>
      </c>
      <c r="S692" s="12"/>
      <c r="T692" s="12"/>
      <c r="U692" s="12">
        <f t="shared" si="295"/>
        <v>780000</v>
      </c>
      <c r="V692" s="12">
        <v>780000</v>
      </c>
      <c r="W692" s="12"/>
      <c r="X692" s="12">
        <f t="shared" si="296"/>
        <v>0</v>
      </c>
      <c r="Y692" s="12"/>
      <c r="Z692" s="12"/>
      <c r="AA692" s="13">
        <f t="shared" si="281"/>
        <v>0</v>
      </c>
      <c r="AB692" s="14">
        <v>46080</v>
      </c>
    </row>
    <row r="693" spans="1:28" ht="15.75" hidden="1" x14ac:dyDescent="0.25">
      <c r="A693" s="65">
        <v>46080</v>
      </c>
      <c r="B693" s="10" t="s">
        <v>446</v>
      </c>
      <c r="C693" s="10"/>
      <c r="D693" s="10" t="s">
        <v>195</v>
      </c>
      <c r="E693" s="10" t="s">
        <v>379</v>
      </c>
      <c r="F693" s="10">
        <v>600</v>
      </c>
      <c r="G693" s="10" t="s">
        <v>26</v>
      </c>
      <c r="H693" s="10">
        <v>1000</v>
      </c>
      <c r="I693" s="10">
        <f t="shared" si="280"/>
        <v>600000</v>
      </c>
      <c r="J693" s="29" t="s">
        <v>110</v>
      </c>
      <c r="K693" s="10" t="s">
        <v>554</v>
      </c>
      <c r="L693" s="12">
        <f t="shared" si="292"/>
        <v>0</v>
      </c>
      <c r="M693" s="12"/>
      <c r="N693" s="12"/>
      <c r="O693" s="12">
        <f t="shared" si="293"/>
        <v>600000</v>
      </c>
      <c r="P693" s="12">
        <v>600000</v>
      </c>
      <c r="Q693" s="12"/>
      <c r="R693" s="12">
        <f t="shared" si="294"/>
        <v>0</v>
      </c>
      <c r="S693" s="12"/>
      <c r="T693" s="12"/>
      <c r="U693" s="12">
        <f t="shared" si="295"/>
        <v>0</v>
      </c>
      <c r="V693" s="12"/>
      <c r="W693" s="12"/>
      <c r="X693" s="12">
        <f t="shared" si="296"/>
        <v>0</v>
      </c>
      <c r="Y693" s="12"/>
      <c r="Z693" s="12"/>
      <c r="AA693" s="13">
        <f t="shared" si="281"/>
        <v>0</v>
      </c>
      <c r="AB693" s="14">
        <v>46080</v>
      </c>
    </row>
    <row r="694" spans="1:28" ht="15.75" x14ac:dyDescent="0.25">
      <c r="A694" s="65">
        <v>46080</v>
      </c>
      <c r="B694" s="10" t="s">
        <v>272</v>
      </c>
      <c r="C694" s="10"/>
      <c r="D694" s="10"/>
      <c r="E694" s="77" t="s">
        <v>46</v>
      </c>
      <c r="F694" s="10">
        <v>48.6</v>
      </c>
      <c r="G694" s="10" t="s">
        <v>36</v>
      </c>
      <c r="H694" s="10">
        <v>90000</v>
      </c>
      <c r="I694" s="10">
        <f t="shared" si="280"/>
        <v>4374000</v>
      </c>
      <c r="J694" s="86" t="s">
        <v>76</v>
      </c>
      <c r="K694" s="10"/>
      <c r="L694" s="12">
        <f t="shared" si="292"/>
        <v>0</v>
      </c>
      <c r="M694" s="12"/>
      <c r="N694" s="12"/>
      <c r="O694" s="12">
        <f t="shared" si="293"/>
        <v>0</v>
      </c>
      <c r="P694" s="12"/>
      <c r="Q694" s="12"/>
      <c r="R694" s="12">
        <f t="shared" si="294"/>
        <v>0</v>
      </c>
      <c r="S694" s="12"/>
      <c r="T694" s="12"/>
      <c r="U694" s="12">
        <f t="shared" si="295"/>
        <v>0</v>
      </c>
      <c r="V694" s="12"/>
      <c r="W694" s="12"/>
      <c r="X694" s="12">
        <f t="shared" si="296"/>
        <v>0</v>
      </c>
      <c r="Y694" s="12"/>
      <c r="Z694" s="12"/>
      <c r="AA694" s="13">
        <f t="shared" si="281"/>
        <v>4374000</v>
      </c>
      <c r="AB694" s="14"/>
    </row>
    <row r="695" spans="1:28" ht="15.75" x14ac:dyDescent="0.25">
      <c r="A695" s="65">
        <v>46080</v>
      </c>
      <c r="B695" s="10" t="s">
        <v>272</v>
      </c>
      <c r="C695" s="10"/>
      <c r="D695" s="10"/>
      <c r="E695" s="77" t="s">
        <v>315</v>
      </c>
      <c r="F695" s="10">
        <v>56</v>
      </c>
      <c r="G695" s="10" t="s">
        <v>36</v>
      </c>
      <c r="H695" s="10">
        <v>43000</v>
      </c>
      <c r="I695" s="10">
        <f t="shared" si="280"/>
        <v>2408000</v>
      </c>
      <c r="J695" s="86" t="s">
        <v>76</v>
      </c>
      <c r="K695" s="10"/>
      <c r="L695" s="12">
        <f t="shared" si="292"/>
        <v>0</v>
      </c>
      <c r="M695" s="12"/>
      <c r="N695" s="12"/>
      <c r="O695" s="12">
        <f t="shared" si="293"/>
        <v>0</v>
      </c>
      <c r="P695" s="12"/>
      <c r="Q695" s="12"/>
      <c r="R695" s="12">
        <f t="shared" si="294"/>
        <v>0</v>
      </c>
      <c r="S695" s="12"/>
      <c r="T695" s="12"/>
      <c r="U695" s="12">
        <f t="shared" si="295"/>
        <v>0</v>
      </c>
      <c r="V695" s="12"/>
      <c r="W695" s="12"/>
      <c r="X695" s="12">
        <f t="shared" si="296"/>
        <v>0</v>
      </c>
      <c r="Y695" s="12"/>
      <c r="Z695" s="12"/>
      <c r="AA695" s="13">
        <f t="shared" si="281"/>
        <v>2408000</v>
      </c>
      <c r="AB695" s="14"/>
    </row>
    <row r="696" spans="1:28" ht="15.75" x14ac:dyDescent="0.25">
      <c r="A696" s="65">
        <v>46080</v>
      </c>
      <c r="B696" s="10" t="s">
        <v>272</v>
      </c>
      <c r="C696" s="10"/>
      <c r="D696" s="10"/>
      <c r="E696" s="77" t="s">
        <v>304</v>
      </c>
      <c r="F696" s="10">
        <v>35.5</v>
      </c>
      <c r="G696" s="10" t="s">
        <v>36</v>
      </c>
      <c r="H696" s="10">
        <v>90000</v>
      </c>
      <c r="I696" s="10">
        <f t="shared" si="280"/>
        <v>3195000</v>
      </c>
      <c r="J696" s="86" t="s">
        <v>76</v>
      </c>
      <c r="K696" s="10"/>
      <c r="L696" s="12">
        <f t="shared" si="292"/>
        <v>0</v>
      </c>
      <c r="M696" s="12"/>
      <c r="N696" s="12"/>
      <c r="O696" s="12">
        <f t="shared" si="293"/>
        <v>0</v>
      </c>
      <c r="P696" s="12"/>
      <c r="Q696" s="12"/>
      <c r="R696" s="12">
        <f t="shared" si="294"/>
        <v>0</v>
      </c>
      <c r="S696" s="12"/>
      <c r="T696" s="12"/>
      <c r="U696" s="12">
        <f t="shared" si="295"/>
        <v>0</v>
      </c>
      <c r="V696" s="12"/>
      <c r="W696" s="12"/>
      <c r="X696" s="12">
        <f t="shared" si="296"/>
        <v>0</v>
      </c>
      <c r="Y696" s="12"/>
      <c r="Z696" s="12"/>
      <c r="AA696" s="13">
        <f t="shared" si="281"/>
        <v>3195000</v>
      </c>
      <c r="AB696" s="14"/>
    </row>
    <row r="697" spans="1:28" ht="15.75" x14ac:dyDescent="0.25">
      <c r="A697" s="28">
        <v>46080</v>
      </c>
      <c r="B697" s="10" t="s">
        <v>272</v>
      </c>
      <c r="C697" s="10"/>
      <c r="D697" s="10"/>
      <c r="E697" s="77" t="s">
        <v>377</v>
      </c>
      <c r="F697" s="10">
        <v>97.2</v>
      </c>
      <c r="G697" s="10" t="s">
        <v>36</v>
      </c>
      <c r="H697" s="10">
        <v>43000</v>
      </c>
      <c r="I697" s="10">
        <f t="shared" si="280"/>
        <v>4179600</v>
      </c>
      <c r="J697" s="86" t="s">
        <v>76</v>
      </c>
      <c r="K697" s="10"/>
      <c r="L697" s="12">
        <f t="shared" si="292"/>
        <v>0</v>
      </c>
      <c r="M697" s="12"/>
      <c r="N697" s="12"/>
      <c r="O697" s="12">
        <f t="shared" si="293"/>
        <v>0</v>
      </c>
      <c r="P697" s="12"/>
      <c r="Q697" s="12"/>
      <c r="R697" s="12">
        <f t="shared" si="294"/>
        <v>0</v>
      </c>
      <c r="S697" s="12"/>
      <c r="T697" s="12"/>
      <c r="U697" s="12">
        <f t="shared" si="295"/>
        <v>0</v>
      </c>
      <c r="V697" s="12"/>
      <c r="W697" s="12"/>
      <c r="X697" s="12">
        <f t="shared" si="296"/>
        <v>0</v>
      </c>
      <c r="Y697" s="12"/>
      <c r="Z697" s="12"/>
      <c r="AA697" s="13">
        <f t="shared" si="281"/>
        <v>4179600</v>
      </c>
      <c r="AB697" s="14"/>
    </row>
    <row r="698" spans="1:28" ht="15.75" hidden="1" x14ac:dyDescent="0.25">
      <c r="A698" s="65">
        <v>46080</v>
      </c>
      <c r="B698" s="10" t="s">
        <v>200</v>
      </c>
      <c r="C698" s="10"/>
      <c r="D698" s="10" t="s">
        <v>383</v>
      </c>
      <c r="E698" s="10" t="s">
        <v>201</v>
      </c>
      <c r="F698" s="10">
        <v>500</v>
      </c>
      <c r="G698" s="10" t="s">
        <v>39</v>
      </c>
      <c r="H698" s="10">
        <v>42500</v>
      </c>
      <c r="I698" s="10">
        <f t="shared" si="280"/>
        <v>21250000</v>
      </c>
      <c r="J698" s="52" t="s">
        <v>90</v>
      </c>
      <c r="K698" s="10"/>
      <c r="L698" s="12">
        <f t="shared" ref="L698:L699" si="297">M698+N698</f>
        <v>0</v>
      </c>
      <c r="M698" s="12"/>
      <c r="N698" s="12"/>
      <c r="O698" s="12">
        <f t="shared" ref="O698:O699" si="298">P698+Q698</f>
        <v>0</v>
      </c>
      <c r="P698" s="12"/>
      <c r="Q698" s="12"/>
      <c r="R698" s="12">
        <f t="shared" ref="R698:R699" si="299">S698+T698</f>
        <v>0</v>
      </c>
      <c r="S698" s="12"/>
      <c r="T698" s="12"/>
      <c r="U698" s="12">
        <f t="shared" ref="U698:U699" si="300">V698+W698</f>
        <v>0</v>
      </c>
      <c r="V698" s="12"/>
      <c r="W698" s="12"/>
      <c r="X698" s="12">
        <f t="shared" ref="X698:X699" si="301">Y698+Z698</f>
        <v>0</v>
      </c>
      <c r="Y698" s="12"/>
      <c r="Z698" s="12"/>
      <c r="AA698" s="13">
        <f t="shared" si="281"/>
        <v>21250000</v>
      </c>
      <c r="AB698" s="14"/>
    </row>
    <row r="699" spans="1:28" ht="15.75" hidden="1" x14ac:dyDescent="0.25">
      <c r="A699" s="65">
        <v>46080</v>
      </c>
      <c r="B699" s="10" t="s">
        <v>442</v>
      </c>
      <c r="C699" s="10"/>
      <c r="D699" s="10" t="s">
        <v>195</v>
      </c>
      <c r="E699" s="10" t="s">
        <v>116</v>
      </c>
      <c r="F699" s="10">
        <v>24</v>
      </c>
      <c r="G699" s="10" t="s">
        <v>67</v>
      </c>
      <c r="H699" s="10">
        <v>65000</v>
      </c>
      <c r="I699" s="10">
        <f t="shared" si="280"/>
        <v>1560000</v>
      </c>
      <c r="J699" s="29" t="s">
        <v>110</v>
      </c>
      <c r="K699" s="10" t="s">
        <v>557</v>
      </c>
      <c r="L699" s="12">
        <f t="shared" si="297"/>
        <v>0</v>
      </c>
      <c r="M699" s="12"/>
      <c r="N699" s="12"/>
      <c r="O699" s="12">
        <f t="shared" si="298"/>
        <v>1560000</v>
      </c>
      <c r="P699" s="12">
        <v>1560000</v>
      </c>
      <c r="Q699" s="12"/>
      <c r="R699" s="12">
        <f t="shared" si="299"/>
        <v>0</v>
      </c>
      <c r="S699" s="12"/>
      <c r="T699" s="12"/>
      <c r="U699" s="12">
        <f t="shared" si="300"/>
        <v>0</v>
      </c>
      <c r="V699" s="12"/>
      <c r="W699" s="12"/>
      <c r="X699" s="12">
        <f t="shared" si="301"/>
        <v>0</v>
      </c>
      <c r="Y699" s="12"/>
      <c r="Z699" s="12"/>
      <c r="AA699" s="13">
        <f t="shared" si="281"/>
        <v>0</v>
      </c>
      <c r="AB699" s="14">
        <v>46080</v>
      </c>
    </row>
    <row r="700" spans="1:28" ht="15.75" hidden="1" x14ac:dyDescent="0.25">
      <c r="A700" s="65">
        <v>46080</v>
      </c>
      <c r="B700" s="10" t="s">
        <v>267</v>
      </c>
      <c r="C700" s="10"/>
      <c r="D700" s="10" t="s">
        <v>195</v>
      </c>
      <c r="E700" s="10" t="s">
        <v>370</v>
      </c>
      <c r="F700" s="10">
        <v>2.5</v>
      </c>
      <c r="G700" s="10" t="s">
        <v>36</v>
      </c>
      <c r="H700" s="10">
        <v>86000</v>
      </c>
      <c r="I700" s="10">
        <f t="shared" si="280"/>
        <v>215000</v>
      </c>
      <c r="J700" s="29" t="s">
        <v>113</v>
      </c>
      <c r="K700" s="10"/>
      <c r="L700" s="12">
        <f t="shared" ref="L700" si="302">M700+N700</f>
        <v>215000</v>
      </c>
      <c r="M700" s="12">
        <v>215000</v>
      </c>
      <c r="N700" s="12"/>
      <c r="O700" s="12">
        <f t="shared" ref="O700" si="303">P700+Q700</f>
        <v>0</v>
      </c>
      <c r="P700" s="12"/>
      <c r="Q700" s="12"/>
      <c r="R700" s="12">
        <f t="shared" ref="R700" si="304">S700+T700</f>
        <v>0</v>
      </c>
      <c r="S700" s="12"/>
      <c r="T700" s="12"/>
      <c r="U700" s="12">
        <f t="shared" ref="U700" si="305">V700+W700</f>
        <v>0</v>
      </c>
      <c r="V700" s="12"/>
      <c r="W700" s="12"/>
      <c r="X700" s="12">
        <f t="shared" ref="X700" si="306">Y700+Z700</f>
        <v>0</v>
      </c>
      <c r="Y700" s="12"/>
      <c r="Z700" s="12"/>
      <c r="AA700" s="13">
        <f t="shared" si="281"/>
        <v>0</v>
      </c>
      <c r="AB700" s="14">
        <v>46080</v>
      </c>
    </row>
    <row r="701" spans="1:28" ht="16.5" hidden="1" thickBot="1" x14ac:dyDescent="0.3">
      <c r="A701" s="53">
        <v>46080</v>
      </c>
      <c r="B701" s="31" t="s">
        <v>223</v>
      </c>
      <c r="C701" s="31"/>
      <c r="D701" s="31" t="s">
        <v>383</v>
      </c>
      <c r="E701" s="31" t="s">
        <v>104</v>
      </c>
      <c r="F701" s="31">
        <v>5000</v>
      </c>
      <c r="G701" s="31" t="s">
        <v>26</v>
      </c>
      <c r="H701" s="31">
        <v>2000</v>
      </c>
      <c r="I701" s="31">
        <f t="shared" si="280"/>
        <v>10000000</v>
      </c>
      <c r="J701" s="64" t="s">
        <v>90</v>
      </c>
      <c r="K701" s="31" t="s">
        <v>560</v>
      </c>
      <c r="L701" s="34">
        <f t="shared" ref="L701:L702" si="307">M701+N701</f>
        <v>0</v>
      </c>
      <c r="M701" s="34"/>
      <c r="N701" s="34"/>
      <c r="O701" s="34">
        <f t="shared" ref="O701:O702" si="308">P701+Q701</f>
        <v>0</v>
      </c>
      <c r="P701" s="34"/>
      <c r="Q701" s="34"/>
      <c r="R701" s="34">
        <f t="shared" ref="R701:R702" si="309">S701+T701</f>
        <v>0</v>
      </c>
      <c r="S701" s="34"/>
      <c r="T701" s="34"/>
      <c r="U701" s="34">
        <f t="shared" ref="U701:U702" si="310">V701+W701</f>
        <v>0</v>
      </c>
      <c r="V701" s="34"/>
      <c r="W701" s="34"/>
      <c r="X701" s="34">
        <f t="shared" ref="X701:X702" si="311">Y701+Z701</f>
        <v>0</v>
      </c>
      <c r="Y701" s="34"/>
      <c r="Z701" s="34"/>
      <c r="AA701" s="35">
        <f t="shared" si="281"/>
        <v>10000000</v>
      </c>
      <c r="AB701" s="36"/>
    </row>
    <row r="702" spans="1:28" ht="15.75" hidden="1" x14ac:dyDescent="0.25">
      <c r="A702" s="65">
        <v>46081</v>
      </c>
      <c r="B702" s="66" t="s">
        <v>448</v>
      </c>
      <c r="C702" s="66"/>
      <c r="D702" s="66" t="s">
        <v>383</v>
      </c>
      <c r="E702" s="66" t="s">
        <v>138</v>
      </c>
      <c r="F702" s="66">
        <v>3</v>
      </c>
      <c r="G702" s="66" t="s">
        <v>61</v>
      </c>
      <c r="H702" s="66">
        <v>300000</v>
      </c>
      <c r="I702" s="10">
        <f t="shared" si="280"/>
        <v>900000</v>
      </c>
      <c r="J702" s="29" t="s">
        <v>113</v>
      </c>
      <c r="K702" s="10"/>
      <c r="L702" s="12">
        <f t="shared" si="307"/>
        <v>0</v>
      </c>
      <c r="M702" s="12"/>
      <c r="N702" s="12"/>
      <c r="O702" s="12">
        <f t="shared" si="308"/>
        <v>0</v>
      </c>
      <c r="P702" s="12"/>
      <c r="Q702" s="12"/>
      <c r="R702" s="12">
        <f t="shared" si="309"/>
        <v>0</v>
      </c>
      <c r="S702" s="12"/>
      <c r="T702" s="12"/>
      <c r="U702" s="12">
        <f t="shared" si="310"/>
        <v>900000</v>
      </c>
      <c r="V702" s="12">
        <v>900000</v>
      </c>
      <c r="W702" s="12"/>
      <c r="X702" s="12">
        <f t="shared" si="311"/>
        <v>0</v>
      </c>
      <c r="Y702" s="12"/>
      <c r="Z702" s="12"/>
      <c r="AA702" s="13">
        <f t="shared" si="281"/>
        <v>0</v>
      </c>
      <c r="AB702" s="14">
        <v>46081</v>
      </c>
    </row>
    <row r="703" spans="1:28" ht="15.75" hidden="1" x14ac:dyDescent="0.25">
      <c r="A703" s="65">
        <v>46081</v>
      </c>
      <c r="B703" s="10" t="s">
        <v>561</v>
      </c>
      <c r="C703" s="10"/>
      <c r="D703" s="66" t="s">
        <v>383</v>
      </c>
      <c r="E703" s="10" t="s">
        <v>291</v>
      </c>
      <c r="F703" s="10">
        <v>2</v>
      </c>
      <c r="G703" s="10" t="s">
        <v>39</v>
      </c>
      <c r="H703" s="10">
        <v>480000</v>
      </c>
      <c r="I703" s="10">
        <f t="shared" si="280"/>
        <v>960000</v>
      </c>
      <c r="J703" s="29" t="s">
        <v>113</v>
      </c>
      <c r="K703" s="10"/>
      <c r="L703" s="12">
        <f t="shared" ref="L703:L711" si="312">M703+N703</f>
        <v>0</v>
      </c>
      <c r="M703" s="12"/>
      <c r="N703" s="12"/>
      <c r="O703" s="12">
        <f t="shared" ref="O703:O711" si="313">P703+Q703</f>
        <v>0</v>
      </c>
      <c r="P703" s="12"/>
      <c r="Q703" s="12"/>
      <c r="R703" s="12">
        <f t="shared" ref="R703:R711" si="314">S703+T703</f>
        <v>0</v>
      </c>
      <c r="S703" s="12"/>
      <c r="T703" s="12"/>
      <c r="U703" s="12">
        <f t="shared" ref="U703:U711" si="315">V703+W703</f>
        <v>960000</v>
      </c>
      <c r="V703" s="12">
        <v>960000</v>
      </c>
      <c r="W703" s="12"/>
      <c r="X703" s="12">
        <f t="shared" ref="X703:X711" si="316">Y703+Z703</f>
        <v>0</v>
      </c>
      <c r="Y703" s="12"/>
      <c r="Z703" s="12"/>
      <c r="AA703" s="13">
        <f t="shared" si="281"/>
        <v>0</v>
      </c>
      <c r="AB703" s="14">
        <v>46081</v>
      </c>
    </row>
    <row r="704" spans="1:28" ht="15.75" hidden="1" x14ac:dyDescent="0.25">
      <c r="A704" s="65">
        <v>46081</v>
      </c>
      <c r="B704" s="10" t="s">
        <v>561</v>
      </c>
      <c r="C704" s="10"/>
      <c r="D704" s="66" t="s">
        <v>383</v>
      </c>
      <c r="E704" s="10" t="s">
        <v>116</v>
      </c>
      <c r="F704" s="10">
        <v>6</v>
      </c>
      <c r="G704" s="10" t="s">
        <v>67</v>
      </c>
      <c r="H704" s="10">
        <v>65000</v>
      </c>
      <c r="I704" s="10">
        <f t="shared" si="280"/>
        <v>390000</v>
      </c>
      <c r="J704" s="29" t="s">
        <v>113</v>
      </c>
      <c r="K704" s="10"/>
      <c r="L704" s="12">
        <f t="shared" si="312"/>
        <v>0</v>
      </c>
      <c r="M704" s="12"/>
      <c r="N704" s="12"/>
      <c r="O704" s="12">
        <f t="shared" si="313"/>
        <v>0</v>
      </c>
      <c r="P704" s="12"/>
      <c r="Q704" s="12"/>
      <c r="R704" s="12">
        <f t="shared" si="314"/>
        <v>0</v>
      </c>
      <c r="S704" s="12"/>
      <c r="T704" s="12"/>
      <c r="U704" s="12">
        <f t="shared" si="315"/>
        <v>390000</v>
      </c>
      <c r="V704" s="12">
        <v>390000</v>
      </c>
      <c r="W704" s="12"/>
      <c r="X704" s="12">
        <f t="shared" si="316"/>
        <v>0</v>
      </c>
      <c r="Y704" s="12"/>
      <c r="Z704" s="12"/>
      <c r="AA704" s="13">
        <f t="shared" si="281"/>
        <v>0</v>
      </c>
      <c r="AB704" s="14">
        <v>46081</v>
      </c>
    </row>
    <row r="705" spans="1:28" ht="15.75" hidden="1" x14ac:dyDescent="0.25">
      <c r="A705" s="65">
        <v>46081</v>
      </c>
      <c r="B705" s="10" t="s">
        <v>246</v>
      </c>
      <c r="C705" s="10"/>
      <c r="D705" s="66" t="s">
        <v>383</v>
      </c>
      <c r="E705" s="10" t="s">
        <v>325</v>
      </c>
      <c r="F705" s="10">
        <v>12</v>
      </c>
      <c r="G705" s="10" t="s">
        <v>61</v>
      </c>
      <c r="H705" s="10">
        <v>150000</v>
      </c>
      <c r="I705" s="10">
        <f t="shared" si="280"/>
        <v>1800000</v>
      </c>
      <c r="J705" s="29" t="s">
        <v>110</v>
      </c>
      <c r="K705" s="10"/>
      <c r="L705" s="12">
        <f t="shared" si="312"/>
        <v>0</v>
      </c>
      <c r="M705" s="12"/>
      <c r="N705" s="12"/>
      <c r="O705" s="12">
        <f t="shared" si="313"/>
        <v>0</v>
      </c>
      <c r="P705" s="12"/>
      <c r="Q705" s="12"/>
      <c r="R705" s="12">
        <f t="shared" si="314"/>
        <v>1800000</v>
      </c>
      <c r="S705" s="12">
        <v>1800000</v>
      </c>
      <c r="T705" s="12"/>
      <c r="U705" s="12">
        <f t="shared" si="315"/>
        <v>0</v>
      </c>
      <c r="V705" s="12"/>
      <c r="W705" s="12"/>
      <c r="X705" s="12">
        <f t="shared" si="316"/>
        <v>0</v>
      </c>
      <c r="Y705" s="12"/>
      <c r="Z705" s="12"/>
      <c r="AA705" s="13">
        <f t="shared" si="281"/>
        <v>0</v>
      </c>
      <c r="AB705" s="14">
        <v>46081</v>
      </c>
    </row>
    <row r="706" spans="1:28" ht="15.75" hidden="1" x14ac:dyDescent="0.25">
      <c r="A706" s="65">
        <v>46081</v>
      </c>
      <c r="B706" s="10" t="s">
        <v>274</v>
      </c>
      <c r="C706" s="10"/>
      <c r="D706" s="66" t="s">
        <v>383</v>
      </c>
      <c r="E706" s="10" t="s">
        <v>173</v>
      </c>
      <c r="F706" s="10">
        <v>25</v>
      </c>
      <c r="G706" s="10" t="s">
        <v>36</v>
      </c>
      <c r="H706" s="10">
        <v>84700</v>
      </c>
      <c r="I706" s="10">
        <f t="shared" si="280"/>
        <v>2117500</v>
      </c>
      <c r="J706" s="29" t="s">
        <v>40</v>
      </c>
      <c r="K706" s="10"/>
      <c r="L706" s="12">
        <f t="shared" si="312"/>
        <v>2362000</v>
      </c>
      <c r="M706" s="12">
        <v>2362000</v>
      </c>
      <c r="N706" s="12"/>
      <c r="O706" s="12">
        <f t="shared" si="313"/>
        <v>0</v>
      </c>
      <c r="P706" s="12"/>
      <c r="Q706" s="12"/>
      <c r="R706" s="12">
        <f t="shared" si="314"/>
        <v>0</v>
      </c>
      <c r="S706" s="12"/>
      <c r="T706" s="12"/>
      <c r="U706" s="12">
        <f t="shared" si="315"/>
        <v>0</v>
      </c>
      <c r="V706" s="12"/>
      <c r="W706" s="12"/>
      <c r="X706" s="12">
        <f t="shared" si="316"/>
        <v>0</v>
      </c>
      <c r="Y706" s="12"/>
      <c r="Z706" s="12"/>
      <c r="AA706" s="13">
        <f t="shared" si="281"/>
        <v>-244500</v>
      </c>
      <c r="AB706" s="14">
        <v>46081</v>
      </c>
    </row>
    <row r="707" spans="1:28" ht="15.75" hidden="1" x14ac:dyDescent="0.25">
      <c r="A707" s="65">
        <v>46081</v>
      </c>
      <c r="B707" s="10" t="s">
        <v>182</v>
      </c>
      <c r="C707" s="10"/>
      <c r="D707" s="66" t="s">
        <v>383</v>
      </c>
      <c r="E707" s="10" t="s">
        <v>183</v>
      </c>
      <c r="F707" s="10">
        <v>300</v>
      </c>
      <c r="G707" s="10" t="s">
        <v>36</v>
      </c>
      <c r="H707" s="10">
        <v>73200</v>
      </c>
      <c r="I707" s="10">
        <f t="shared" ref="I707:I713" si="317">F707*H707</f>
        <v>21960000</v>
      </c>
      <c r="J707" s="29" t="s">
        <v>113</v>
      </c>
      <c r="K707" s="10"/>
      <c r="L707" s="12">
        <f t="shared" si="312"/>
        <v>21960000</v>
      </c>
      <c r="M707" s="12">
        <v>21960000</v>
      </c>
      <c r="N707" s="12"/>
      <c r="O707" s="12">
        <f t="shared" si="313"/>
        <v>0</v>
      </c>
      <c r="P707" s="12"/>
      <c r="Q707" s="12"/>
      <c r="R707" s="12">
        <f t="shared" si="314"/>
        <v>0</v>
      </c>
      <c r="S707" s="12"/>
      <c r="T707" s="12"/>
      <c r="U707" s="12">
        <f t="shared" si="315"/>
        <v>0</v>
      </c>
      <c r="V707" s="12"/>
      <c r="W707" s="12"/>
      <c r="X707" s="12">
        <f t="shared" si="316"/>
        <v>0</v>
      </c>
      <c r="Y707" s="12"/>
      <c r="Z707" s="12"/>
      <c r="AA707" s="13">
        <f t="shared" si="281"/>
        <v>0</v>
      </c>
      <c r="AB707" s="14">
        <v>46081</v>
      </c>
    </row>
    <row r="708" spans="1:28" ht="15.75" hidden="1" x14ac:dyDescent="0.25">
      <c r="A708" s="65">
        <v>46081</v>
      </c>
      <c r="B708" s="10" t="s">
        <v>562</v>
      </c>
      <c r="C708" s="10"/>
      <c r="D708" s="66" t="s">
        <v>383</v>
      </c>
      <c r="E708" s="10" t="s">
        <v>46</v>
      </c>
      <c r="F708" s="10">
        <v>96.3</v>
      </c>
      <c r="G708" s="10" t="s">
        <v>36</v>
      </c>
      <c r="H708" s="10">
        <v>110000</v>
      </c>
      <c r="I708" s="10">
        <f t="shared" si="317"/>
        <v>10593000</v>
      </c>
      <c r="J708" s="52" t="s">
        <v>30</v>
      </c>
      <c r="K708" s="10"/>
      <c r="L708" s="12">
        <f t="shared" si="312"/>
        <v>0</v>
      </c>
      <c r="M708" s="12"/>
      <c r="N708" s="12"/>
      <c r="O708" s="12">
        <f t="shared" si="313"/>
        <v>0</v>
      </c>
      <c r="P708" s="12"/>
      <c r="Q708" s="12"/>
      <c r="R708" s="12">
        <f t="shared" si="314"/>
        <v>0</v>
      </c>
      <c r="S708" s="12"/>
      <c r="T708" s="12"/>
      <c r="U708" s="12">
        <f t="shared" si="315"/>
        <v>0</v>
      </c>
      <c r="V708" s="12"/>
      <c r="W708" s="12"/>
      <c r="X708" s="12">
        <f t="shared" si="316"/>
        <v>0</v>
      </c>
      <c r="Y708" s="12"/>
      <c r="Z708" s="12"/>
      <c r="AA708" s="13">
        <f t="shared" ref="AA708:AA713" si="318">C708+I708-L708-O708-U708-X708-R708</f>
        <v>10593000</v>
      </c>
      <c r="AB708" s="14"/>
    </row>
    <row r="709" spans="1:28" ht="15.75" hidden="1" x14ac:dyDescent="0.25">
      <c r="A709" s="65">
        <v>46081</v>
      </c>
      <c r="B709" s="10" t="s">
        <v>292</v>
      </c>
      <c r="C709" s="10"/>
      <c r="D709" s="66" t="s">
        <v>383</v>
      </c>
      <c r="E709" s="10" t="s">
        <v>38</v>
      </c>
      <c r="F709" s="10">
        <v>4</v>
      </c>
      <c r="G709" s="10" t="s">
        <v>39</v>
      </c>
      <c r="H709" s="10">
        <v>45000</v>
      </c>
      <c r="I709" s="10">
        <f t="shared" si="317"/>
        <v>180000</v>
      </c>
      <c r="J709" s="29" t="s">
        <v>113</v>
      </c>
      <c r="K709" s="10"/>
      <c r="L709" s="12">
        <f t="shared" si="312"/>
        <v>0</v>
      </c>
      <c r="M709" s="12"/>
      <c r="N709" s="12"/>
      <c r="O709" s="12">
        <f t="shared" si="313"/>
        <v>0</v>
      </c>
      <c r="P709" s="12"/>
      <c r="Q709" s="12"/>
      <c r="R709" s="12">
        <f t="shared" si="314"/>
        <v>180000</v>
      </c>
      <c r="S709" s="12">
        <v>180000</v>
      </c>
      <c r="T709" s="12"/>
      <c r="U709" s="12">
        <f t="shared" si="315"/>
        <v>0</v>
      </c>
      <c r="V709" s="12"/>
      <c r="W709" s="12"/>
      <c r="X709" s="12">
        <f t="shared" si="316"/>
        <v>0</v>
      </c>
      <c r="Y709" s="12"/>
      <c r="Z709" s="12"/>
      <c r="AA709" s="13">
        <f t="shared" si="318"/>
        <v>0</v>
      </c>
      <c r="AB709" s="14">
        <v>46081</v>
      </c>
    </row>
    <row r="710" spans="1:28" ht="15.75" x14ac:dyDescent="0.25">
      <c r="A710" s="65">
        <v>46081</v>
      </c>
      <c r="B710" s="10" t="s">
        <v>272</v>
      </c>
      <c r="C710" s="10"/>
      <c r="D710" s="10"/>
      <c r="E710" s="77" t="s">
        <v>265</v>
      </c>
      <c r="F710" s="10">
        <v>45.7</v>
      </c>
      <c r="G710" s="10" t="s">
        <v>36</v>
      </c>
      <c r="H710" s="10">
        <v>43000</v>
      </c>
      <c r="I710" s="10">
        <f t="shared" si="317"/>
        <v>1965100.0000000002</v>
      </c>
      <c r="J710" s="86" t="s">
        <v>76</v>
      </c>
      <c r="K710" s="10"/>
      <c r="L710" s="12">
        <f t="shared" si="312"/>
        <v>0</v>
      </c>
      <c r="M710" s="12"/>
      <c r="N710" s="12"/>
      <c r="O710" s="12">
        <f t="shared" si="313"/>
        <v>0</v>
      </c>
      <c r="P710" s="12"/>
      <c r="Q710" s="12"/>
      <c r="R710" s="12">
        <f t="shared" si="314"/>
        <v>0</v>
      </c>
      <c r="S710" s="12"/>
      <c r="T710" s="12"/>
      <c r="U710" s="12">
        <f t="shared" si="315"/>
        <v>0</v>
      </c>
      <c r="V710" s="12"/>
      <c r="W710" s="12"/>
      <c r="X710" s="12">
        <f t="shared" si="316"/>
        <v>0</v>
      </c>
      <c r="Y710" s="12"/>
      <c r="Z710" s="12"/>
      <c r="AA710" s="13">
        <f t="shared" si="318"/>
        <v>1965100.0000000002</v>
      </c>
      <c r="AB710" s="14"/>
    </row>
    <row r="711" spans="1:28" ht="15.75" x14ac:dyDescent="0.25">
      <c r="A711" s="65">
        <v>46081</v>
      </c>
      <c r="B711" s="10" t="s">
        <v>272</v>
      </c>
      <c r="C711" s="10"/>
      <c r="D711" s="10"/>
      <c r="E711" s="77" t="s">
        <v>377</v>
      </c>
      <c r="F711" s="10">
        <v>34.1</v>
      </c>
      <c r="G711" s="10" t="s">
        <v>36</v>
      </c>
      <c r="H711" s="10">
        <v>43000</v>
      </c>
      <c r="I711" s="10">
        <f t="shared" si="317"/>
        <v>1466300</v>
      </c>
      <c r="J711" s="86" t="s">
        <v>76</v>
      </c>
      <c r="K711" s="10"/>
      <c r="L711" s="12">
        <f t="shared" si="312"/>
        <v>0</v>
      </c>
      <c r="M711" s="12"/>
      <c r="N711" s="12"/>
      <c r="O711" s="12">
        <f t="shared" si="313"/>
        <v>0</v>
      </c>
      <c r="P711" s="12"/>
      <c r="Q711" s="12"/>
      <c r="R711" s="12">
        <f t="shared" si="314"/>
        <v>0</v>
      </c>
      <c r="S711" s="12"/>
      <c r="T711" s="12"/>
      <c r="U711" s="12">
        <f t="shared" si="315"/>
        <v>0</v>
      </c>
      <c r="V711" s="12"/>
      <c r="W711" s="12"/>
      <c r="X711" s="12">
        <f t="shared" si="316"/>
        <v>0</v>
      </c>
      <c r="Y711" s="12"/>
      <c r="Z711" s="12"/>
      <c r="AA711" s="13">
        <f t="shared" si="318"/>
        <v>1466300</v>
      </c>
      <c r="AB711" s="14"/>
    </row>
    <row r="712" spans="1:28" ht="15.75" x14ac:dyDescent="0.25">
      <c r="A712" s="28">
        <v>46081</v>
      </c>
      <c r="B712" s="10" t="s">
        <v>272</v>
      </c>
      <c r="C712" s="10"/>
      <c r="D712" s="10"/>
      <c r="E712" s="77" t="s">
        <v>304</v>
      </c>
      <c r="F712" s="10">
        <v>35.4</v>
      </c>
      <c r="G712" s="10" t="s">
        <v>36</v>
      </c>
      <c r="H712" s="10">
        <v>90000</v>
      </c>
      <c r="I712" s="10">
        <f t="shared" si="317"/>
        <v>3186000</v>
      </c>
      <c r="J712" s="86" t="s">
        <v>76</v>
      </c>
      <c r="K712" s="10"/>
      <c r="L712" s="12">
        <f>M712+N712</f>
        <v>0</v>
      </c>
      <c r="M712" s="12"/>
      <c r="N712" s="12"/>
      <c r="O712" s="12">
        <f>P712+Q712</f>
        <v>0</v>
      </c>
      <c r="P712" s="12"/>
      <c r="Q712" s="12"/>
      <c r="R712" s="12">
        <f>S712+T712</f>
        <v>0</v>
      </c>
      <c r="S712" s="12"/>
      <c r="T712" s="12"/>
      <c r="U712" s="12">
        <f>V712+W712</f>
        <v>0</v>
      </c>
      <c r="V712" s="12"/>
      <c r="W712" s="12"/>
      <c r="X712" s="12">
        <f>Y712+Z712</f>
        <v>0</v>
      </c>
      <c r="Y712" s="12"/>
      <c r="Z712" s="12"/>
      <c r="AA712" s="13">
        <f t="shared" si="318"/>
        <v>3186000</v>
      </c>
      <c r="AB712" s="14"/>
    </row>
    <row r="713" spans="1:28" ht="16.5" thickBot="1" x14ac:dyDescent="0.3">
      <c r="A713" s="53">
        <v>46081</v>
      </c>
      <c r="B713" s="31" t="s">
        <v>272</v>
      </c>
      <c r="C713" s="31"/>
      <c r="D713" s="31"/>
      <c r="E713" s="122" t="s">
        <v>168</v>
      </c>
      <c r="F713" s="31">
        <v>31.8</v>
      </c>
      <c r="G713" s="31" t="s">
        <v>36</v>
      </c>
      <c r="H713" s="31">
        <v>43000</v>
      </c>
      <c r="I713" s="31">
        <f t="shared" si="317"/>
        <v>1367400</v>
      </c>
      <c r="J713" s="103" t="s">
        <v>76</v>
      </c>
      <c r="K713" s="31"/>
      <c r="L713" s="34">
        <f>M713+N713</f>
        <v>0</v>
      </c>
      <c r="M713" s="34"/>
      <c r="N713" s="34"/>
      <c r="O713" s="34">
        <f>P713+Q713</f>
        <v>0</v>
      </c>
      <c r="P713" s="34"/>
      <c r="Q713" s="34"/>
      <c r="R713" s="34">
        <f>S713+T713</f>
        <v>0</v>
      </c>
      <c r="S713" s="34"/>
      <c r="T713" s="34"/>
      <c r="U713" s="34">
        <f>V713+W713</f>
        <v>0</v>
      </c>
      <c r="V713" s="34"/>
      <c r="W713" s="34"/>
      <c r="X713" s="34">
        <f>Y713+Z713</f>
        <v>0</v>
      </c>
      <c r="Y713" s="34"/>
      <c r="Z713" s="34"/>
      <c r="AA713" s="35">
        <f t="shared" si="318"/>
        <v>1367400</v>
      </c>
      <c r="AB713" s="36"/>
    </row>
  </sheetData>
  <autoFilter ref="A3:AB713">
    <filterColumn colId="1">
      <filters>
        <filter val="ламинация цех"/>
      </filters>
    </filterColumn>
  </autoFilter>
  <mergeCells count="16">
    <mergeCell ref="A1:A3"/>
    <mergeCell ref="B1:B3"/>
    <mergeCell ref="E1:I1"/>
    <mergeCell ref="L1:Z1"/>
    <mergeCell ref="H2:I2"/>
    <mergeCell ref="L2:N2"/>
    <mergeCell ref="O2:Q2"/>
    <mergeCell ref="R2:T2"/>
    <mergeCell ref="U2:W2"/>
    <mergeCell ref="AB1:AB3"/>
    <mergeCell ref="C2:C3"/>
    <mergeCell ref="D2:D3"/>
    <mergeCell ref="E2:E3"/>
    <mergeCell ref="F2:F3"/>
    <mergeCell ref="G2:G3"/>
    <mergeCell ref="X2:Z2"/>
  </mergeCells>
  <phoneticPr fontId="20" type="noConversion"/>
  <dataValidations count="139">
    <dataValidation type="list" allowBlank="1" showInputMessage="1" showErrorMessage="1" sqref="D18:D32 D36:D42 D34">
      <formula1>$AC$2:$AC$7</formula1>
    </dataValidation>
    <dataValidation type="list" allowBlank="1" showInputMessage="1" showErrorMessage="1" sqref="D4 D11:D17">
      <formula1>$AC$2:$AC$5</formula1>
    </dataValidation>
    <dataValidation allowBlank="1" showInputMessage="1" sqref="B1 B5:B10 F2 D5:F10 C1:E2 C4:C25"/>
    <dataValidation type="list" allowBlank="1" showInputMessage="1" showErrorMessage="1" sqref="E290:E340 E95:E96">
      <formula1>$AB$2:$AB$325</formula1>
    </dataValidation>
    <dataValidation type="list" allowBlank="1" showInputMessage="1" showErrorMessage="1" sqref="D333:D340 D43:D47 D227:D313 D60:D225 D57 D49:D53 D317:D322 D324:D329">
      <formula1>$AC$2:$AC$8</formula1>
    </dataValidation>
    <dataValidation type="list" allowBlank="1" showInputMessage="1" showErrorMessage="1" sqref="E277:E289 E93:E94 E97:E104 E107:E108">
      <formula1>$AB$2:$AB$326</formula1>
    </dataValidation>
    <dataValidation type="list" allowBlank="1" showInputMessage="1" showErrorMessage="1" sqref="E341:E343 E638">
      <formula1>$AA$2:$AA$325</formula1>
    </dataValidation>
    <dataValidation type="list" allowBlank="1" showInputMessage="1" showErrorMessage="1" sqref="B290 B97 B100:B102 B109:B117 B202:B225">
      <formula1>$AA$2:$AA$1568</formula1>
    </dataValidation>
    <dataValidation type="list" allowBlank="1" showInputMessage="1" showErrorMessage="1" sqref="B291:B340 B226:B239 B277:B289">
      <formula1>$AA$2:$AA$1569</formula1>
    </dataValidation>
    <dataValidation type="list" allowBlank="1" showInputMessage="1" showErrorMessage="1" sqref="C277:C289">
      <formula1>$Z$2:$Z$392</formula1>
    </dataValidation>
    <dataValidation type="list" allowBlank="1" showInputMessage="1" showErrorMessage="1" sqref="C290:C304">
      <formula1>$Z$2:$Z$391</formula1>
    </dataValidation>
    <dataValidation type="list" allowBlank="1" showInputMessage="1" showErrorMessage="1" sqref="C305:C340">
      <formula1>$Z$2:$Z$902</formula1>
    </dataValidation>
    <dataValidation type="list" allowBlank="1" showInputMessage="1" showErrorMessage="1" sqref="C341:C343 C455:C464">
      <formula1>$Y$2:$Y$902</formula1>
    </dataValidation>
    <dataValidation type="list" allowBlank="1" showInputMessage="1" showErrorMessage="1" sqref="D384:D713 D351:D380 D341:D349">
      <formula1>$AB$2:$AB$8</formula1>
    </dataValidation>
    <dataValidation type="list" allowBlank="1" showInputMessage="1" showErrorMessage="1" sqref="B341:B343 B403:B431 B511:B523">
      <formula1>$Z$2:$Z$1569</formula1>
    </dataValidation>
    <dataValidation type="list" allowBlank="1" showInputMessage="1" showErrorMessage="1" sqref="C344:C347 C349:C355 C435:C436">
      <formula1>$Y$2:$Y$901</formula1>
    </dataValidation>
    <dataValidation type="list" allowBlank="1" showInputMessage="1" showErrorMessage="1" sqref="E344:E454 E570:E637">
      <formula1>$AA$2:$AA$324</formula1>
    </dataValidation>
    <dataValidation type="list" allowBlank="1" showInputMessage="1" showErrorMessage="1" sqref="B344:B347 B349:B355 B371:B402">
      <formula1>$Z$2:$Z$1568</formula1>
    </dataValidation>
    <dataValidation type="list" allowBlank="1" showInputMessage="1" showErrorMessage="1" sqref="B348 B356:B370">
      <formula1>$Z$2:$Z$1567</formula1>
    </dataValidation>
    <dataValidation type="list" allowBlank="1" showInputMessage="1" showErrorMessage="1" sqref="C348 C570:C632 C356:C380 C382:C405 C424:C434 C437:C450">
      <formula1>$Y$2:$Y$900</formula1>
    </dataValidation>
    <dataValidation type="list" allowBlank="1" showInputMessage="1" sqref="D381:D383 D350">
      <formula1>$AB$2:$AB$8</formula1>
    </dataValidation>
    <dataValidation type="list" allowBlank="1" showInputMessage="1" sqref="D330:D332 D226 D58:D59 D54:D56 D48 D314:D316 D323">
      <formula1>$AC$2:$AC$8</formula1>
    </dataValidation>
    <dataValidation type="list" allowBlank="1" showInputMessage="1" showErrorMessage="1" sqref="C406:C423 C451:C454 C640:C660">
      <formula1>$Y$2:$Y$903</formula1>
    </dataValidation>
    <dataValidation type="list" allowBlank="1" showInputMessage="1" showErrorMessage="1" sqref="B432:B510 B524:B550">
      <formula1>$Z$2:$Z$1570</formula1>
    </dataValidation>
    <dataValidation type="list" allowBlank="1" showInputMessage="1" showErrorMessage="1" sqref="C465:C510 C551:C569">
      <formula1>$Y$2:$Y$899</formula1>
    </dataValidation>
    <dataValidation type="list" allowBlank="1" showInputMessage="1" showErrorMessage="1" sqref="E455:E510 E551:E569">
      <formula1>$AA$2:$AA$323</formula1>
    </dataValidation>
    <dataValidation type="list" allowBlank="1" showInputMessage="1" showErrorMessage="1" sqref="C511:C550">
      <formula1>$Y$2:$Y$898</formula1>
    </dataValidation>
    <dataValidation type="list" allowBlank="1" showInputMessage="1" showErrorMessage="1" sqref="E511:E550">
      <formula1>$AA$2:$AA$322</formula1>
    </dataValidation>
    <dataValidation type="list" allowBlank="1" showInputMessage="1" showErrorMessage="1" sqref="B551:B569">
      <formula1>$Z$2:$Z$1571</formula1>
    </dataValidation>
    <dataValidation type="list" allowBlank="1" showInputMessage="1" sqref="D33 D35">
      <formula1>$AC$2:$AC$7</formula1>
    </dataValidation>
    <dataValidation type="list" allowBlank="1" showInputMessage="1" showErrorMessage="1" sqref="B570:B599">
      <formula1>$Z$2:$Z$1573</formula1>
    </dataValidation>
    <dataValidation type="list" allowBlank="1" showInputMessage="1" showErrorMessage="1" sqref="B600:B637">
      <formula1>$Z$2:$Z$1574</formula1>
    </dataValidation>
    <dataValidation type="list" allowBlank="1" showInputMessage="1" showErrorMessage="1" sqref="C633:C637">
      <formula1>$Y$2:$Y$891</formula1>
    </dataValidation>
    <dataValidation type="list" allowBlank="1" showInputMessage="1" showErrorMessage="1" sqref="B638">
      <formula1>$Z$2:$Z$1575</formula1>
    </dataValidation>
    <dataValidation type="list" allowBlank="1" showInputMessage="1" showErrorMessage="1" sqref="C638">
      <formula1>$Y$2:$Y$892</formula1>
    </dataValidation>
    <dataValidation type="list" allowBlank="1" showInputMessage="1" showErrorMessage="1" sqref="E78:E79 E36">
      <formula1>$AB$2:$AB$318</formula1>
    </dataValidation>
    <dataValidation type="list" allowBlank="1" showInputMessage="1" showErrorMessage="1" sqref="E76:E77">
      <formula1>$AB$2:$AB$319</formula1>
    </dataValidation>
    <dataValidation type="list" allowBlank="1" showInputMessage="1" showErrorMessage="1" sqref="E80:E83 E179:E186">
      <formula1>$AB$2:$AB$320</formula1>
    </dataValidation>
    <dataValidation type="list" allowBlank="1" showInputMessage="1" showErrorMessage="1" sqref="E84:E85 E125:E154 E88">
      <formula1>$AB$2:$AB$321</formula1>
    </dataValidation>
    <dataValidation type="list" allowBlank="1" showInputMessage="1" showErrorMessage="1" sqref="E86:E87 E187:E197 E155:E175 E118:E124">
      <formula1>$AB$2:$AB$322</formula1>
    </dataValidation>
    <dataValidation type="list" allowBlank="1" showInputMessage="1" showErrorMessage="1" sqref="E89:E92 E105:E106 E202:E276">
      <formula1>$AB$2:$AB$324</formula1>
    </dataValidation>
    <dataValidation type="list" allowBlank="1" showInputMessage="1" showErrorMessage="1" sqref="E109:E117 E198:E201 E176:E178">
      <formula1>$AB$2:$AB$323</formula1>
    </dataValidation>
    <dataValidation type="list" allowBlank="1" showInputMessage="1" showErrorMessage="1" sqref="C187:C201 C40">
      <formula1>$Z$2:$Z$906</formula1>
    </dataValidation>
    <dataValidation type="list" allowBlank="1" showInputMessage="1" showErrorMessage="1" sqref="B66:B68">
      <formula1>$AA$2:$AA$1552</formula1>
    </dataValidation>
    <dataValidation type="list" allowBlank="1" showInputMessage="1" showErrorMessage="1" sqref="C80:C83 C36 C125:C131 C140:C153 C160:C178 C202:C207 C213:C245">
      <formula1>$Z$2:$Z$907</formula1>
    </dataValidation>
    <dataValidation type="list" allowBlank="1" showInputMessage="1" showErrorMessage="1" sqref="C208:C212 C44:C47 C49">
      <formula1>$Z$2:$Z$898</formula1>
    </dataValidation>
    <dataValidation type="list" allowBlank="1" showInputMessage="1" showErrorMessage="1" sqref="C179:C186 C50:C52">
      <formula1>$Z$2:$Z$904</formula1>
    </dataValidation>
    <dataValidation type="list" allowBlank="1" showInputMessage="1" showErrorMessage="1" sqref="B69:B73 B52:B53 B57">
      <formula1>$AA$2:$AA$1554</formula1>
    </dataValidation>
    <dataValidation type="list" allowBlank="1" showInputMessage="1" showErrorMessage="1" sqref="C69:C75">
      <formula1>$Z$2:$Z$903</formula1>
    </dataValidation>
    <dataValidation type="list" allowBlank="1" showInputMessage="1" showErrorMessage="1" sqref="B74:B75">
      <formula1>$AA$2:$AA$1555</formula1>
    </dataValidation>
    <dataValidation type="list" allowBlank="1" showInputMessage="1" showErrorMessage="1" sqref="C76:C79">
      <formula1>$Z$2:$Z$905</formula1>
    </dataValidation>
    <dataValidation type="list" allowBlank="1" showInputMessage="1" showErrorMessage="1" sqref="B76">
      <formula1>$AA$2:$AA$1559</formula1>
    </dataValidation>
    <dataValidation type="list" allowBlank="1" showInputMessage="1" showErrorMessage="1" sqref="B77:B79">
      <formula1>$AA$2:$AA$1560</formula1>
    </dataValidation>
    <dataValidation type="list" allowBlank="1" showInputMessage="1" showErrorMessage="1" sqref="B80:B83">
      <formula1>$AA$2:$AA$1562</formula1>
    </dataValidation>
    <dataValidation type="list" allowBlank="1" showInputMessage="1" showErrorMessage="1" sqref="B84:B85 B88 B179:B186">
      <formula1>$AA$2:$AA$1563</formula1>
    </dataValidation>
    <dataValidation type="list" allowBlank="1" showInputMessage="1" showErrorMessage="1" sqref="C84:C85 C88 C118:C124">
      <formula1>$Z$2:$Z$908</formula1>
    </dataValidation>
    <dataValidation type="list" allowBlank="1" showInputMessage="1" showErrorMessage="1" sqref="C86:C87 C109:C117">
      <formula1>$Z$2:$Z$909</formula1>
    </dataValidation>
    <dataValidation type="list" allowBlank="1" showInputMessage="1" showErrorMessage="1" sqref="B86:B87 B105:B106">
      <formula1>$AA$2:$AA$1564</formula1>
    </dataValidation>
    <dataValidation type="list" allowBlank="1" showInputMessage="1" showErrorMessage="1" sqref="C89:C92">
      <formula1>$Z$2:$Z$911</formula1>
    </dataValidation>
    <dataValidation type="list" allowBlank="1" showInputMessage="1" showErrorMessage="1" sqref="B89:B94 B118:B124">
      <formula1>$AA$2:$AA$1567</formula1>
    </dataValidation>
    <dataValidation type="list" allowBlank="1" showInputMessage="1" showErrorMessage="1" sqref="C93">
      <formula1>$Z$2:$Z$509</formula1>
    </dataValidation>
    <dataValidation type="list" allowBlank="1" showInputMessage="1" showErrorMessage="1" sqref="C94 C97:C104 C107:C108">
      <formula1>$Z$2:$Z$396</formula1>
    </dataValidation>
    <dataValidation type="list" allowBlank="1" showInputMessage="1" showErrorMessage="1" sqref="B95:B96 B103:B104 B107:B108 B125:B178 B198:B201 B265:B276">
      <formula1>$AA$2:$AA$1566</formula1>
    </dataValidation>
    <dataValidation type="list" allowBlank="1" showInputMessage="1" showErrorMessage="1" sqref="C95:C96">
      <formula1>$Z$2:$Z$395</formula1>
    </dataValidation>
    <dataValidation type="list" allowBlank="1" showInputMessage="1" showErrorMessage="1" sqref="B98:B99 B187:B197">
      <formula1>$AA$2:$AA$1565</formula1>
    </dataValidation>
    <dataValidation type="list" allowBlank="1" showInputMessage="1" showErrorMessage="1" sqref="C105:C106">
      <formula1>$Z$2:$Z$394</formula1>
    </dataValidation>
    <dataValidation type="list" allowBlank="1" showInputMessage="1" showErrorMessage="1" sqref="C132:C139 C154:C159">
      <formula1>$Z$2:$Z$910</formula1>
    </dataValidation>
    <dataValidation type="list" allowBlank="1" showInputMessage="1" showErrorMessage="1" sqref="B240:B264">
      <formula1>$AA$2:$AA$1571</formula1>
    </dataValidation>
    <dataValidation type="list" allowBlank="1" showInputMessage="1" showErrorMessage="1" sqref="C246:C255">
      <formula1>$Z$2:$Z$503</formula1>
    </dataValidation>
    <dataValidation type="list" allowBlank="1" showInputMessage="1" showErrorMessage="1" sqref="C260:C276">
      <formula1>$Z$2:$Z$390</formula1>
    </dataValidation>
    <dataValidation type="list" allowBlank="1" showInputMessage="1" showErrorMessage="1" sqref="C256:C258">
      <formula1>$Z$2:$Z$476</formula1>
    </dataValidation>
    <dataValidation type="list" allowBlank="1" showInputMessage="1" showErrorMessage="1" sqref="C259">
      <formula1>$Z$2:$Z$427</formula1>
    </dataValidation>
    <dataValidation type="list" allowBlank="1" showInputMessage="1" showErrorMessage="1" sqref="E50:E75 E40">
      <formula1>$AB$2:$AB$317</formula1>
    </dataValidation>
    <dataValidation type="list" allowBlank="1" showInputMessage="1" showErrorMessage="1" sqref="E44:E47">
      <formula1>$AB$2:$AB$311</formula1>
    </dataValidation>
    <dataValidation type="list" allowBlank="1" showInputMessage="1" showErrorMessage="1" sqref="E49">
      <formula1>$AB$2:$AB$312</formula1>
    </dataValidation>
    <dataValidation type="list" allowBlank="1" showInputMessage="1" showErrorMessage="1" sqref="E48">
      <formula1>$AB$2:$AB$313</formula1>
    </dataValidation>
    <dataValidation type="list" allowBlank="1" showInputMessage="1" showErrorMessage="1" sqref="B54:B56 B33:B34 B58:B59">
      <formula1>$AA$2:$AA$1530</formula1>
    </dataValidation>
    <dataValidation type="list" allowBlank="1" showInputMessage="1" showErrorMessage="1" sqref="B44:B47">
      <formula1>$AA$2:$AA$1546</formula1>
    </dataValidation>
    <dataValidation type="list" allowBlank="1" showInputMessage="1" sqref="B49">
      <formula1>$AA$2:$AA$1547</formula1>
    </dataValidation>
    <dataValidation type="list" allowBlank="1" showInputMessage="1" showErrorMessage="1" sqref="C48">
      <formula1>$Z$2:$Z$899</formula1>
    </dataValidation>
    <dataValidation type="list" allowBlank="1" showInputMessage="1" showErrorMessage="1" sqref="B48">
      <formula1>$AA$2:$AA$1548</formula1>
    </dataValidation>
    <dataValidation type="list" allowBlank="1" showInputMessage="1" showErrorMessage="1" sqref="B50:B51">
      <formula1>$AA$2:$AA$1553</formula1>
    </dataValidation>
    <dataValidation type="list" allowBlank="1" showInputMessage="1" showErrorMessage="1" sqref="C53:C68">
      <formula1>$Z$2:$Z$388</formula1>
    </dataValidation>
    <dataValidation type="list" allowBlank="1" showInputMessage="1" sqref="B60:B65">
      <formula1>$AA$2:$AA$1554</formula1>
    </dataValidation>
    <dataValidation type="list" allowBlank="1" showInputMessage="1" showErrorMessage="1" sqref="B639:B660">
      <formula1>$Z$2:$Z$1577</formula1>
    </dataValidation>
    <dataValidation type="list" allowBlank="1" showInputMessage="1" showErrorMessage="1" sqref="C639">
      <formula1>$Y$2:$Y$894</formula1>
    </dataValidation>
    <dataValidation type="list" allowBlank="1" showInputMessage="1" showErrorMessage="1" sqref="E639:E660">
      <formula1>$AA$2:$AA$327</formula1>
    </dataValidation>
    <dataValidation type="list" allowBlank="1" showInputMessage="1" showErrorMessage="1" sqref="E21">
      <formula1>$AB$2:$AB$102</formula1>
    </dataValidation>
    <dataValidation type="list" allowBlank="1" showInputMessage="1" showErrorMessage="1" sqref="E25">
      <formula1>$AB$2:$AB$214</formula1>
    </dataValidation>
    <dataValidation type="list" allowBlank="1" showInputMessage="1" showErrorMessage="1" sqref="E23">
      <formula1>$AB$2:$AB$207</formula1>
    </dataValidation>
    <dataValidation type="list" allowBlank="1" showInputMessage="1" showErrorMessage="1" sqref="E24">
      <formula1>$AB$2:$AB$209</formula1>
    </dataValidation>
    <dataValidation type="list" allowBlank="1" showInputMessage="1" showErrorMessage="1" sqref="E22">
      <formula1>$AB$2:$AB$118</formula1>
    </dataValidation>
    <dataValidation type="list" allowBlank="1" showInputMessage="1" showErrorMessage="1" sqref="E11:E15 E4">
      <formula1>$AB$2:$AB$76</formula1>
    </dataValidation>
    <dataValidation type="list" allowBlank="1" showInputMessage="1" showErrorMessage="1" sqref="E16:E17">
      <formula1>$AB$2:$AB$84</formula1>
    </dataValidation>
    <dataValidation type="list" allowBlank="1" showInputMessage="1" showErrorMessage="1" sqref="E18:E19">
      <formula1>$AB$2:$AB$89</formula1>
    </dataValidation>
    <dataValidation type="list" allowBlank="1" showInputMessage="1" showErrorMessage="1" sqref="E20">
      <formula1>$AB$2:$AB$90</formula1>
    </dataValidation>
    <dataValidation type="list" allowBlank="1" showInputMessage="1" showErrorMessage="1" sqref="E26">
      <formula1>$AB$2:$AB$291</formula1>
    </dataValidation>
    <dataValidation type="list" allowBlank="1" showInputMessage="1" showErrorMessage="1" sqref="E27 E41:E42 E38:E39">
      <formula1>$AB$2:$AB$308</formula1>
    </dataValidation>
    <dataValidation type="list" allowBlank="1" showInputMessage="1" showErrorMessage="1" sqref="E28:E31">
      <formula1>$AB$2:$AB$304</formula1>
    </dataValidation>
    <dataValidation type="list" allowBlank="1" showInputMessage="1" showErrorMessage="1" sqref="E32:E35">
      <formula1>$AB$2:$AB$306</formula1>
    </dataValidation>
    <dataValidation type="list" allowBlank="1" showInputMessage="1" showErrorMessage="1" sqref="E37">
      <formula1>$AB$2:$AB$307</formula1>
    </dataValidation>
    <dataValidation type="list" allowBlank="1" showInputMessage="1" showErrorMessage="1" sqref="E43">
      <formula1>$AB$2:$AB$310</formula1>
    </dataValidation>
    <dataValidation type="list" allowBlank="1" showInputMessage="1" showErrorMessage="1" sqref="B17">
      <formula1>$AA$2:$AA$828</formula1>
    </dataValidation>
    <dataValidation type="list" allowBlank="1" showInputMessage="1" showErrorMessage="1" sqref="B16">
      <formula1>$AA$2:$AA$826</formula1>
    </dataValidation>
    <dataValidation type="list" allowBlank="1" showInputMessage="1" showErrorMessage="1" sqref="B4">
      <formula1>$AA$2:$AA$596</formula1>
    </dataValidation>
    <dataValidation type="list" allowBlank="1" showInputMessage="1" showErrorMessage="1" sqref="B11:B14">
      <formula1>$AA$2:$AA$597</formula1>
    </dataValidation>
    <dataValidation type="list" allowBlank="1" showInputMessage="1" sqref="B15">
      <formula1>$AA$2:$AA$614</formula1>
    </dataValidation>
    <dataValidation type="list" allowBlank="1" showInputMessage="1" showErrorMessage="1" sqref="B20">
      <formula1>$AA$2:$AA$974</formula1>
    </dataValidation>
    <dataValidation type="list" allowBlank="1" showInputMessage="1" sqref="B18:B19">
      <formula1>$AA$2:$AA$940</formula1>
    </dataValidation>
    <dataValidation type="list" allowBlank="1" showInputMessage="1" showErrorMessage="1" sqref="B21">
      <formula1>$AA$2:$AA$1106</formula1>
    </dataValidation>
    <dataValidation type="list" allowBlank="1" showInputMessage="1" showErrorMessage="1" sqref="B22">
      <formula1>$AA$2:$AA$1193</formula1>
    </dataValidation>
    <dataValidation type="list" allowBlank="1" showInputMessage="1" showErrorMessage="1" sqref="B23">
      <formula1>$AA$2:$AA$1404</formula1>
    </dataValidation>
    <dataValidation type="list" allowBlank="1" showInputMessage="1" showErrorMessage="1" sqref="B24">
      <formula1>$AA$2:$AA$1405</formula1>
    </dataValidation>
    <dataValidation type="list" allowBlank="1" showInputMessage="1" showErrorMessage="1" sqref="B25">
      <formula1>$AA$2:$AA$1419</formula1>
    </dataValidation>
    <dataValidation type="list" allowBlank="1" showInputMessage="1" showErrorMessage="1" sqref="B26">
      <formula1>$AA$2:$AA$1512</formula1>
    </dataValidation>
    <dataValidation type="list" allowBlank="1" showInputMessage="1" showErrorMessage="1" sqref="C26">
      <formula1>$Z$2:$Z$373</formula1>
    </dataValidation>
    <dataValidation type="list" allowBlank="1" showInputMessage="1" showErrorMessage="1" sqref="B35">
      <formula1>$AA$2:$AA$1531</formula1>
    </dataValidation>
    <dataValidation type="list" allowBlank="1" showInputMessage="1" showErrorMessage="1" sqref="C27">
      <formula1>$Z$2:$Z$900</formula1>
    </dataValidation>
    <dataValidation type="list" allowBlank="1" showInputMessage="1" showErrorMessage="1" sqref="C30">
      <formula1>$Z$2:$Z$890</formula1>
    </dataValidation>
    <dataValidation type="list" allowBlank="1" showInputMessage="1" showErrorMessage="1" sqref="B28:B31">
      <formula1>$AA$2:$AA$1523</formula1>
    </dataValidation>
    <dataValidation type="list" allowBlank="1" showInputMessage="1" showErrorMessage="1" sqref="C28 C31">
      <formula1>$Z$2:$Z$887</formula1>
    </dataValidation>
    <dataValidation type="list" allowBlank="1" showInputMessage="1" showErrorMessage="1" sqref="B32">
      <formula1>$AA$2:$AA$1528</formula1>
    </dataValidation>
    <dataValidation type="list" allowBlank="1" showInputMessage="1" showErrorMessage="1" sqref="C32">
      <formula1>$Z$2:$Z$891</formula1>
    </dataValidation>
    <dataValidation type="list" allowBlank="1" showInputMessage="1" showErrorMessage="1" sqref="C33:C35">
      <formula1>$Z$2:$Z$379</formula1>
    </dataValidation>
    <dataValidation type="list" allowBlank="1" showInputMessage="1" showErrorMessage="1" sqref="C37">
      <formula1>$Z$2:$Z$893</formula1>
    </dataValidation>
    <dataValidation type="list" allowBlank="1" showInputMessage="1" showErrorMessage="1" sqref="B37">
      <formula1>$AA$2:$AA$1536</formula1>
    </dataValidation>
    <dataValidation type="list" allowBlank="1" showInputMessage="1" showErrorMessage="1" sqref="B38:B39">
      <formula1>$AA$2:$AA$1539</formula1>
    </dataValidation>
    <dataValidation type="list" allowBlank="1" showInputMessage="1" showErrorMessage="1" sqref="C38:C39">
      <formula1>$Z$2:$Z$894</formula1>
    </dataValidation>
    <dataValidation type="list" allowBlank="1" showInputMessage="1" sqref="B36">
      <formula1>$AA$2:$AA$1550</formula1>
    </dataValidation>
    <dataValidation type="list" allowBlank="1" showInputMessage="1" showErrorMessage="1" sqref="B41:B42">
      <formula1>$AA$2:$AA$1541</formula1>
    </dataValidation>
    <dataValidation type="list" allowBlank="1" showInputMessage="1" showErrorMessage="1" sqref="C41:C42">
      <formula1>$Z$2:$Z$381</formula1>
    </dataValidation>
    <dataValidation type="list" allowBlank="1" showInputMessage="1" showErrorMessage="1" sqref="B43">
      <formula1>$AA$2:$AA$1538</formula1>
    </dataValidation>
    <dataValidation type="list" allowBlank="1" showInputMessage="1" showErrorMessage="1" sqref="C43">
      <formula1>$Z$2:$Z$383</formula1>
    </dataValidation>
    <dataValidation type="list" allowBlank="1" showInputMessage="1" sqref="B27">
      <formula1>$AA$2:$AA$1531</formula1>
    </dataValidation>
    <dataValidation type="list" allowBlank="1" showInputMessage="1" sqref="B40">
      <formula1>$AA$2:$AA$1552</formula1>
    </dataValidation>
    <dataValidation type="list" allowBlank="1" showInputMessage="1" showErrorMessage="1" sqref="B661:B701">
      <formula1>$Z$2:$Z$1579</formula1>
    </dataValidation>
    <dataValidation type="list" allowBlank="1" showInputMessage="1" showErrorMessage="1" sqref="C661:C713">
      <formula1>$Y$2:$Y$904</formula1>
    </dataValidation>
    <dataValidation type="list" allowBlank="1" showInputMessage="1" showErrorMessage="1" sqref="E661:E713">
      <formula1>$AA$2:$AA$328</formula1>
    </dataValidation>
    <dataValidation type="list" allowBlank="1" showInputMessage="1" showErrorMessage="1" sqref="B702:B713">
      <formula1>$Z$2:$Z$1580</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C565"/>
  <sheetViews>
    <sheetView tabSelected="1" zoomScale="87" zoomScaleNormal="87" workbookViewId="0">
      <pane xSplit="1" ySplit="3" topLeftCell="B151" activePane="bottomRight" state="frozen"/>
      <selection pane="topRight" activeCell="B1" sqref="B1"/>
      <selection pane="bottomLeft" activeCell="A4" sqref="A4"/>
      <selection pane="bottomRight" activeCell="D18" sqref="D18"/>
    </sheetView>
  </sheetViews>
  <sheetFormatPr defaultRowHeight="15" x14ac:dyDescent="0.25"/>
  <cols>
    <col min="1" max="1" width="12" bestFit="1" customWidth="1"/>
    <col min="2" max="2" width="26.28515625" bestFit="1" customWidth="1"/>
    <col min="3" max="3" width="13.28515625" customWidth="1"/>
    <col min="4" max="4" width="10.140625" customWidth="1"/>
    <col min="5" max="5" width="22.85546875" bestFit="1" customWidth="1"/>
    <col min="6" max="6" width="7" bestFit="1" customWidth="1"/>
    <col min="8" max="8" width="9" bestFit="1" customWidth="1"/>
    <col min="9" max="9" width="13.28515625" bestFit="1" customWidth="1"/>
    <col min="10" max="10" width="4.7109375" bestFit="1" customWidth="1"/>
    <col min="11" max="11" width="15.85546875" bestFit="1" customWidth="1"/>
    <col min="13" max="13" width="10.85546875" bestFit="1" customWidth="1"/>
    <col min="14" max="14" width="13.28515625" bestFit="1" customWidth="1"/>
    <col min="15" max="15" width="10.85546875" bestFit="1" customWidth="1"/>
    <col min="16" max="16" width="13.42578125" bestFit="1" customWidth="1"/>
    <col min="17" max="17" width="13.28515625" bestFit="1" customWidth="1"/>
    <col min="18" max="22" width="10.85546875" bestFit="1" customWidth="1"/>
    <col min="23" max="23" width="13.28515625" bestFit="1" customWidth="1"/>
    <col min="24" max="24" width="10.85546875" bestFit="1" customWidth="1"/>
    <col min="25" max="25" width="13.42578125" bestFit="1" customWidth="1"/>
    <col min="26" max="26" width="13.28515625" bestFit="1" customWidth="1"/>
    <col min="28" max="28" width="12.5703125" bestFit="1" customWidth="1"/>
    <col min="29" max="29" width="11.28515625" bestFit="1" customWidth="1"/>
  </cols>
  <sheetData>
    <row r="1" spans="1:29" ht="43.15" customHeight="1" x14ac:dyDescent="0.25">
      <c r="A1" s="137" t="s">
        <v>0</v>
      </c>
      <c r="B1" s="139" t="s">
        <v>1</v>
      </c>
      <c r="C1" s="1" t="s">
        <v>570</v>
      </c>
      <c r="D1" s="1"/>
      <c r="E1" s="141" t="s">
        <v>2</v>
      </c>
      <c r="F1" s="141"/>
      <c r="G1" s="141"/>
      <c r="H1" s="141"/>
      <c r="I1" s="141"/>
      <c r="J1" s="2" t="s">
        <v>3</v>
      </c>
      <c r="K1" s="1" t="s">
        <v>452</v>
      </c>
      <c r="L1" s="1" t="s">
        <v>453</v>
      </c>
      <c r="M1" s="142" t="s">
        <v>5</v>
      </c>
      <c r="N1" s="142"/>
      <c r="O1" s="142"/>
      <c r="P1" s="142"/>
      <c r="Q1" s="142"/>
      <c r="R1" s="142"/>
      <c r="S1" s="142"/>
      <c r="T1" s="142"/>
      <c r="U1" s="142"/>
      <c r="V1" s="142"/>
      <c r="W1" s="142"/>
      <c r="X1" s="142"/>
      <c r="Y1" s="142"/>
      <c r="Z1" s="142"/>
      <c r="AA1" s="142"/>
      <c r="AB1" s="1" t="s">
        <v>571</v>
      </c>
      <c r="AC1" s="134" t="s">
        <v>6</v>
      </c>
    </row>
    <row r="2" spans="1:29" ht="14.45" customHeight="1" x14ac:dyDescent="0.25">
      <c r="A2" s="143"/>
      <c r="B2" s="144"/>
      <c r="C2" s="137" t="s">
        <v>7</v>
      </c>
      <c r="D2" s="137"/>
      <c r="E2" s="139" t="s">
        <v>8</v>
      </c>
      <c r="F2" s="139" t="s">
        <v>9</v>
      </c>
      <c r="G2" s="137" t="s">
        <v>10</v>
      </c>
      <c r="H2" s="141" t="s">
        <v>11</v>
      </c>
      <c r="I2" s="141"/>
      <c r="J2" s="2"/>
      <c r="K2" s="3"/>
      <c r="L2" s="3"/>
      <c r="M2" s="145" t="s">
        <v>12</v>
      </c>
      <c r="N2" s="145"/>
      <c r="O2" s="145"/>
      <c r="P2" s="145" t="s">
        <v>13</v>
      </c>
      <c r="Q2" s="145"/>
      <c r="R2" s="145"/>
      <c r="S2" s="145" t="s">
        <v>14</v>
      </c>
      <c r="T2" s="145"/>
      <c r="U2" s="145"/>
      <c r="V2" s="142" t="s">
        <v>15</v>
      </c>
      <c r="W2" s="142"/>
      <c r="X2" s="142"/>
      <c r="Y2" s="142" t="s">
        <v>16</v>
      </c>
      <c r="Z2" s="142"/>
      <c r="AA2" s="142"/>
      <c r="AB2" s="137" t="s">
        <v>7</v>
      </c>
      <c r="AC2" s="135"/>
    </row>
    <row r="3" spans="1:29" ht="14.45" customHeight="1" x14ac:dyDescent="0.25">
      <c r="A3" s="138"/>
      <c r="B3" s="140"/>
      <c r="C3" s="138"/>
      <c r="D3" s="138"/>
      <c r="E3" s="140"/>
      <c r="F3" s="140"/>
      <c r="G3" s="138"/>
      <c r="H3" s="5" t="s">
        <v>17</v>
      </c>
      <c r="I3" s="1" t="s">
        <v>18</v>
      </c>
      <c r="J3" s="2"/>
      <c r="K3" s="3"/>
      <c r="L3" s="3"/>
      <c r="M3" s="4" t="s">
        <v>19</v>
      </c>
      <c r="N3" s="4" t="s">
        <v>661</v>
      </c>
      <c r="O3" s="4"/>
      <c r="P3" s="4" t="s">
        <v>19</v>
      </c>
      <c r="Q3" s="4" t="s">
        <v>661</v>
      </c>
      <c r="R3" s="4"/>
      <c r="S3" s="4" t="s">
        <v>19</v>
      </c>
      <c r="T3" s="4" t="s">
        <v>661</v>
      </c>
      <c r="U3" s="4"/>
      <c r="V3" s="4" t="s">
        <v>19</v>
      </c>
      <c r="W3" s="4" t="s">
        <v>661</v>
      </c>
      <c r="X3" s="4"/>
      <c r="Y3" s="4" t="s">
        <v>19</v>
      </c>
      <c r="Z3" s="4" t="s">
        <v>661</v>
      </c>
      <c r="AA3" s="4"/>
      <c r="AB3" s="138"/>
      <c r="AC3" s="136"/>
    </row>
    <row r="4" spans="1:29" ht="15.75" x14ac:dyDescent="0.25">
      <c r="A4" s="6">
        <v>43670</v>
      </c>
      <c r="B4" s="7" t="s">
        <v>20</v>
      </c>
      <c r="C4" s="8">
        <v>450000</v>
      </c>
      <c r="D4" s="9"/>
      <c r="E4" s="7" t="s">
        <v>21</v>
      </c>
      <c r="F4" s="7">
        <v>1</v>
      </c>
      <c r="G4" s="7" t="s">
        <v>22</v>
      </c>
      <c r="H4" s="7"/>
      <c r="I4" s="10">
        <f t="shared" ref="I4:I68" si="0">F4*H4</f>
        <v>0</v>
      </c>
      <c r="J4" s="11" t="s">
        <v>23</v>
      </c>
      <c r="K4" s="7"/>
      <c r="L4" s="7"/>
      <c r="M4" s="12">
        <f t="shared" ref="M4:M68" si="1">N4+O4</f>
        <v>0</v>
      </c>
      <c r="N4" s="12"/>
      <c r="O4" s="12"/>
      <c r="P4" s="12">
        <f t="shared" ref="P4:P68" si="2">Q4+R4</f>
        <v>0</v>
      </c>
      <c r="Q4" s="12"/>
      <c r="R4" s="12"/>
      <c r="S4" s="12">
        <f t="shared" ref="S4:S68" si="3">T4+U4</f>
        <v>0</v>
      </c>
      <c r="T4" s="12"/>
      <c r="U4" s="12"/>
      <c r="V4" s="12">
        <f t="shared" ref="V4:V68" si="4">W4+X4</f>
        <v>0</v>
      </c>
      <c r="W4" s="12"/>
      <c r="X4" s="12"/>
      <c r="Y4" s="12">
        <f t="shared" ref="Y4:Y68" si="5">Z4+AA4</f>
        <v>0</v>
      </c>
      <c r="Z4" s="12"/>
      <c r="AA4" s="12"/>
      <c r="AB4" s="13">
        <f t="shared" ref="AB4:AB68" si="6">C4+I4-M4-P4-V4-Y4-S4</f>
        <v>450000</v>
      </c>
      <c r="AC4" s="14"/>
    </row>
    <row r="5" spans="1:29" ht="15.75" x14ac:dyDescent="0.25">
      <c r="A5" s="15">
        <v>44525</v>
      </c>
      <c r="B5" s="7" t="s">
        <v>24</v>
      </c>
      <c r="C5" s="16">
        <v>4600000</v>
      </c>
      <c r="D5" s="7"/>
      <c r="E5" s="7" t="s">
        <v>25</v>
      </c>
      <c r="F5" s="7">
        <v>2000</v>
      </c>
      <c r="G5" s="7" t="s">
        <v>26</v>
      </c>
      <c r="H5" s="7"/>
      <c r="I5" s="10">
        <f t="shared" si="0"/>
        <v>0</v>
      </c>
      <c r="J5" s="11" t="s">
        <v>23</v>
      </c>
      <c r="K5" s="7"/>
      <c r="L5" s="7"/>
      <c r="M5" s="12">
        <f t="shared" si="1"/>
        <v>0</v>
      </c>
      <c r="N5" s="12"/>
      <c r="O5" s="12"/>
      <c r="P5" s="12">
        <f t="shared" si="2"/>
        <v>0</v>
      </c>
      <c r="Q5" s="12"/>
      <c r="R5" s="12"/>
      <c r="S5" s="12">
        <f t="shared" si="3"/>
        <v>0</v>
      </c>
      <c r="T5" s="12"/>
      <c r="U5" s="12"/>
      <c r="V5" s="12">
        <f t="shared" si="4"/>
        <v>0</v>
      </c>
      <c r="W5" s="12"/>
      <c r="X5" s="12"/>
      <c r="Y5" s="12">
        <f t="shared" si="5"/>
        <v>0</v>
      </c>
      <c r="Z5" s="12"/>
      <c r="AA5" s="12"/>
      <c r="AB5" s="13">
        <f t="shared" si="6"/>
        <v>4600000</v>
      </c>
      <c r="AC5" s="14"/>
    </row>
    <row r="6" spans="1:29" ht="15.75" x14ac:dyDescent="0.25">
      <c r="A6" s="15">
        <v>45059</v>
      </c>
      <c r="B6" s="7" t="s">
        <v>27</v>
      </c>
      <c r="C6" s="16">
        <v>2640500</v>
      </c>
      <c r="D6" s="7" t="s">
        <v>28</v>
      </c>
      <c r="E6" s="7" t="s">
        <v>29</v>
      </c>
      <c r="F6" s="7">
        <v>1750</v>
      </c>
      <c r="G6" s="7" t="s">
        <v>26</v>
      </c>
      <c r="H6" s="7"/>
      <c r="I6" s="10">
        <f t="shared" si="0"/>
        <v>0</v>
      </c>
      <c r="J6" s="17" t="s">
        <v>30</v>
      </c>
      <c r="K6" s="7"/>
      <c r="L6" s="7"/>
      <c r="M6" s="12">
        <f t="shared" si="1"/>
        <v>0</v>
      </c>
      <c r="N6" s="12"/>
      <c r="O6" s="12"/>
      <c r="P6" s="12">
        <f t="shared" si="2"/>
        <v>0</v>
      </c>
      <c r="Q6" s="12"/>
      <c r="R6" s="12"/>
      <c r="S6" s="12">
        <f t="shared" si="3"/>
        <v>0</v>
      </c>
      <c r="T6" s="12"/>
      <c r="U6" s="12"/>
      <c r="V6" s="12">
        <f t="shared" si="4"/>
        <v>0</v>
      </c>
      <c r="W6" s="12"/>
      <c r="X6" s="12"/>
      <c r="Y6" s="12">
        <f t="shared" si="5"/>
        <v>0</v>
      </c>
      <c r="Z6" s="12"/>
      <c r="AA6" s="12"/>
      <c r="AB6" s="13">
        <f t="shared" si="6"/>
        <v>2640500</v>
      </c>
      <c r="AC6" s="14"/>
    </row>
    <row r="7" spans="1:29" ht="15.75" x14ac:dyDescent="0.25">
      <c r="A7" s="15">
        <v>45254</v>
      </c>
      <c r="B7" s="7" t="s">
        <v>31</v>
      </c>
      <c r="C7" s="16">
        <v>166250</v>
      </c>
      <c r="D7" s="7" t="s">
        <v>32</v>
      </c>
      <c r="E7" s="7" t="s">
        <v>33</v>
      </c>
      <c r="F7" s="7">
        <v>18250</v>
      </c>
      <c r="G7" s="7" t="s">
        <v>26</v>
      </c>
      <c r="H7" s="7"/>
      <c r="I7" s="10">
        <f t="shared" si="0"/>
        <v>0</v>
      </c>
      <c r="J7" s="17" t="s">
        <v>30</v>
      </c>
      <c r="K7" s="7"/>
      <c r="L7" s="7"/>
      <c r="M7" s="12">
        <f t="shared" si="1"/>
        <v>0</v>
      </c>
      <c r="N7" s="12"/>
      <c r="O7" s="12"/>
      <c r="P7" s="12">
        <f t="shared" si="2"/>
        <v>0</v>
      </c>
      <c r="Q7" s="12"/>
      <c r="R7" s="12"/>
      <c r="S7" s="12">
        <f t="shared" si="3"/>
        <v>0</v>
      </c>
      <c r="T7" s="12"/>
      <c r="U7" s="12"/>
      <c r="V7" s="12">
        <f t="shared" si="4"/>
        <v>0</v>
      </c>
      <c r="W7" s="12"/>
      <c r="X7" s="12"/>
      <c r="Y7" s="12">
        <f t="shared" si="5"/>
        <v>0</v>
      </c>
      <c r="Z7" s="12"/>
      <c r="AA7" s="12"/>
      <c r="AB7" s="13">
        <f t="shared" si="6"/>
        <v>166250</v>
      </c>
      <c r="AC7" s="14"/>
    </row>
    <row r="8" spans="1:29" ht="15.75" x14ac:dyDescent="0.25">
      <c r="A8" s="18">
        <v>45405</v>
      </c>
      <c r="B8" s="19" t="s">
        <v>34</v>
      </c>
      <c r="C8" s="20">
        <v>139800</v>
      </c>
      <c r="D8" s="19" t="s">
        <v>28</v>
      </c>
      <c r="E8" s="19" t="s">
        <v>35</v>
      </c>
      <c r="F8" s="19">
        <v>574</v>
      </c>
      <c r="G8" s="19" t="s">
        <v>36</v>
      </c>
      <c r="H8" s="19"/>
      <c r="I8" s="10">
        <f t="shared" si="0"/>
        <v>0</v>
      </c>
      <c r="J8" s="17" t="s">
        <v>30</v>
      </c>
      <c r="K8" s="7"/>
      <c r="L8" s="7"/>
      <c r="M8" s="12">
        <f t="shared" si="1"/>
        <v>0</v>
      </c>
      <c r="N8" s="12"/>
      <c r="O8" s="12"/>
      <c r="P8" s="12">
        <f t="shared" si="2"/>
        <v>0</v>
      </c>
      <c r="Q8" s="12"/>
      <c r="R8" s="12"/>
      <c r="S8" s="12">
        <f t="shared" si="3"/>
        <v>0</v>
      </c>
      <c r="T8" s="12"/>
      <c r="U8" s="12"/>
      <c r="V8" s="12">
        <f t="shared" si="4"/>
        <v>0</v>
      </c>
      <c r="W8" s="12"/>
      <c r="X8" s="12"/>
      <c r="Y8" s="12">
        <f t="shared" si="5"/>
        <v>0</v>
      </c>
      <c r="Z8" s="12"/>
      <c r="AA8" s="12"/>
      <c r="AB8" s="13">
        <f t="shared" si="6"/>
        <v>139800</v>
      </c>
      <c r="AC8" s="14"/>
    </row>
    <row r="9" spans="1:29" ht="15.75" x14ac:dyDescent="0.25">
      <c r="A9" s="18">
        <v>45462</v>
      </c>
      <c r="B9" s="21" t="s">
        <v>37</v>
      </c>
      <c r="C9" s="19">
        <v>-40000</v>
      </c>
      <c r="D9" s="19" t="s">
        <v>28</v>
      </c>
      <c r="E9" s="19" t="s">
        <v>38</v>
      </c>
      <c r="F9" s="19">
        <v>4</v>
      </c>
      <c r="G9" s="19" t="s">
        <v>39</v>
      </c>
      <c r="H9" s="19"/>
      <c r="I9" s="10">
        <f t="shared" si="0"/>
        <v>0</v>
      </c>
      <c r="J9" s="22" t="s">
        <v>40</v>
      </c>
      <c r="K9" s="7"/>
      <c r="L9" s="7"/>
      <c r="M9" s="12">
        <f t="shared" si="1"/>
        <v>0</v>
      </c>
      <c r="N9" s="12"/>
      <c r="O9" s="12"/>
      <c r="P9" s="12">
        <f t="shared" si="2"/>
        <v>0</v>
      </c>
      <c r="Q9" s="12"/>
      <c r="R9" s="12"/>
      <c r="S9" s="12">
        <f t="shared" si="3"/>
        <v>0</v>
      </c>
      <c r="T9" s="12"/>
      <c r="U9" s="12"/>
      <c r="V9" s="12">
        <f t="shared" si="4"/>
        <v>0</v>
      </c>
      <c r="W9" s="12"/>
      <c r="X9" s="12"/>
      <c r="Y9" s="12">
        <f t="shared" si="5"/>
        <v>0</v>
      </c>
      <c r="Z9" s="12"/>
      <c r="AA9" s="12"/>
      <c r="AB9" s="13">
        <f t="shared" si="6"/>
        <v>-40000</v>
      </c>
      <c r="AC9" s="14">
        <v>45462</v>
      </c>
    </row>
    <row r="10" spans="1:29" ht="15.75" x14ac:dyDescent="0.25">
      <c r="A10" s="18">
        <v>45485</v>
      </c>
      <c r="B10" s="21" t="s">
        <v>41</v>
      </c>
      <c r="C10" s="20">
        <v>-100000</v>
      </c>
      <c r="D10" s="19" t="s">
        <v>28</v>
      </c>
      <c r="E10" s="19" t="s">
        <v>42</v>
      </c>
      <c r="F10" s="19">
        <v>298</v>
      </c>
      <c r="G10" s="19" t="s">
        <v>26</v>
      </c>
      <c r="H10" s="19"/>
      <c r="I10" s="10">
        <f t="shared" si="0"/>
        <v>0</v>
      </c>
      <c r="J10" s="22" t="s">
        <v>40</v>
      </c>
      <c r="K10" s="7"/>
      <c r="L10" s="7"/>
      <c r="M10" s="12">
        <f t="shared" si="1"/>
        <v>0</v>
      </c>
      <c r="N10" s="12"/>
      <c r="O10" s="12"/>
      <c r="P10" s="12">
        <f t="shared" si="2"/>
        <v>0</v>
      </c>
      <c r="Q10" s="12"/>
      <c r="R10" s="12"/>
      <c r="S10" s="12">
        <f t="shared" si="3"/>
        <v>0</v>
      </c>
      <c r="T10" s="12"/>
      <c r="U10" s="12"/>
      <c r="V10" s="12">
        <f t="shared" si="4"/>
        <v>0</v>
      </c>
      <c r="W10" s="12"/>
      <c r="X10" s="12"/>
      <c r="Y10" s="12">
        <f t="shared" si="5"/>
        <v>0</v>
      </c>
      <c r="Z10" s="12"/>
      <c r="AA10" s="12"/>
      <c r="AB10" s="13">
        <f t="shared" si="6"/>
        <v>-100000</v>
      </c>
      <c r="AC10" s="14">
        <v>45637</v>
      </c>
    </row>
    <row r="11" spans="1:29" ht="15.75" x14ac:dyDescent="0.25">
      <c r="A11" s="18"/>
      <c r="B11" s="19" t="s">
        <v>43</v>
      </c>
      <c r="C11" s="19">
        <v>784000</v>
      </c>
      <c r="D11" s="19" t="s">
        <v>28</v>
      </c>
      <c r="E11" s="19"/>
      <c r="F11" s="19"/>
      <c r="G11" s="19" t="s">
        <v>36</v>
      </c>
      <c r="H11" s="19"/>
      <c r="I11" s="10">
        <f t="shared" si="0"/>
        <v>0</v>
      </c>
      <c r="J11" s="22" t="s">
        <v>40</v>
      </c>
      <c r="K11" s="7"/>
      <c r="L11" s="7"/>
      <c r="M11" s="12">
        <f t="shared" si="1"/>
        <v>0</v>
      </c>
      <c r="N11" s="12"/>
      <c r="O11" s="12"/>
      <c r="P11" s="12">
        <f t="shared" si="2"/>
        <v>0</v>
      </c>
      <c r="Q11" s="12"/>
      <c r="R11" s="12"/>
      <c r="S11" s="12">
        <f t="shared" si="3"/>
        <v>0</v>
      </c>
      <c r="T11" s="12"/>
      <c r="U11" s="12"/>
      <c r="V11" s="12">
        <f t="shared" si="4"/>
        <v>0</v>
      </c>
      <c r="W11" s="12"/>
      <c r="X11" s="12"/>
      <c r="Y11" s="12">
        <f t="shared" si="5"/>
        <v>0</v>
      </c>
      <c r="Z11" s="12"/>
      <c r="AA11" s="12"/>
      <c r="AB11" s="13">
        <f t="shared" si="6"/>
        <v>784000</v>
      </c>
      <c r="AC11" s="14"/>
    </row>
    <row r="12" spans="1:29" ht="15.75" x14ac:dyDescent="0.25">
      <c r="A12" s="15"/>
      <c r="B12" s="7" t="s">
        <v>44</v>
      </c>
      <c r="C12" s="8">
        <v>4940000</v>
      </c>
      <c r="D12" s="9"/>
      <c r="E12" s="7"/>
      <c r="F12" s="7"/>
      <c r="G12" s="7"/>
      <c r="H12" s="7"/>
      <c r="I12" s="10">
        <f t="shared" si="0"/>
        <v>0</v>
      </c>
      <c r="J12" s="11" t="s">
        <v>23</v>
      </c>
      <c r="K12" s="7"/>
      <c r="L12" s="7"/>
      <c r="M12" s="12">
        <f t="shared" si="1"/>
        <v>0</v>
      </c>
      <c r="N12" s="12"/>
      <c r="O12" s="12"/>
      <c r="P12" s="12">
        <f t="shared" si="2"/>
        <v>0</v>
      </c>
      <c r="Q12" s="12"/>
      <c r="R12" s="12"/>
      <c r="S12" s="12">
        <f t="shared" si="3"/>
        <v>0</v>
      </c>
      <c r="T12" s="12"/>
      <c r="U12" s="12"/>
      <c r="V12" s="12">
        <f t="shared" si="4"/>
        <v>0</v>
      </c>
      <c r="W12" s="12"/>
      <c r="X12" s="12"/>
      <c r="Y12" s="12">
        <f t="shared" si="5"/>
        <v>0</v>
      </c>
      <c r="Z12" s="12"/>
      <c r="AA12" s="12"/>
      <c r="AB12" s="13">
        <f t="shared" si="6"/>
        <v>4940000</v>
      </c>
      <c r="AC12" s="14">
        <v>45590</v>
      </c>
    </row>
    <row r="13" spans="1:29" ht="15.75" x14ac:dyDescent="0.25">
      <c r="A13" s="15"/>
      <c r="B13" s="23" t="s">
        <v>45</v>
      </c>
      <c r="C13" s="7">
        <v>-240000</v>
      </c>
      <c r="D13" s="7" t="s">
        <v>32</v>
      </c>
      <c r="E13" s="7" t="s">
        <v>46</v>
      </c>
      <c r="F13" s="7">
        <v>307.39999999999998</v>
      </c>
      <c r="G13" s="7" t="s">
        <v>36</v>
      </c>
      <c r="H13" s="7"/>
      <c r="I13" s="10">
        <f t="shared" si="0"/>
        <v>0</v>
      </c>
      <c r="J13" s="22" t="s">
        <v>40</v>
      </c>
      <c r="K13" s="7"/>
      <c r="L13" s="7"/>
      <c r="M13" s="12">
        <f t="shared" si="1"/>
        <v>0</v>
      </c>
      <c r="N13" s="12"/>
      <c r="O13" s="12"/>
      <c r="P13" s="12">
        <f t="shared" si="2"/>
        <v>0</v>
      </c>
      <c r="Q13" s="12"/>
      <c r="R13" s="12"/>
      <c r="S13" s="12">
        <f t="shared" si="3"/>
        <v>0</v>
      </c>
      <c r="T13" s="12"/>
      <c r="U13" s="12"/>
      <c r="V13" s="12">
        <f t="shared" si="4"/>
        <v>0</v>
      </c>
      <c r="W13" s="12"/>
      <c r="X13" s="12"/>
      <c r="Y13" s="12">
        <f t="shared" si="5"/>
        <v>0</v>
      </c>
      <c r="Z13" s="12"/>
      <c r="AA13" s="12"/>
      <c r="AB13" s="13">
        <f t="shared" si="6"/>
        <v>-240000</v>
      </c>
      <c r="AC13" s="14"/>
    </row>
    <row r="14" spans="1:29" ht="15.75" x14ac:dyDescent="0.25">
      <c r="A14" s="15"/>
      <c r="B14" s="7" t="s">
        <v>47</v>
      </c>
      <c r="C14" s="8">
        <v>3628</v>
      </c>
      <c r="D14" s="9"/>
      <c r="E14" s="7"/>
      <c r="F14" s="7"/>
      <c r="G14" s="7"/>
      <c r="H14" s="7"/>
      <c r="I14" s="10">
        <f t="shared" si="0"/>
        <v>0</v>
      </c>
      <c r="J14" s="11" t="s">
        <v>23</v>
      </c>
      <c r="K14" s="7"/>
      <c r="L14" s="7"/>
      <c r="M14" s="12">
        <f t="shared" si="1"/>
        <v>0</v>
      </c>
      <c r="N14" s="12"/>
      <c r="O14" s="12"/>
      <c r="P14" s="12">
        <f t="shared" si="2"/>
        <v>0</v>
      </c>
      <c r="Q14" s="12"/>
      <c r="R14" s="12"/>
      <c r="S14" s="12">
        <f t="shared" si="3"/>
        <v>0</v>
      </c>
      <c r="T14" s="12"/>
      <c r="U14" s="12"/>
      <c r="V14" s="12">
        <f t="shared" si="4"/>
        <v>0</v>
      </c>
      <c r="W14" s="12"/>
      <c r="X14" s="12"/>
      <c r="Y14" s="12">
        <f t="shared" si="5"/>
        <v>0</v>
      </c>
      <c r="Z14" s="12"/>
      <c r="AA14" s="12"/>
      <c r="AB14" s="13">
        <f t="shared" si="6"/>
        <v>3628</v>
      </c>
      <c r="AC14" s="14"/>
    </row>
    <row r="15" spans="1:29" ht="15.75" x14ac:dyDescent="0.25">
      <c r="A15" s="18"/>
      <c r="B15" s="21" t="s">
        <v>48</v>
      </c>
      <c r="C15" s="19">
        <v>-300000</v>
      </c>
      <c r="D15" s="19"/>
      <c r="E15" s="19"/>
      <c r="F15" s="19"/>
      <c r="G15" s="19"/>
      <c r="H15" s="19"/>
      <c r="I15" s="10">
        <f t="shared" si="0"/>
        <v>0</v>
      </c>
      <c r="J15" s="22" t="s">
        <v>40</v>
      </c>
      <c r="K15" s="19" t="s">
        <v>49</v>
      </c>
      <c r="L15" s="19"/>
      <c r="M15" s="12">
        <f t="shared" si="1"/>
        <v>0</v>
      </c>
      <c r="N15" s="12"/>
      <c r="O15" s="12"/>
      <c r="P15" s="12">
        <f t="shared" si="2"/>
        <v>0</v>
      </c>
      <c r="Q15" s="12"/>
      <c r="R15" s="12"/>
      <c r="S15" s="12">
        <f t="shared" si="3"/>
        <v>0</v>
      </c>
      <c r="T15" s="12"/>
      <c r="U15" s="12"/>
      <c r="V15" s="12">
        <f t="shared" si="4"/>
        <v>0</v>
      </c>
      <c r="W15" s="12"/>
      <c r="X15" s="12"/>
      <c r="Y15" s="12">
        <f t="shared" si="5"/>
        <v>0</v>
      </c>
      <c r="Z15" s="12"/>
      <c r="AA15" s="12"/>
      <c r="AB15" s="13">
        <f t="shared" si="6"/>
        <v>-300000</v>
      </c>
      <c r="AC15" s="14">
        <v>45589</v>
      </c>
    </row>
    <row r="16" spans="1:29" ht="15.75" x14ac:dyDescent="0.25">
      <c r="A16" s="24">
        <v>45644</v>
      </c>
      <c r="B16" s="25" t="s">
        <v>50</v>
      </c>
      <c r="C16" s="19">
        <v>-1020000</v>
      </c>
      <c r="D16" s="26" t="s">
        <v>32</v>
      </c>
      <c r="E16" s="19" t="s">
        <v>51</v>
      </c>
      <c r="F16" s="19">
        <v>2</v>
      </c>
      <c r="G16" s="19" t="s">
        <v>22</v>
      </c>
      <c r="H16" s="19"/>
      <c r="I16" s="10">
        <f t="shared" si="0"/>
        <v>0</v>
      </c>
      <c r="J16" s="27" t="s">
        <v>40</v>
      </c>
      <c r="K16" s="19" t="s">
        <v>52</v>
      </c>
      <c r="L16" s="19"/>
      <c r="M16" s="12">
        <f t="shared" si="1"/>
        <v>0</v>
      </c>
      <c r="N16" s="12"/>
      <c r="O16" s="12"/>
      <c r="P16" s="12">
        <f t="shared" si="2"/>
        <v>0</v>
      </c>
      <c r="Q16" s="12"/>
      <c r="R16" s="12"/>
      <c r="S16" s="12">
        <f t="shared" si="3"/>
        <v>0</v>
      </c>
      <c r="T16" s="12"/>
      <c r="U16" s="12"/>
      <c r="V16" s="12">
        <f t="shared" si="4"/>
        <v>0</v>
      </c>
      <c r="W16" s="12"/>
      <c r="X16" s="12"/>
      <c r="Y16" s="12">
        <f t="shared" si="5"/>
        <v>0</v>
      </c>
      <c r="Z16" s="12"/>
      <c r="AA16" s="12"/>
      <c r="AB16" s="13">
        <f t="shared" si="6"/>
        <v>-1020000</v>
      </c>
      <c r="AC16" s="14">
        <v>45685</v>
      </c>
    </row>
    <row r="17" spans="1:29" ht="15.75" x14ac:dyDescent="0.25">
      <c r="A17" s="24">
        <v>45646</v>
      </c>
      <c r="B17" s="21" t="s">
        <v>53</v>
      </c>
      <c r="C17" s="19">
        <v>-1354000</v>
      </c>
      <c r="D17" s="26" t="s">
        <v>32</v>
      </c>
      <c r="E17" s="19" t="s">
        <v>54</v>
      </c>
      <c r="F17" s="19">
        <v>49.1</v>
      </c>
      <c r="G17" s="19" t="s">
        <v>36</v>
      </c>
      <c r="H17" s="26"/>
      <c r="I17" s="10">
        <f t="shared" si="0"/>
        <v>0</v>
      </c>
      <c r="J17" s="22" t="s">
        <v>40</v>
      </c>
      <c r="K17" s="19"/>
      <c r="L17" s="19"/>
      <c r="M17" s="12">
        <f t="shared" si="1"/>
        <v>0</v>
      </c>
      <c r="N17" s="12"/>
      <c r="O17" s="12"/>
      <c r="P17" s="12">
        <f t="shared" si="2"/>
        <v>0</v>
      </c>
      <c r="Q17" s="12"/>
      <c r="R17" s="12"/>
      <c r="S17" s="12">
        <f t="shared" si="3"/>
        <v>0</v>
      </c>
      <c r="T17" s="12"/>
      <c r="U17" s="12"/>
      <c r="V17" s="12">
        <f t="shared" si="4"/>
        <v>0</v>
      </c>
      <c r="W17" s="12"/>
      <c r="X17" s="12"/>
      <c r="Y17" s="12">
        <f t="shared" si="5"/>
        <v>0</v>
      </c>
      <c r="Z17" s="12"/>
      <c r="AA17" s="12"/>
      <c r="AB17" s="13">
        <f t="shared" si="6"/>
        <v>-1354000</v>
      </c>
      <c r="AC17" s="14">
        <v>45653</v>
      </c>
    </row>
    <row r="18" spans="1:29" ht="15.75" x14ac:dyDescent="0.25">
      <c r="A18" s="28"/>
      <c r="B18" s="10" t="s">
        <v>56</v>
      </c>
      <c r="C18" s="10">
        <v>-39100</v>
      </c>
      <c r="D18" s="10"/>
      <c r="E18" s="10"/>
      <c r="F18" s="10"/>
      <c r="G18" s="10"/>
      <c r="H18" s="10"/>
      <c r="I18" s="10">
        <f t="shared" si="0"/>
        <v>0</v>
      </c>
      <c r="J18" s="29" t="s">
        <v>40</v>
      </c>
      <c r="K18" s="19"/>
      <c r="L18" s="19"/>
      <c r="M18" s="12">
        <f t="shared" si="1"/>
        <v>0</v>
      </c>
      <c r="N18" s="12"/>
      <c r="O18" s="12"/>
      <c r="P18" s="12">
        <f t="shared" si="2"/>
        <v>0</v>
      </c>
      <c r="Q18" s="12"/>
      <c r="R18" s="12"/>
      <c r="S18" s="12">
        <f t="shared" si="3"/>
        <v>0</v>
      </c>
      <c r="T18" s="12"/>
      <c r="U18" s="12"/>
      <c r="V18" s="12">
        <f t="shared" si="4"/>
        <v>0</v>
      </c>
      <c r="W18" s="12"/>
      <c r="X18" s="12"/>
      <c r="Y18" s="12">
        <f t="shared" si="5"/>
        <v>0</v>
      </c>
      <c r="Z18" s="12"/>
      <c r="AA18" s="12"/>
      <c r="AB18" s="13">
        <f t="shared" si="6"/>
        <v>-39100</v>
      </c>
      <c r="AC18" s="14">
        <v>45468</v>
      </c>
    </row>
    <row r="19" spans="1:29" ht="15.75" x14ac:dyDescent="0.25">
      <c r="A19" s="28"/>
      <c r="B19" s="10" t="s">
        <v>56</v>
      </c>
      <c r="C19" s="10">
        <v>-818000</v>
      </c>
      <c r="D19" s="10"/>
      <c r="E19" s="10"/>
      <c r="F19" s="10"/>
      <c r="G19" s="10"/>
      <c r="H19" s="10"/>
      <c r="I19" s="10">
        <f t="shared" si="0"/>
        <v>0</v>
      </c>
      <c r="J19" s="29" t="s">
        <v>40</v>
      </c>
      <c r="K19" s="19" t="s">
        <v>57</v>
      </c>
      <c r="L19" s="19"/>
      <c r="M19" s="12">
        <f t="shared" si="1"/>
        <v>0</v>
      </c>
      <c r="N19" s="12"/>
      <c r="O19" s="12"/>
      <c r="P19" s="12">
        <f t="shared" si="2"/>
        <v>0</v>
      </c>
      <c r="Q19" s="12"/>
      <c r="R19" s="12"/>
      <c r="S19" s="12">
        <f t="shared" si="3"/>
        <v>0</v>
      </c>
      <c r="T19" s="12"/>
      <c r="U19" s="12"/>
      <c r="V19" s="12">
        <f t="shared" si="4"/>
        <v>0</v>
      </c>
      <c r="W19" s="12"/>
      <c r="X19" s="12"/>
      <c r="Y19" s="12">
        <f t="shared" si="5"/>
        <v>0</v>
      </c>
      <c r="Z19" s="12"/>
      <c r="AA19" s="12"/>
      <c r="AB19" s="13">
        <f t="shared" si="6"/>
        <v>-818000</v>
      </c>
      <c r="AC19" s="14">
        <v>45684</v>
      </c>
    </row>
    <row r="20" spans="1:29" ht="15.75" x14ac:dyDescent="0.25">
      <c r="A20" s="28">
        <v>45706</v>
      </c>
      <c r="B20" s="10" t="s">
        <v>58</v>
      </c>
      <c r="C20" s="10">
        <v>-50000</v>
      </c>
      <c r="D20" s="10" t="s">
        <v>59</v>
      </c>
      <c r="E20" s="10" t="s">
        <v>60</v>
      </c>
      <c r="F20" s="10">
        <v>4</v>
      </c>
      <c r="G20" s="10" t="s">
        <v>61</v>
      </c>
      <c r="H20" s="10"/>
      <c r="I20" s="10">
        <f t="shared" si="0"/>
        <v>0</v>
      </c>
      <c r="J20" s="29" t="s">
        <v>40</v>
      </c>
      <c r="K20" s="19"/>
      <c r="L20" s="19"/>
      <c r="M20" s="12">
        <f t="shared" si="1"/>
        <v>0</v>
      </c>
      <c r="N20" s="12"/>
      <c r="O20" s="12"/>
      <c r="P20" s="12">
        <f t="shared" si="2"/>
        <v>0</v>
      </c>
      <c r="Q20" s="12"/>
      <c r="R20" s="12"/>
      <c r="S20" s="12">
        <f t="shared" si="3"/>
        <v>0</v>
      </c>
      <c r="T20" s="12"/>
      <c r="U20" s="12"/>
      <c r="V20" s="12">
        <f t="shared" si="4"/>
        <v>0</v>
      </c>
      <c r="W20" s="12"/>
      <c r="X20" s="12"/>
      <c r="Y20" s="12">
        <f t="shared" si="5"/>
        <v>0</v>
      </c>
      <c r="Z20" s="12"/>
      <c r="AA20" s="12"/>
      <c r="AB20" s="13">
        <f t="shared" si="6"/>
        <v>-50000</v>
      </c>
      <c r="AC20" s="14">
        <v>45706</v>
      </c>
    </row>
    <row r="21" spans="1:29" ht="15.75" x14ac:dyDescent="0.25">
      <c r="A21" s="28">
        <v>45727</v>
      </c>
      <c r="B21" s="10" t="s">
        <v>62</v>
      </c>
      <c r="C21" s="10">
        <v>-4400000</v>
      </c>
      <c r="D21" s="10" t="s">
        <v>28</v>
      </c>
      <c r="E21" s="10" t="s">
        <v>63</v>
      </c>
      <c r="F21" s="10">
        <v>4</v>
      </c>
      <c r="G21" s="10" t="s">
        <v>39</v>
      </c>
      <c r="H21" s="10"/>
      <c r="I21" s="10">
        <f t="shared" si="0"/>
        <v>0</v>
      </c>
      <c r="J21" s="22" t="s">
        <v>40</v>
      </c>
      <c r="K21" s="19"/>
      <c r="L21" s="19"/>
      <c r="M21" s="12">
        <f t="shared" si="1"/>
        <v>0</v>
      </c>
      <c r="N21" s="12"/>
      <c r="O21" s="12"/>
      <c r="P21" s="12">
        <f t="shared" si="2"/>
        <v>0</v>
      </c>
      <c r="Q21" s="12"/>
      <c r="R21" s="12"/>
      <c r="S21" s="12">
        <f t="shared" si="3"/>
        <v>0</v>
      </c>
      <c r="T21" s="12"/>
      <c r="U21" s="12"/>
      <c r="V21" s="12">
        <f t="shared" si="4"/>
        <v>0</v>
      </c>
      <c r="W21" s="12"/>
      <c r="X21" s="12"/>
      <c r="Y21" s="12">
        <f t="shared" si="5"/>
        <v>0</v>
      </c>
      <c r="Z21" s="12"/>
      <c r="AA21" s="12"/>
      <c r="AB21" s="13">
        <f t="shared" si="6"/>
        <v>-4400000</v>
      </c>
      <c r="AC21" s="14">
        <v>45693</v>
      </c>
    </row>
    <row r="22" spans="1:29" ht="15.75" x14ac:dyDescent="0.25">
      <c r="A22" s="28">
        <v>45765</v>
      </c>
      <c r="B22" s="10" t="s">
        <v>64</v>
      </c>
      <c r="C22" s="10">
        <v>-520000</v>
      </c>
      <c r="D22" s="10" t="s">
        <v>32</v>
      </c>
      <c r="E22" s="10" t="s">
        <v>65</v>
      </c>
      <c r="F22" s="10">
        <v>5200</v>
      </c>
      <c r="G22" s="10" t="s">
        <v>26</v>
      </c>
      <c r="H22" s="10"/>
      <c r="I22" s="10">
        <f t="shared" si="0"/>
        <v>0</v>
      </c>
      <c r="J22" s="29" t="s">
        <v>40</v>
      </c>
      <c r="K22" s="19"/>
      <c r="L22" s="19"/>
      <c r="M22" s="12">
        <f t="shared" si="1"/>
        <v>0</v>
      </c>
      <c r="N22" s="12"/>
      <c r="O22" s="12"/>
      <c r="P22" s="12">
        <f t="shared" si="2"/>
        <v>0</v>
      </c>
      <c r="Q22" s="12"/>
      <c r="R22" s="12"/>
      <c r="S22" s="12">
        <f t="shared" si="3"/>
        <v>0</v>
      </c>
      <c r="T22" s="12"/>
      <c r="U22" s="12"/>
      <c r="V22" s="12">
        <f t="shared" si="4"/>
        <v>0</v>
      </c>
      <c r="W22" s="12"/>
      <c r="X22" s="12"/>
      <c r="Y22" s="12">
        <f t="shared" si="5"/>
        <v>0</v>
      </c>
      <c r="Z22" s="12"/>
      <c r="AA22" s="12"/>
      <c r="AB22" s="13">
        <f t="shared" si="6"/>
        <v>-520000</v>
      </c>
      <c r="AC22" s="14">
        <v>45821</v>
      </c>
    </row>
    <row r="23" spans="1:29" ht="15.75" x14ac:dyDescent="0.25">
      <c r="A23" s="28">
        <v>45813</v>
      </c>
      <c r="B23" s="10" t="s">
        <v>62</v>
      </c>
      <c r="C23" s="10">
        <v>-2700000</v>
      </c>
      <c r="D23" s="10" t="s">
        <v>28</v>
      </c>
      <c r="E23" s="10" t="s">
        <v>66</v>
      </c>
      <c r="F23" s="10">
        <v>200</v>
      </c>
      <c r="G23" s="10" t="s">
        <v>67</v>
      </c>
      <c r="H23" s="10"/>
      <c r="I23" s="10">
        <f t="shared" si="0"/>
        <v>0</v>
      </c>
      <c r="J23" s="22" t="s">
        <v>40</v>
      </c>
      <c r="K23" s="19"/>
      <c r="L23" s="19"/>
      <c r="M23" s="12">
        <f t="shared" si="1"/>
        <v>0</v>
      </c>
      <c r="N23" s="12"/>
      <c r="O23" s="12"/>
      <c r="P23" s="12">
        <f t="shared" si="2"/>
        <v>0</v>
      </c>
      <c r="Q23" s="12"/>
      <c r="R23" s="12"/>
      <c r="S23" s="12">
        <f t="shared" si="3"/>
        <v>0</v>
      </c>
      <c r="T23" s="12"/>
      <c r="U23" s="12"/>
      <c r="V23" s="12">
        <f t="shared" si="4"/>
        <v>0</v>
      </c>
      <c r="W23" s="12"/>
      <c r="X23" s="12"/>
      <c r="Y23" s="12">
        <f t="shared" si="5"/>
        <v>0</v>
      </c>
      <c r="Z23" s="12"/>
      <c r="AA23" s="12"/>
      <c r="AB23" s="13">
        <f t="shared" si="6"/>
        <v>-2700000</v>
      </c>
      <c r="AC23" s="14">
        <v>45847</v>
      </c>
    </row>
    <row r="24" spans="1:29" ht="15.75" x14ac:dyDescent="0.25">
      <c r="A24" s="28">
        <v>45817</v>
      </c>
      <c r="B24" s="10" t="s">
        <v>62</v>
      </c>
      <c r="C24" s="10">
        <v>40000000</v>
      </c>
      <c r="D24" s="10" t="s">
        <v>28</v>
      </c>
      <c r="E24" s="10" t="s">
        <v>68</v>
      </c>
      <c r="F24" s="10">
        <v>1000</v>
      </c>
      <c r="G24" s="10" t="s">
        <v>39</v>
      </c>
      <c r="H24" s="10"/>
      <c r="I24" s="10">
        <f t="shared" si="0"/>
        <v>0</v>
      </c>
      <c r="J24" s="29" t="s">
        <v>40</v>
      </c>
      <c r="K24" s="19"/>
      <c r="L24" s="19"/>
      <c r="M24" s="12">
        <f t="shared" si="1"/>
        <v>0</v>
      </c>
      <c r="N24" s="12"/>
      <c r="O24" s="12"/>
      <c r="P24" s="12">
        <f t="shared" si="2"/>
        <v>49000000</v>
      </c>
      <c r="Q24" s="12">
        <v>49000000</v>
      </c>
      <c r="R24" s="12"/>
      <c r="S24" s="12">
        <f t="shared" si="3"/>
        <v>0</v>
      </c>
      <c r="T24" s="12"/>
      <c r="U24" s="12"/>
      <c r="V24" s="12">
        <f t="shared" si="4"/>
        <v>0</v>
      </c>
      <c r="W24" s="12"/>
      <c r="X24" s="12"/>
      <c r="Y24" s="12">
        <f t="shared" si="5"/>
        <v>0</v>
      </c>
      <c r="Z24" s="12"/>
      <c r="AA24" s="12"/>
      <c r="AB24" s="13">
        <f t="shared" si="6"/>
        <v>-9000000</v>
      </c>
      <c r="AC24" s="14">
        <v>45866</v>
      </c>
    </row>
    <row r="25" spans="1:29" ht="16.5" thickBot="1" x14ac:dyDescent="0.3">
      <c r="A25" s="30">
        <v>45834</v>
      </c>
      <c r="B25" s="31" t="s">
        <v>69</v>
      </c>
      <c r="C25" s="31">
        <v>3000000</v>
      </c>
      <c r="D25" s="31" t="s">
        <v>28</v>
      </c>
      <c r="E25" s="31" t="s">
        <v>70</v>
      </c>
      <c r="F25" s="31">
        <v>60</v>
      </c>
      <c r="G25" s="31" t="s">
        <v>36</v>
      </c>
      <c r="H25" s="31"/>
      <c r="I25" s="31">
        <f t="shared" si="0"/>
        <v>0</v>
      </c>
      <c r="J25" s="51" t="s">
        <v>40</v>
      </c>
      <c r="K25" s="31" t="s">
        <v>71</v>
      </c>
      <c r="L25" s="31"/>
      <c r="M25" s="34">
        <f t="shared" si="1"/>
        <v>0</v>
      </c>
      <c r="N25" s="34"/>
      <c r="O25" s="34"/>
      <c r="P25" s="34">
        <f t="shared" si="2"/>
        <v>3129000</v>
      </c>
      <c r="Q25" s="34">
        <v>3000000</v>
      </c>
      <c r="R25" s="34">
        <v>129000</v>
      </c>
      <c r="S25" s="34">
        <f t="shared" si="3"/>
        <v>0</v>
      </c>
      <c r="T25" s="34"/>
      <c r="U25" s="34"/>
      <c r="V25" s="34">
        <f t="shared" si="4"/>
        <v>0</v>
      </c>
      <c r="W25" s="34"/>
      <c r="X25" s="34"/>
      <c r="Y25" s="34">
        <f t="shared" si="5"/>
        <v>0</v>
      </c>
      <c r="Z25" s="34"/>
      <c r="AA25" s="34"/>
      <c r="AB25" s="35">
        <f t="shared" si="6"/>
        <v>-129000</v>
      </c>
      <c r="AC25" s="36">
        <v>45841</v>
      </c>
    </row>
    <row r="26" spans="1:29" ht="16.5" thickBot="1" x14ac:dyDescent="0.3">
      <c r="A26" s="53">
        <v>45866</v>
      </c>
      <c r="B26" s="54" t="s">
        <v>72</v>
      </c>
      <c r="C26" s="54"/>
      <c r="D26" s="54" t="s">
        <v>32</v>
      </c>
      <c r="E26" s="54" t="s">
        <v>73</v>
      </c>
      <c r="F26" s="54">
        <v>125</v>
      </c>
      <c r="G26" s="54" t="s">
        <v>26</v>
      </c>
      <c r="H26" s="54">
        <v>2460</v>
      </c>
      <c r="I26" s="54">
        <f t="shared" si="0"/>
        <v>307500</v>
      </c>
      <c r="J26" s="55" t="s">
        <v>40</v>
      </c>
      <c r="K26" s="54"/>
      <c r="L26" s="54"/>
      <c r="M26" s="56">
        <f t="shared" si="1"/>
        <v>0</v>
      </c>
      <c r="N26" s="56"/>
      <c r="O26" s="56"/>
      <c r="P26" s="56">
        <f t="shared" si="2"/>
        <v>0</v>
      </c>
      <c r="Q26" s="56"/>
      <c r="R26" s="56"/>
      <c r="S26" s="56">
        <f t="shared" si="3"/>
        <v>0</v>
      </c>
      <c r="T26" s="56"/>
      <c r="U26" s="56"/>
      <c r="V26" s="56">
        <f t="shared" si="4"/>
        <v>370000</v>
      </c>
      <c r="W26" s="56">
        <v>370000</v>
      </c>
      <c r="X26" s="56"/>
      <c r="Y26" s="56">
        <f t="shared" si="5"/>
        <v>0</v>
      </c>
      <c r="Z26" s="56"/>
      <c r="AA26" s="56"/>
      <c r="AB26" s="57">
        <f t="shared" si="6"/>
        <v>-62500</v>
      </c>
      <c r="AC26" s="58">
        <v>45866</v>
      </c>
    </row>
    <row r="27" spans="1:29" ht="15.75" x14ac:dyDescent="0.25">
      <c r="A27" s="65">
        <v>45902</v>
      </c>
      <c r="B27" s="66" t="s">
        <v>79</v>
      </c>
      <c r="C27" s="66"/>
      <c r="D27" s="66" t="s">
        <v>28</v>
      </c>
      <c r="E27" s="66" t="s">
        <v>80</v>
      </c>
      <c r="F27" s="66">
        <v>23</v>
      </c>
      <c r="G27" s="66" t="s">
        <v>36</v>
      </c>
      <c r="H27" s="66">
        <v>43000</v>
      </c>
      <c r="I27" s="66">
        <f t="shared" si="0"/>
        <v>989000</v>
      </c>
      <c r="J27" s="84" t="s">
        <v>40</v>
      </c>
      <c r="K27" s="66"/>
      <c r="L27" s="66"/>
      <c r="M27" s="67">
        <f t="shared" si="1"/>
        <v>0</v>
      </c>
      <c r="N27" s="67"/>
      <c r="O27" s="67"/>
      <c r="P27" s="67">
        <f t="shared" si="2"/>
        <v>0</v>
      </c>
      <c r="Q27" s="67"/>
      <c r="R27" s="67"/>
      <c r="S27" s="67">
        <f t="shared" si="3"/>
        <v>0</v>
      </c>
      <c r="T27" s="67"/>
      <c r="U27" s="67"/>
      <c r="V27" s="67">
        <f t="shared" si="4"/>
        <v>1033000</v>
      </c>
      <c r="W27" s="67">
        <v>1033000</v>
      </c>
      <c r="X27" s="67"/>
      <c r="Y27" s="67">
        <f t="shared" si="5"/>
        <v>0</v>
      </c>
      <c r="Z27" s="67"/>
      <c r="AA27" s="67"/>
      <c r="AB27" s="68">
        <f t="shared" si="6"/>
        <v>-44000</v>
      </c>
      <c r="AC27" s="69">
        <v>45902</v>
      </c>
    </row>
    <row r="28" spans="1:29" ht="15.75" x14ac:dyDescent="0.25">
      <c r="A28" s="28">
        <v>45905</v>
      </c>
      <c r="B28" s="10" t="s">
        <v>83</v>
      </c>
      <c r="C28" s="10"/>
      <c r="D28" s="10" t="s">
        <v>32</v>
      </c>
      <c r="E28" s="10" t="s">
        <v>84</v>
      </c>
      <c r="F28" s="10">
        <v>50.2</v>
      </c>
      <c r="G28" s="10" t="s">
        <v>36</v>
      </c>
      <c r="H28" s="10">
        <v>42000</v>
      </c>
      <c r="I28" s="10">
        <f t="shared" si="0"/>
        <v>2108400</v>
      </c>
      <c r="J28" s="29" t="s">
        <v>40</v>
      </c>
      <c r="K28" s="10"/>
      <c r="L28" s="10"/>
      <c r="M28" s="12">
        <f t="shared" si="1"/>
        <v>0</v>
      </c>
      <c r="N28" s="12"/>
      <c r="O28" s="12"/>
      <c r="P28" s="12">
        <f t="shared" si="2"/>
        <v>0</v>
      </c>
      <c r="Q28" s="12"/>
      <c r="R28" s="12"/>
      <c r="S28" s="12">
        <f t="shared" si="3"/>
        <v>0</v>
      </c>
      <c r="T28" s="12"/>
      <c r="U28" s="12"/>
      <c r="V28" s="12">
        <f t="shared" si="4"/>
        <v>2142000</v>
      </c>
      <c r="W28" s="12">
        <v>2142000</v>
      </c>
      <c r="X28" s="12"/>
      <c r="Y28" s="12">
        <f t="shared" si="5"/>
        <v>0</v>
      </c>
      <c r="Z28" s="12"/>
      <c r="AA28" s="12"/>
      <c r="AB28" s="13">
        <f t="shared" si="6"/>
        <v>-33600</v>
      </c>
      <c r="AC28" s="14">
        <v>45905</v>
      </c>
    </row>
    <row r="29" spans="1:29" ht="15.75" x14ac:dyDescent="0.25">
      <c r="A29" s="28">
        <v>45908</v>
      </c>
      <c r="B29" s="10" t="s">
        <v>85</v>
      </c>
      <c r="C29" s="10"/>
      <c r="D29" s="10" t="s">
        <v>32</v>
      </c>
      <c r="E29" s="10" t="s">
        <v>86</v>
      </c>
      <c r="F29" s="10">
        <v>28.5</v>
      </c>
      <c r="G29" s="10" t="s">
        <v>36</v>
      </c>
      <c r="H29" s="10">
        <v>43000</v>
      </c>
      <c r="I29" s="10">
        <f t="shared" si="0"/>
        <v>1225500</v>
      </c>
      <c r="J29" s="29" t="s">
        <v>40</v>
      </c>
      <c r="K29" s="10"/>
      <c r="L29" s="10"/>
      <c r="M29" s="12">
        <f t="shared" si="1"/>
        <v>0</v>
      </c>
      <c r="N29" s="12"/>
      <c r="O29" s="12"/>
      <c r="P29" s="12">
        <f t="shared" si="2"/>
        <v>1257500</v>
      </c>
      <c r="Q29" s="12">
        <v>1257500</v>
      </c>
      <c r="R29" s="12"/>
      <c r="S29" s="12">
        <f t="shared" si="3"/>
        <v>0</v>
      </c>
      <c r="T29" s="12"/>
      <c r="U29" s="12"/>
      <c r="V29" s="12">
        <f t="shared" si="4"/>
        <v>0</v>
      </c>
      <c r="W29" s="12"/>
      <c r="X29" s="12"/>
      <c r="Y29" s="12">
        <f t="shared" si="5"/>
        <v>0</v>
      </c>
      <c r="Z29" s="12"/>
      <c r="AA29" s="12"/>
      <c r="AB29" s="13">
        <f t="shared" si="6"/>
        <v>-32000</v>
      </c>
      <c r="AC29" s="14">
        <v>45908</v>
      </c>
    </row>
    <row r="30" spans="1:29" ht="15.75" x14ac:dyDescent="0.25">
      <c r="A30" s="28">
        <v>45915</v>
      </c>
      <c r="B30" s="10" t="s">
        <v>87</v>
      </c>
      <c r="C30" s="10"/>
      <c r="D30" s="10" t="s">
        <v>28</v>
      </c>
      <c r="E30" s="10" t="s">
        <v>88</v>
      </c>
      <c r="F30" s="10">
        <v>25</v>
      </c>
      <c r="G30" s="10" t="s">
        <v>36</v>
      </c>
      <c r="H30" s="10">
        <v>120000</v>
      </c>
      <c r="I30" s="10">
        <f t="shared" si="0"/>
        <v>3000000</v>
      </c>
      <c r="J30" s="52" t="s">
        <v>30</v>
      </c>
      <c r="K30" s="10"/>
      <c r="L30" s="10"/>
      <c r="M30" s="12">
        <f t="shared" si="1"/>
        <v>2990000</v>
      </c>
      <c r="N30" s="12">
        <v>2990000</v>
      </c>
      <c r="O30" s="12"/>
      <c r="P30" s="12">
        <f t="shared" si="2"/>
        <v>0</v>
      </c>
      <c r="Q30" s="12"/>
      <c r="R30" s="12"/>
      <c r="S30" s="12">
        <f t="shared" si="3"/>
        <v>0</v>
      </c>
      <c r="T30" s="12"/>
      <c r="U30" s="12"/>
      <c r="V30" s="12">
        <f t="shared" si="4"/>
        <v>0</v>
      </c>
      <c r="W30" s="12"/>
      <c r="X30" s="12"/>
      <c r="Y30" s="12">
        <f t="shared" si="5"/>
        <v>0</v>
      </c>
      <c r="Z30" s="12"/>
      <c r="AA30" s="12"/>
      <c r="AB30" s="13">
        <f t="shared" si="6"/>
        <v>10000</v>
      </c>
      <c r="AC30" s="14">
        <v>45915</v>
      </c>
    </row>
    <row r="31" spans="1:29" ht="15.75" x14ac:dyDescent="0.25">
      <c r="A31" s="28">
        <v>45923</v>
      </c>
      <c r="B31" s="10" t="s">
        <v>94</v>
      </c>
      <c r="C31" s="10"/>
      <c r="D31" s="10" t="s">
        <v>493</v>
      </c>
      <c r="E31" s="10" t="s">
        <v>95</v>
      </c>
      <c r="F31" s="10">
        <v>632</v>
      </c>
      <c r="G31" s="10" t="s">
        <v>36</v>
      </c>
      <c r="H31" s="10">
        <v>14300</v>
      </c>
      <c r="I31" s="10">
        <f t="shared" si="0"/>
        <v>9037600</v>
      </c>
      <c r="J31" s="52" t="s">
        <v>90</v>
      </c>
      <c r="K31" s="63" t="s">
        <v>96</v>
      </c>
      <c r="L31" s="63"/>
      <c r="M31" s="12">
        <f t="shared" si="1"/>
        <v>5185000</v>
      </c>
      <c r="N31" s="12">
        <v>5185000</v>
      </c>
      <c r="O31" s="12"/>
      <c r="P31" s="12">
        <f t="shared" si="2"/>
        <v>0</v>
      </c>
      <c r="Q31" s="12"/>
      <c r="R31" s="12"/>
      <c r="S31" s="12">
        <f t="shared" si="3"/>
        <v>0</v>
      </c>
      <c r="T31" s="12"/>
      <c r="U31" s="12"/>
      <c r="V31" s="12">
        <f t="shared" si="4"/>
        <v>0</v>
      </c>
      <c r="W31" s="12"/>
      <c r="X31" s="12"/>
      <c r="Y31" s="12">
        <f t="shared" si="5"/>
        <v>0</v>
      </c>
      <c r="Z31" s="12"/>
      <c r="AA31" s="12"/>
      <c r="AB31" s="13">
        <f t="shared" si="6"/>
        <v>3852600</v>
      </c>
      <c r="AC31" s="14">
        <v>45929</v>
      </c>
    </row>
    <row r="32" spans="1:29" ht="16.5" thickBot="1" x14ac:dyDescent="0.3">
      <c r="A32" s="30">
        <v>45930</v>
      </c>
      <c r="B32" s="31" t="s">
        <v>94</v>
      </c>
      <c r="C32" s="31"/>
      <c r="D32" s="31" t="s">
        <v>493</v>
      </c>
      <c r="E32" s="31" t="s">
        <v>100</v>
      </c>
      <c r="F32" s="31">
        <v>644</v>
      </c>
      <c r="G32" s="31" t="s">
        <v>36</v>
      </c>
      <c r="H32" s="31">
        <v>14300</v>
      </c>
      <c r="I32" s="31">
        <f t="shared" si="0"/>
        <v>9209200</v>
      </c>
      <c r="J32" s="64" t="s">
        <v>30</v>
      </c>
      <c r="K32" s="72" t="s">
        <v>96</v>
      </c>
      <c r="L32" s="72"/>
      <c r="M32" s="34">
        <f t="shared" si="1"/>
        <v>0</v>
      </c>
      <c r="N32" s="34"/>
      <c r="O32" s="34"/>
      <c r="P32" s="34">
        <f t="shared" si="2"/>
        <v>0</v>
      </c>
      <c r="Q32" s="34"/>
      <c r="R32" s="34"/>
      <c r="S32" s="34">
        <f t="shared" si="3"/>
        <v>0</v>
      </c>
      <c r="T32" s="34"/>
      <c r="U32" s="34"/>
      <c r="V32" s="34">
        <f t="shared" si="4"/>
        <v>0</v>
      </c>
      <c r="W32" s="34"/>
      <c r="X32" s="34"/>
      <c r="Y32" s="34">
        <f t="shared" si="5"/>
        <v>0</v>
      </c>
      <c r="Z32" s="34"/>
      <c r="AA32" s="34"/>
      <c r="AB32" s="35">
        <f t="shared" si="6"/>
        <v>9209200</v>
      </c>
      <c r="AC32" s="36"/>
    </row>
    <row r="33" spans="1:29" ht="15.75" x14ac:dyDescent="0.25">
      <c r="A33" s="65">
        <v>45945</v>
      </c>
      <c r="B33" s="66" t="s">
        <v>106</v>
      </c>
      <c r="C33" s="66"/>
      <c r="D33" s="66" t="s">
        <v>32</v>
      </c>
      <c r="E33" s="66" t="s">
        <v>107</v>
      </c>
      <c r="F33" s="66">
        <v>100</v>
      </c>
      <c r="G33" s="66" t="s">
        <v>36</v>
      </c>
      <c r="H33" s="66">
        <v>60000</v>
      </c>
      <c r="I33" s="66">
        <f t="shared" si="0"/>
        <v>6000000</v>
      </c>
      <c r="J33" s="84" t="s">
        <v>40</v>
      </c>
      <c r="K33" s="66" t="s">
        <v>108</v>
      </c>
      <c r="L33" s="66"/>
      <c r="M33" s="67">
        <f t="shared" si="1"/>
        <v>0</v>
      </c>
      <c r="N33" s="67"/>
      <c r="O33" s="67"/>
      <c r="P33" s="67">
        <f t="shared" si="2"/>
        <v>7120000</v>
      </c>
      <c r="Q33" s="67">
        <v>7120000</v>
      </c>
      <c r="R33" s="67"/>
      <c r="S33" s="67">
        <f t="shared" si="3"/>
        <v>0</v>
      </c>
      <c r="T33" s="67"/>
      <c r="U33" s="67"/>
      <c r="V33" s="67">
        <f t="shared" si="4"/>
        <v>0</v>
      </c>
      <c r="W33" s="67"/>
      <c r="X33" s="67"/>
      <c r="Y33" s="67">
        <f t="shared" si="5"/>
        <v>0</v>
      </c>
      <c r="Z33" s="67"/>
      <c r="AA33" s="67"/>
      <c r="AB33" s="68">
        <f t="shared" si="6"/>
        <v>-1120000</v>
      </c>
      <c r="AC33" s="69">
        <v>45952</v>
      </c>
    </row>
    <row r="34" spans="1:29" ht="15.75" x14ac:dyDescent="0.25">
      <c r="A34" s="28">
        <v>45945</v>
      </c>
      <c r="B34" s="10" t="s">
        <v>109</v>
      </c>
      <c r="C34" s="10"/>
      <c r="D34" s="10" t="s">
        <v>28</v>
      </c>
      <c r="E34" s="10" t="s">
        <v>107</v>
      </c>
      <c r="F34" s="10">
        <v>20</v>
      </c>
      <c r="G34" s="10" t="s">
        <v>36</v>
      </c>
      <c r="H34" s="10">
        <v>55000</v>
      </c>
      <c r="I34" s="10">
        <f t="shared" si="0"/>
        <v>1100000</v>
      </c>
      <c r="J34" s="70" t="s">
        <v>90</v>
      </c>
      <c r="K34" s="63" t="s">
        <v>91</v>
      </c>
      <c r="L34" s="63"/>
      <c r="M34" s="12">
        <f t="shared" si="1"/>
        <v>0</v>
      </c>
      <c r="N34" s="12"/>
      <c r="O34" s="12"/>
      <c r="P34" s="12">
        <f t="shared" si="2"/>
        <v>625100</v>
      </c>
      <c r="Q34" s="12">
        <v>625100</v>
      </c>
      <c r="R34" s="12"/>
      <c r="S34" s="12">
        <f t="shared" si="3"/>
        <v>0</v>
      </c>
      <c r="T34" s="12"/>
      <c r="U34" s="12"/>
      <c r="V34" s="12">
        <f t="shared" si="4"/>
        <v>0</v>
      </c>
      <c r="W34" s="12"/>
      <c r="X34" s="12"/>
      <c r="Y34" s="12">
        <f t="shared" si="5"/>
        <v>0</v>
      </c>
      <c r="Z34" s="12"/>
      <c r="AA34" s="12"/>
      <c r="AB34" s="13">
        <f t="shared" si="6"/>
        <v>474900</v>
      </c>
      <c r="AC34" s="14">
        <v>45979</v>
      </c>
    </row>
    <row r="35" spans="1:29" ht="15.75" x14ac:dyDescent="0.25">
      <c r="A35" s="28">
        <v>45948</v>
      </c>
      <c r="B35" s="10" t="s">
        <v>459</v>
      </c>
      <c r="C35" s="10"/>
      <c r="D35" s="10" t="s">
        <v>32</v>
      </c>
      <c r="E35" s="10" t="s">
        <v>75</v>
      </c>
      <c r="F35" s="10">
        <v>20</v>
      </c>
      <c r="G35" s="10" t="s">
        <v>36</v>
      </c>
      <c r="H35" s="10">
        <v>60000</v>
      </c>
      <c r="I35" s="10">
        <f t="shared" si="0"/>
        <v>1200000</v>
      </c>
      <c r="J35" s="52" t="s">
        <v>76</v>
      </c>
      <c r="K35" s="10"/>
      <c r="L35" s="10"/>
      <c r="M35" s="12">
        <f t="shared" si="1"/>
        <v>0</v>
      </c>
      <c r="N35" s="12"/>
      <c r="O35" s="12"/>
      <c r="P35" s="12">
        <f t="shared" si="2"/>
        <v>0</v>
      </c>
      <c r="Q35" s="12"/>
      <c r="R35" s="12"/>
      <c r="S35" s="12">
        <f t="shared" si="3"/>
        <v>0</v>
      </c>
      <c r="T35" s="12"/>
      <c r="U35" s="12"/>
      <c r="V35" s="12">
        <f t="shared" si="4"/>
        <v>0</v>
      </c>
      <c r="W35" s="12"/>
      <c r="X35" s="12"/>
      <c r="Y35" s="12">
        <f t="shared" si="5"/>
        <v>0</v>
      </c>
      <c r="Z35" s="12"/>
      <c r="AA35" s="12"/>
      <c r="AB35" s="13">
        <f t="shared" si="6"/>
        <v>1200000</v>
      </c>
      <c r="AC35" s="14"/>
    </row>
    <row r="36" spans="1:29" ht="15.75" x14ac:dyDescent="0.25">
      <c r="A36" s="28">
        <v>45955</v>
      </c>
      <c r="B36" s="10" t="s">
        <v>81</v>
      </c>
      <c r="C36" s="10"/>
      <c r="D36" s="10" t="s">
        <v>32</v>
      </c>
      <c r="E36" s="10" t="s">
        <v>119</v>
      </c>
      <c r="F36" s="10">
        <v>25</v>
      </c>
      <c r="G36" s="10" t="s">
        <v>36</v>
      </c>
      <c r="H36" s="10">
        <v>155000</v>
      </c>
      <c r="I36" s="10">
        <f t="shared" si="0"/>
        <v>3875000</v>
      </c>
      <c r="J36" s="52" t="s">
        <v>30</v>
      </c>
      <c r="K36" s="63" t="s">
        <v>105</v>
      </c>
      <c r="L36" s="63"/>
      <c r="M36" s="12">
        <f t="shared" si="1"/>
        <v>0</v>
      </c>
      <c r="N36" s="12"/>
      <c r="O36" s="12"/>
      <c r="P36" s="12">
        <f t="shared" si="2"/>
        <v>0</v>
      </c>
      <c r="Q36" s="12"/>
      <c r="R36" s="12"/>
      <c r="S36" s="12">
        <f t="shared" si="3"/>
        <v>0</v>
      </c>
      <c r="T36" s="12"/>
      <c r="U36" s="12"/>
      <c r="V36" s="12">
        <f t="shared" si="4"/>
        <v>2931000</v>
      </c>
      <c r="W36" s="12">
        <v>2931000</v>
      </c>
      <c r="X36" s="12"/>
      <c r="Y36" s="12">
        <f t="shared" si="5"/>
        <v>0</v>
      </c>
      <c r="Z36" s="12"/>
      <c r="AA36" s="12"/>
      <c r="AB36" s="13">
        <f t="shared" si="6"/>
        <v>944000</v>
      </c>
      <c r="AC36" s="14">
        <v>46071</v>
      </c>
    </row>
    <row r="37" spans="1:29" ht="15.75" x14ac:dyDescent="0.25">
      <c r="A37" s="28">
        <v>45955</v>
      </c>
      <c r="B37" s="10" t="s">
        <v>94</v>
      </c>
      <c r="C37" s="10"/>
      <c r="D37" s="10" t="s">
        <v>32</v>
      </c>
      <c r="E37" s="10" t="s">
        <v>88</v>
      </c>
      <c r="F37" s="10">
        <v>25</v>
      </c>
      <c r="G37" s="10" t="s">
        <v>36</v>
      </c>
      <c r="H37" s="10">
        <v>125000</v>
      </c>
      <c r="I37" s="10">
        <f t="shared" si="0"/>
        <v>3125000</v>
      </c>
      <c r="J37" s="52" t="s">
        <v>30</v>
      </c>
      <c r="K37" s="63" t="s">
        <v>105</v>
      </c>
      <c r="L37" s="63"/>
      <c r="M37" s="12">
        <f t="shared" si="1"/>
        <v>0</v>
      </c>
      <c r="N37" s="12"/>
      <c r="O37" s="12"/>
      <c r="P37" s="12">
        <f t="shared" si="2"/>
        <v>0</v>
      </c>
      <c r="Q37" s="12"/>
      <c r="R37" s="12"/>
      <c r="S37" s="12">
        <f t="shared" si="3"/>
        <v>0</v>
      </c>
      <c r="T37" s="12"/>
      <c r="U37" s="12"/>
      <c r="V37" s="12">
        <f t="shared" si="4"/>
        <v>0</v>
      </c>
      <c r="W37" s="12"/>
      <c r="X37" s="12"/>
      <c r="Y37" s="12">
        <f t="shared" si="5"/>
        <v>0</v>
      </c>
      <c r="Z37" s="12"/>
      <c r="AA37" s="12"/>
      <c r="AB37" s="13">
        <f t="shared" si="6"/>
        <v>3125000</v>
      </c>
      <c r="AC37" s="14"/>
    </row>
    <row r="38" spans="1:29" ht="16.5" thickBot="1" x14ac:dyDescent="0.3">
      <c r="A38" s="30">
        <v>45961</v>
      </c>
      <c r="B38" s="31" t="s">
        <v>124</v>
      </c>
      <c r="C38" s="31"/>
      <c r="D38" s="31" t="s">
        <v>32</v>
      </c>
      <c r="E38" s="31" t="s">
        <v>125</v>
      </c>
      <c r="F38" s="31">
        <v>12.3</v>
      </c>
      <c r="G38" s="31" t="s">
        <v>36</v>
      </c>
      <c r="H38" s="31">
        <v>200000</v>
      </c>
      <c r="I38" s="31">
        <f t="shared" si="0"/>
        <v>2460000</v>
      </c>
      <c r="J38" s="51" t="s">
        <v>110</v>
      </c>
      <c r="K38" s="91" t="s">
        <v>126</v>
      </c>
      <c r="L38" s="72"/>
      <c r="M38" s="34">
        <f t="shared" si="1"/>
        <v>0</v>
      </c>
      <c r="N38" s="34"/>
      <c r="O38" s="34"/>
      <c r="P38" s="34">
        <f t="shared" si="2"/>
        <v>2460000</v>
      </c>
      <c r="Q38" s="34">
        <v>2080000</v>
      </c>
      <c r="R38" s="34">
        <v>380000</v>
      </c>
      <c r="S38" s="34">
        <f t="shared" si="3"/>
        <v>0</v>
      </c>
      <c r="T38" s="34"/>
      <c r="U38" s="34"/>
      <c r="V38" s="34">
        <f t="shared" si="4"/>
        <v>0</v>
      </c>
      <c r="W38" s="34"/>
      <c r="X38" s="34"/>
      <c r="Y38" s="34">
        <f t="shared" si="5"/>
        <v>0</v>
      </c>
      <c r="Z38" s="34"/>
      <c r="AA38" s="34"/>
      <c r="AB38" s="35">
        <f t="shared" si="6"/>
        <v>0</v>
      </c>
      <c r="AC38" s="36">
        <v>45972</v>
      </c>
    </row>
    <row r="39" spans="1:29" ht="15.75" x14ac:dyDescent="0.25">
      <c r="A39" s="65">
        <v>45964</v>
      </c>
      <c r="B39" s="66" t="s">
        <v>127</v>
      </c>
      <c r="C39" s="66"/>
      <c r="D39" s="66" t="s">
        <v>32</v>
      </c>
      <c r="E39" s="66" t="s">
        <v>131</v>
      </c>
      <c r="F39" s="66">
        <v>25</v>
      </c>
      <c r="G39" s="66" t="s">
        <v>36</v>
      </c>
      <c r="H39" s="66">
        <v>125000</v>
      </c>
      <c r="I39" s="66">
        <f t="shared" si="0"/>
        <v>3125000</v>
      </c>
      <c r="J39" s="114" t="s">
        <v>30</v>
      </c>
      <c r="K39" s="126" t="s">
        <v>128</v>
      </c>
      <c r="L39" s="126"/>
      <c r="M39" s="67">
        <f t="shared" si="1"/>
        <v>0</v>
      </c>
      <c r="N39" s="67"/>
      <c r="O39" s="67"/>
      <c r="P39" s="67">
        <f t="shared" si="2"/>
        <v>0</v>
      </c>
      <c r="Q39" s="67"/>
      <c r="R39" s="67"/>
      <c r="S39" s="67">
        <f t="shared" si="3"/>
        <v>731555</v>
      </c>
      <c r="T39" s="67">
        <v>731555</v>
      </c>
      <c r="U39" s="67"/>
      <c r="V39" s="67">
        <f t="shared" si="4"/>
        <v>0</v>
      </c>
      <c r="W39" s="67"/>
      <c r="X39" s="67"/>
      <c r="Y39" s="67">
        <f t="shared" si="5"/>
        <v>0</v>
      </c>
      <c r="Z39" s="67"/>
      <c r="AA39" s="67"/>
      <c r="AB39" s="68">
        <f t="shared" si="6"/>
        <v>2393445</v>
      </c>
      <c r="AC39" s="69">
        <v>46042</v>
      </c>
    </row>
    <row r="40" spans="1:29" ht="15.75" x14ac:dyDescent="0.25">
      <c r="A40" s="28">
        <v>45964</v>
      </c>
      <c r="B40" s="10" t="s">
        <v>127</v>
      </c>
      <c r="C40" s="10"/>
      <c r="D40" s="10" t="s">
        <v>32</v>
      </c>
      <c r="E40" s="10" t="s">
        <v>132</v>
      </c>
      <c r="F40" s="10">
        <v>1.06</v>
      </c>
      <c r="G40" s="10" t="s">
        <v>133</v>
      </c>
      <c r="H40" s="10">
        <v>1150000</v>
      </c>
      <c r="I40" s="10">
        <f t="shared" si="0"/>
        <v>1219000</v>
      </c>
      <c r="J40" s="52" t="s">
        <v>30</v>
      </c>
      <c r="K40" s="62" t="s">
        <v>128</v>
      </c>
      <c r="L40" s="62"/>
      <c r="M40" s="12">
        <f t="shared" si="1"/>
        <v>0</v>
      </c>
      <c r="N40" s="12"/>
      <c r="O40" s="12"/>
      <c r="P40" s="12">
        <f t="shared" si="2"/>
        <v>0</v>
      </c>
      <c r="Q40" s="12"/>
      <c r="R40" s="12"/>
      <c r="S40" s="12">
        <f t="shared" si="3"/>
        <v>0</v>
      </c>
      <c r="T40" s="12"/>
      <c r="U40" s="12"/>
      <c r="V40" s="12">
        <f t="shared" si="4"/>
        <v>0</v>
      </c>
      <c r="W40" s="12"/>
      <c r="X40" s="12"/>
      <c r="Y40" s="12">
        <f t="shared" si="5"/>
        <v>0</v>
      </c>
      <c r="Z40" s="12"/>
      <c r="AA40" s="12"/>
      <c r="AB40" s="13">
        <f t="shared" si="6"/>
        <v>1219000</v>
      </c>
      <c r="AC40" s="14"/>
    </row>
    <row r="41" spans="1:29" ht="15.75" x14ac:dyDescent="0.25">
      <c r="A41" s="28">
        <v>45964</v>
      </c>
      <c r="B41" s="10" t="s">
        <v>127</v>
      </c>
      <c r="C41" s="10"/>
      <c r="D41" s="10" t="s">
        <v>32</v>
      </c>
      <c r="E41" s="10" t="s">
        <v>134</v>
      </c>
      <c r="F41" s="10">
        <v>1</v>
      </c>
      <c r="G41" s="10" t="s">
        <v>39</v>
      </c>
      <c r="H41" s="10">
        <v>75000</v>
      </c>
      <c r="I41" s="10">
        <f t="shared" si="0"/>
        <v>75000</v>
      </c>
      <c r="J41" s="52" t="s">
        <v>30</v>
      </c>
      <c r="K41" s="62" t="s">
        <v>128</v>
      </c>
      <c r="L41" s="62"/>
      <c r="M41" s="12">
        <f t="shared" si="1"/>
        <v>0</v>
      </c>
      <c r="N41" s="12"/>
      <c r="O41" s="12"/>
      <c r="P41" s="12">
        <f t="shared" si="2"/>
        <v>0</v>
      </c>
      <c r="Q41" s="12"/>
      <c r="R41" s="12"/>
      <c r="S41" s="12">
        <f t="shared" si="3"/>
        <v>0</v>
      </c>
      <c r="T41" s="12"/>
      <c r="U41" s="12"/>
      <c r="V41" s="12">
        <f t="shared" si="4"/>
        <v>0</v>
      </c>
      <c r="W41" s="12"/>
      <c r="X41" s="12"/>
      <c r="Y41" s="12">
        <f t="shared" si="5"/>
        <v>0</v>
      </c>
      <c r="Z41" s="12"/>
      <c r="AA41" s="12"/>
      <c r="AB41" s="13">
        <f t="shared" si="6"/>
        <v>75000</v>
      </c>
      <c r="AC41" s="14"/>
    </row>
    <row r="42" spans="1:29" ht="15.75" x14ac:dyDescent="0.25">
      <c r="A42" s="28">
        <v>45964</v>
      </c>
      <c r="B42" s="10" t="s">
        <v>127</v>
      </c>
      <c r="C42" s="10"/>
      <c r="D42" s="10" t="s">
        <v>32</v>
      </c>
      <c r="E42" s="10" t="s">
        <v>112</v>
      </c>
      <c r="F42" s="10">
        <v>1</v>
      </c>
      <c r="G42" s="10" t="s">
        <v>39</v>
      </c>
      <c r="H42" s="10">
        <v>95000</v>
      </c>
      <c r="I42" s="10">
        <f t="shared" si="0"/>
        <v>95000</v>
      </c>
      <c r="J42" s="52" t="s">
        <v>30</v>
      </c>
      <c r="K42" s="62" t="s">
        <v>128</v>
      </c>
      <c r="L42" s="62"/>
      <c r="M42" s="12">
        <f t="shared" si="1"/>
        <v>0</v>
      </c>
      <c r="N42" s="12"/>
      <c r="O42" s="12"/>
      <c r="P42" s="12">
        <f t="shared" si="2"/>
        <v>0</v>
      </c>
      <c r="Q42" s="12"/>
      <c r="R42" s="12"/>
      <c r="S42" s="12">
        <f t="shared" si="3"/>
        <v>0</v>
      </c>
      <c r="T42" s="12"/>
      <c r="U42" s="12"/>
      <c r="V42" s="12">
        <f t="shared" si="4"/>
        <v>0</v>
      </c>
      <c r="W42" s="12"/>
      <c r="X42" s="12"/>
      <c r="Y42" s="12">
        <f t="shared" si="5"/>
        <v>0</v>
      </c>
      <c r="Z42" s="12"/>
      <c r="AA42" s="12"/>
      <c r="AB42" s="13">
        <f t="shared" si="6"/>
        <v>95000</v>
      </c>
      <c r="AC42" s="14"/>
    </row>
    <row r="43" spans="1:29" ht="15.75" x14ac:dyDescent="0.25">
      <c r="A43" s="28">
        <v>45967</v>
      </c>
      <c r="B43" s="10" t="s">
        <v>81</v>
      </c>
      <c r="C43" s="10"/>
      <c r="D43" s="10" t="s">
        <v>493</v>
      </c>
      <c r="E43" s="10" t="s">
        <v>139</v>
      </c>
      <c r="F43" s="10">
        <v>19.5</v>
      </c>
      <c r="G43" s="10" t="s">
        <v>36</v>
      </c>
      <c r="H43" s="10">
        <v>43000</v>
      </c>
      <c r="I43" s="10">
        <f t="shared" si="0"/>
        <v>838500</v>
      </c>
      <c r="J43" s="52" t="s">
        <v>30</v>
      </c>
      <c r="K43" s="10"/>
      <c r="L43" s="10"/>
      <c r="M43" s="12">
        <f t="shared" si="1"/>
        <v>459300</v>
      </c>
      <c r="N43" s="12">
        <v>459300</v>
      </c>
      <c r="O43" s="12"/>
      <c r="P43" s="12">
        <f t="shared" si="2"/>
        <v>0</v>
      </c>
      <c r="Q43" s="12"/>
      <c r="R43" s="12"/>
      <c r="S43" s="12">
        <f t="shared" si="3"/>
        <v>0</v>
      </c>
      <c r="T43" s="12"/>
      <c r="U43" s="12"/>
      <c r="V43" s="12">
        <f t="shared" si="4"/>
        <v>0</v>
      </c>
      <c r="W43" s="12"/>
      <c r="X43" s="12"/>
      <c r="Y43" s="12">
        <f t="shared" si="5"/>
        <v>0</v>
      </c>
      <c r="Z43" s="12"/>
      <c r="AA43" s="12"/>
      <c r="AB43" s="13">
        <f t="shared" si="6"/>
        <v>379200</v>
      </c>
      <c r="AC43" s="14">
        <v>45967</v>
      </c>
    </row>
    <row r="44" spans="1:29" ht="15.75" x14ac:dyDescent="0.25">
      <c r="A44" s="28">
        <v>45969</v>
      </c>
      <c r="B44" s="10" t="s">
        <v>459</v>
      </c>
      <c r="C44" s="10"/>
      <c r="D44" s="10" t="s">
        <v>28</v>
      </c>
      <c r="E44" s="10" t="s">
        <v>75</v>
      </c>
      <c r="F44" s="10">
        <v>20</v>
      </c>
      <c r="G44" s="10" t="s">
        <v>36</v>
      </c>
      <c r="H44" s="10">
        <v>60000</v>
      </c>
      <c r="I44" s="10">
        <f t="shared" si="0"/>
        <v>1200000</v>
      </c>
      <c r="J44" s="52" t="s">
        <v>76</v>
      </c>
      <c r="K44" s="10"/>
      <c r="L44" s="10"/>
      <c r="M44" s="12">
        <f t="shared" si="1"/>
        <v>0</v>
      </c>
      <c r="N44" s="12"/>
      <c r="O44" s="12"/>
      <c r="P44" s="12">
        <f t="shared" si="2"/>
        <v>0</v>
      </c>
      <c r="Q44" s="12"/>
      <c r="R44" s="12"/>
      <c r="S44" s="12">
        <f t="shared" si="3"/>
        <v>0</v>
      </c>
      <c r="T44" s="12"/>
      <c r="U44" s="12"/>
      <c r="V44" s="12">
        <f t="shared" si="4"/>
        <v>0</v>
      </c>
      <c r="W44" s="12"/>
      <c r="X44" s="12"/>
      <c r="Y44" s="12">
        <f t="shared" si="5"/>
        <v>0</v>
      </c>
      <c r="Z44" s="12"/>
      <c r="AA44" s="12"/>
      <c r="AB44" s="13">
        <f t="shared" si="6"/>
        <v>1200000</v>
      </c>
      <c r="AC44" s="14"/>
    </row>
    <row r="45" spans="1:29" ht="15.75" x14ac:dyDescent="0.25">
      <c r="A45" s="28">
        <v>45975</v>
      </c>
      <c r="B45" s="10" t="s">
        <v>109</v>
      </c>
      <c r="C45" s="10"/>
      <c r="D45" s="10" t="s">
        <v>28</v>
      </c>
      <c r="E45" s="10" t="s">
        <v>141</v>
      </c>
      <c r="F45" s="10">
        <v>1000</v>
      </c>
      <c r="G45" s="10" t="s">
        <v>26</v>
      </c>
      <c r="H45" s="10">
        <v>2000</v>
      </c>
      <c r="I45" s="10">
        <f t="shared" si="0"/>
        <v>2000000</v>
      </c>
      <c r="J45" s="29" t="s">
        <v>113</v>
      </c>
      <c r="K45" s="71" t="s">
        <v>123</v>
      </c>
      <c r="L45" s="62"/>
      <c r="M45" s="12">
        <f t="shared" si="1"/>
        <v>2000000</v>
      </c>
      <c r="N45" s="12">
        <v>2000000</v>
      </c>
      <c r="O45" s="12"/>
      <c r="P45" s="12">
        <f t="shared" si="2"/>
        <v>0</v>
      </c>
      <c r="Q45" s="12"/>
      <c r="R45" s="12"/>
      <c r="S45" s="12">
        <f t="shared" si="3"/>
        <v>0</v>
      </c>
      <c r="T45" s="12"/>
      <c r="U45" s="12"/>
      <c r="V45" s="12">
        <f t="shared" si="4"/>
        <v>0</v>
      </c>
      <c r="W45" s="12"/>
      <c r="X45" s="12"/>
      <c r="Y45" s="12">
        <f t="shared" si="5"/>
        <v>0</v>
      </c>
      <c r="Z45" s="12"/>
      <c r="AA45" s="12"/>
      <c r="AB45" s="13">
        <f t="shared" si="6"/>
        <v>0</v>
      </c>
      <c r="AC45" s="14">
        <v>46084</v>
      </c>
    </row>
    <row r="46" spans="1:29" ht="15.75" x14ac:dyDescent="0.25">
      <c r="A46" s="28">
        <v>45975</v>
      </c>
      <c r="B46" s="10" t="s">
        <v>109</v>
      </c>
      <c r="C46" s="10"/>
      <c r="D46" s="10" t="s">
        <v>28</v>
      </c>
      <c r="E46" s="10" t="s">
        <v>104</v>
      </c>
      <c r="F46" s="10">
        <v>2600</v>
      </c>
      <c r="G46" s="10" t="s">
        <v>26</v>
      </c>
      <c r="H46" s="10">
        <v>2000</v>
      </c>
      <c r="I46" s="10">
        <f t="shared" si="0"/>
        <v>5200000</v>
      </c>
      <c r="J46" s="70" t="s">
        <v>90</v>
      </c>
      <c r="K46" s="62" t="s">
        <v>123</v>
      </c>
      <c r="L46" s="62"/>
      <c r="M46" s="12">
        <f t="shared" si="1"/>
        <v>4050000</v>
      </c>
      <c r="N46" s="12">
        <v>4050000</v>
      </c>
      <c r="O46" s="12"/>
      <c r="P46" s="12">
        <f t="shared" si="2"/>
        <v>0</v>
      </c>
      <c r="Q46" s="12"/>
      <c r="R46" s="12"/>
      <c r="S46" s="12">
        <f t="shared" si="3"/>
        <v>0</v>
      </c>
      <c r="T46" s="12"/>
      <c r="U46" s="12"/>
      <c r="V46" s="12">
        <f t="shared" si="4"/>
        <v>0</v>
      </c>
      <c r="W46" s="12"/>
      <c r="X46" s="12"/>
      <c r="Y46" s="12">
        <f t="shared" si="5"/>
        <v>0</v>
      </c>
      <c r="Z46" s="12"/>
      <c r="AA46" s="12"/>
      <c r="AB46" s="13">
        <f t="shared" si="6"/>
        <v>1150000</v>
      </c>
      <c r="AC46" s="14">
        <v>46084</v>
      </c>
    </row>
    <row r="47" spans="1:29" ht="15.75" x14ac:dyDescent="0.25">
      <c r="A47" s="28">
        <v>45979</v>
      </c>
      <c r="B47" s="10" t="s">
        <v>109</v>
      </c>
      <c r="C47" s="10"/>
      <c r="D47" s="10" t="s">
        <v>28</v>
      </c>
      <c r="E47" s="10" t="s">
        <v>141</v>
      </c>
      <c r="F47" s="10">
        <v>10400</v>
      </c>
      <c r="G47" s="10" t="s">
        <v>26</v>
      </c>
      <c r="H47" s="10">
        <v>2000</v>
      </c>
      <c r="I47" s="10">
        <f t="shared" si="0"/>
        <v>20800000</v>
      </c>
      <c r="J47" s="52" t="s">
        <v>90</v>
      </c>
      <c r="K47" s="62" t="s">
        <v>128</v>
      </c>
      <c r="L47" s="62"/>
      <c r="M47" s="12">
        <f t="shared" si="1"/>
        <v>0</v>
      </c>
      <c r="N47" s="75"/>
      <c r="O47" s="75"/>
      <c r="P47" s="12">
        <f t="shared" si="2"/>
        <v>0</v>
      </c>
      <c r="Q47" s="75"/>
      <c r="R47" s="75"/>
      <c r="S47" s="12">
        <f t="shared" si="3"/>
        <v>0</v>
      </c>
      <c r="T47" s="75"/>
      <c r="U47" s="75"/>
      <c r="V47" s="12">
        <f t="shared" si="4"/>
        <v>0</v>
      </c>
      <c r="W47" s="75"/>
      <c r="X47" s="75"/>
      <c r="Y47" s="12">
        <f t="shared" si="5"/>
        <v>0</v>
      </c>
      <c r="Z47" s="75"/>
      <c r="AA47" s="75"/>
      <c r="AB47" s="13">
        <f t="shared" si="6"/>
        <v>20800000</v>
      </c>
      <c r="AC47" s="76"/>
    </row>
    <row r="48" spans="1:29" ht="15.75" x14ac:dyDescent="0.25">
      <c r="A48" s="28">
        <v>45983</v>
      </c>
      <c r="B48" s="10" t="s">
        <v>127</v>
      </c>
      <c r="C48" s="10"/>
      <c r="D48" s="10" t="s">
        <v>28</v>
      </c>
      <c r="E48" s="10" t="s">
        <v>51</v>
      </c>
      <c r="F48" s="10">
        <v>1</v>
      </c>
      <c r="G48" s="10" t="s">
        <v>22</v>
      </c>
      <c r="H48" s="10">
        <v>400000</v>
      </c>
      <c r="I48" s="10">
        <f t="shared" si="0"/>
        <v>400000</v>
      </c>
      <c r="J48" s="52" t="s">
        <v>30</v>
      </c>
      <c r="K48" s="62" t="s">
        <v>128</v>
      </c>
      <c r="L48" s="62"/>
      <c r="M48" s="12">
        <f t="shared" si="1"/>
        <v>0</v>
      </c>
      <c r="N48" s="75"/>
      <c r="O48" s="75"/>
      <c r="P48" s="12">
        <f t="shared" si="2"/>
        <v>0</v>
      </c>
      <c r="Q48" s="75"/>
      <c r="R48" s="75"/>
      <c r="S48" s="12">
        <f t="shared" si="3"/>
        <v>0</v>
      </c>
      <c r="T48" s="75"/>
      <c r="U48" s="75"/>
      <c r="V48" s="12">
        <f t="shared" si="4"/>
        <v>0</v>
      </c>
      <c r="W48" s="75"/>
      <c r="X48" s="75"/>
      <c r="Y48" s="12">
        <f t="shared" si="5"/>
        <v>0</v>
      </c>
      <c r="Z48" s="75"/>
      <c r="AA48" s="75"/>
      <c r="AB48" s="13">
        <f t="shared" si="6"/>
        <v>400000</v>
      </c>
      <c r="AC48" s="76"/>
    </row>
    <row r="49" spans="1:29" ht="15.75" x14ac:dyDescent="0.25">
      <c r="A49" s="28">
        <v>45983</v>
      </c>
      <c r="B49" s="10" t="s">
        <v>97</v>
      </c>
      <c r="C49" s="10"/>
      <c r="D49" s="10" t="s">
        <v>493</v>
      </c>
      <c r="E49" s="10" t="s">
        <v>80</v>
      </c>
      <c r="F49" s="10">
        <v>133.80000000000001</v>
      </c>
      <c r="G49" s="10" t="s">
        <v>36</v>
      </c>
      <c r="H49" s="10">
        <v>43000</v>
      </c>
      <c r="I49" s="10">
        <f t="shared" si="0"/>
        <v>5753400.0000000009</v>
      </c>
      <c r="J49" s="29" t="s">
        <v>110</v>
      </c>
      <c r="K49" s="71" t="s">
        <v>128</v>
      </c>
      <c r="L49" s="62"/>
      <c r="M49" s="12">
        <f t="shared" si="1"/>
        <v>0</v>
      </c>
      <c r="N49" s="75"/>
      <c r="O49" s="75"/>
      <c r="P49" s="12">
        <f t="shared" si="2"/>
        <v>1600000</v>
      </c>
      <c r="Q49" s="75">
        <v>1600000</v>
      </c>
      <c r="R49" s="75"/>
      <c r="S49" s="12">
        <f t="shared" si="3"/>
        <v>0</v>
      </c>
      <c r="T49" s="75"/>
      <c r="U49" s="75"/>
      <c r="V49" s="12">
        <f t="shared" si="4"/>
        <v>4153400</v>
      </c>
      <c r="W49" s="75">
        <v>4153400</v>
      </c>
      <c r="X49" s="75"/>
      <c r="Y49" s="12">
        <f t="shared" si="5"/>
        <v>0</v>
      </c>
      <c r="Z49" s="75"/>
      <c r="AA49" s="75"/>
      <c r="AB49" s="13">
        <f t="shared" si="6"/>
        <v>9.3132257461547852E-10</v>
      </c>
      <c r="AC49" s="76">
        <v>46055</v>
      </c>
    </row>
    <row r="50" spans="1:29" ht="15.75" x14ac:dyDescent="0.25">
      <c r="A50" s="28">
        <v>45983</v>
      </c>
      <c r="B50" s="10" t="s">
        <v>97</v>
      </c>
      <c r="C50" s="10"/>
      <c r="D50" s="10" t="s">
        <v>493</v>
      </c>
      <c r="E50" s="10" t="s">
        <v>137</v>
      </c>
      <c r="F50" s="10">
        <v>10</v>
      </c>
      <c r="G50" s="10" t="s">
        <v>36</v>
      </c>
      <c r="H50" s="10">
        <v>200000</v>
      </c>
      <c r="I50" s="10">
        <f t="shared" si="0"/>
        <v>2000000</v>
      </c>
      <c r="J50" s="29" t="s">
        <v>113</v>
      </c>
      <c r="K50" s="71" t="s">
        <v>128</v>
      </c>
      <c r="L50" s="62"/>
      <c r="M50" s="12">
        <f t="shared" si="1"/>
        <v>0</v>
      </c>
      <c r="N50" s="75"/>
      <c r="O50" s="75"/>
      <c r="P50" s="12">
        <f t="shared" si="2"/>
        <v>0</v>
      </c>
      <c r="Q50" s="75"/>
      <c r="R50" s="75"/>
      <c r="S50" s="12">
        <f t="shared" si="3"/>
        <v>0</v>
      </c>
      <c r="T50" s="75"/>
      <c r="U50" s="75"/>
      <c r="V50" s="12">
        <f t="shared" si="4"/>
        <v>2000000</v>
      </c>
      <c r="W50" s="75">
        <v>2000000</v>
      </c>
      <c r="X50" s="75"/>
      <c r="Y50" s="12">
        <f t="shared" si="5"/>
        <v>0</v>
      </c>
      <c r="Z50" s="75"/>
      <c r="AA50" s="75"/>
      <c r="AB50" s="13">
        <f t="shared" si="6"/>
        <v>0</v>
      </c>
      <c r="AC50" s="76">
        <v>46085</v>
      </c>
    </row>
    <row r="51" spans="1:29" ht="15.75" x14ac:dyDescent="0.25">
      <c r="A51" s="28">
        <v>45983</v>
      </c>
      <c r="B51" s="10" t="s">
        <v>97</v>
      </c>
      <c r="C51" s="10"/>
      <c r="D51" s="10" t="s">
        <v>493</v>
      </c>
      <c r="E51" s="10" t="s">
        <v>38</v>
      </c>
      <c r="F51" s="10">
        <v>4</v>
      </c>
      <c r="G51" s="10" t="s">
        <v>39</v>
      </c>
      <c r="H51" s="10">
        <v>45000</v>
      </c>
      <c r="I51" s="10">
        <f t="shared" si="0"/>
        <v>180000</v>
      </c>
      <c r="J51" s="29" t="s">
        <v>113</v>
      </c>
      <c r="K51" s="71" t="s">
        <v>128</v>
      </c>
      <c r="L51" s="62"/>
      <c r="M51" s="12">
        <f t="shared" si="1"/>
        <v>0</v>
      </c>
      <c r="N51" s="75"/>
      <c r="O51" s="75"/>
      <c r="P51" s="12">
        <f t="shared" si="2"/>
        <v>0</v>
      </c>
      <c r="Q51" s="75"/>
      <c r="R51" s="75"/>
      <c r="S51" s="12">
        <f t="shared" si="3"/>
        <v>0</v>
      </c>
      <c r="T51" s="75"/>
      <c r="U51" s="75"/>
      <c r="V51" s="12">
        <f t="shared" si="4"/>
        <v>180000</v>
      </c>
      <c r="W51" s="75">
        <v>180000</v>
      </c>
      <c r="X51" s="75"/>
      <c r="Y51" s="12">
        <f t="shared" si="5"/>
        <v>0</v>
      </c>
      <c r="Z51" s="75"/>
      <c r="AA51" s="75"/>
      <c r="AB51" s="13">
        <f t="shared" si="6"/>
        <v>0</v>
      </c>
      <c r="AC51" s="76">
        <v>46085</v>
      </c>
    </row>
    <row r="52" spans="1:29" ht="15.75" x14ac:dyDescent="0.25">
      <c r="A52" s="28">
        <v>45986</v>
      </c>
      <c r="B52" s="10" t="s">
        <v>97</v>
      </c>
      <c r="C52" s="10"/>
      <c r="D52" s="10" t="s">
        <v>493</v>
      </c>
      <c r="E52" s="10" t="s">
        <v>92</v>
      </c>
      <c r="F52" s="10">
        <v>34.200000000000003</v>
      </c>
      <c r="G52" s="10" t="s">
        <v>36</v>
      </c>
      <c r="H52" s="10">
        <v>43000</v>
      </c>
      <c r="I52" s="10">
        <f t="shared" si="0"/>
        <v>1470600.0000000002</v>
      </c>
      <c r="J52" s="29" t="s">
        <v>113</v>
      </c>
      <c r="K52" s="71" t="s">
        <v>148</v>
      </c>
      <c r="L52" s="63"/>
      <c r="M52" s="12">
        <f t="shared" si="1"/>
        <v>0</v>
      </c>
      <c r="N52" s="75"/>
      <c r="O52" s="75"/>
      <c r="P52" s="12">
        <f t="shared" si="2"/>
        <v>0</v>
      </c>
      <c r="Q52" s="75"/>
      <c r="R52" s="75"/>
      <c r="S52" s="12">
        <f t="shared" si="3"/>
        <v>0</v>
      </c>
      <c r="T52" s="75"/>
      <c r="U52" s="75"/>
      <c r="V52" s="12">
        <f t="shared" si="4"/>
        <v>1470600</v>
      </c>
      <c r="W52" s="75">
        <v>1470600</v>
      </c>
      <c r="X52" s="75"/>
      <c r="Y52" s="12">
        <f t="shared" si="5"/>
        <v>0</v>
      </c>
      <c r="Z52" s="75"/>
      <c r="AA52" s="75"/>
      <c r="AB52" s="13">
        <f t="shared" si="6"/>
        <v>2.3283064365386963E-10</v>
      </c>
      <c r="AC52" s="76">
        <v>46085</v>
      </c>
    </row>
    <row r="53" spans="1:29" ht="15.75" x14ac:dyDescent="0.25">
      <c r="A53" s="28">
        <v>45986</v>
      </c>
      <c r="B53" s="10" t="s">
        <v>97</v>
      </c>
      <c r="C53" s="10"/>
      <c r="D53" s="10" t="s">
        <v>493</v>
      </c>
      <c r="E53" s="10" t="s">
        <v>86</v>
      </c>
      <c r="F53" s="10">
        <v>28.4</v>
      </c>
      <c r="G53" s="10" t="s">
        <v>36</v>
      </c>
      <c r="H53" s="10">
        <v>43000</v>
      </c>
      <c r="I53" s="10">
        <f t="shared" si="0"/>
        <v>1221200</v>
      </c>
      <c r="J53" s="29" t="s">
        <v>113</v>
      </c>
      <c r="K53" s="71" t="s">
        <v>148</v>
      </c>
      <c r="L53" s="63"/>
      <c r="M53" s="12">
        <f t="shared" si="1"/>
        <v>0</v>
      </c>
      <c r="N53" s="75"/>
      <c r="O53" s="75"/>
      <c r="P53" s="12">
        <f t="shared" si="2"/>
        <v>0</v>
      </c>
      <c r="Q53" s="75"/>
      <c r="R53" s="75"/>
      <c r="S53" s="12">
        <f t="shared" si="3"/>
        <v>0</v>
      </c>
      <c r="T53" s="75"/>
      <c r="U53" s="75"/>
      <c r="V53" s="12">
        <f t="shared" si="4"/>
        <v>1221200</v>
      </c>
      <c r="W53" s="75">
        <v>1221200</v>
      </c>
      <c r="X53" s="75"/>
      <c r="Y53" s="12">
        <f t="shared" si="5"/>
        <v>0</v>
      </c>
      <c r="Z53" s="75"/>
      <c r="AA53" s="75"/>
      <c r="AB53" s="13">
        <f t="shared" si="6"/>
        <v>0</v>
      </c>
      <c r="AC53" s="76">
        <v>46085</v>
      </c>
    </row>
    <row r="54" spans="1:29" ht="15.75" x14ac:dyDescent="0.25">
      <c r="A54" s="28"/>
      <c r="B54" s="77" t="s">
        <v>151</v>
      </c>
      <c r="C54" s="77"/>
      <c r="D54" s="77"/>
      <c r="E54" s="77"/>
      <c r="F54" s="77"/>
      <c r="G54" s="77"/>
      <c r="H54" s="77"/>
      <c r="I54" s="10">
        <f t="shared" si="0"/>
        <v>0</v>
      </c>
      <c r="J54" s="29" t="s">
        <v>40</v>
      </c>
      <c r="K54" s="10" t="s">
        <v>152</v>
      </c>
      <c r="L54" s="10"/>
      <c r="M54" s="12">
        <f t="shared" si="1"/>
        <v>0</v>
      </c>
      <c r="N54" s="75"/>
      <c r="O54" s="75"/>
      <c r="P54" s="12">
        <f t="shared" si="2"/>
        <v>19780000</v>
      </c>
      <c r="Q54" s="75">
        <v>19780000</v>
      </c>
      <c r="R54" s="75"/>
      <c r="S54" s="12">
        <f t="shared" si="3"/>
        <v>0</v>
      </c>
      <c r="T54" s="75"/>
      <c r="U54" s="75"/>
      <c r="V54" s="12">
        <f t="shared" si="4"/>
        <v>0</v>
      </c>
      <c r="W54" s="75"/>
      <c r="X54" s="75"/>
      <c r="Y54" s="12">
        <f t="shared" si="5"/>
        <v>0</v>
      </c>
      <c r="Z54" s="75"/>
      <c r="AA54" s="75"/>
      <c r="AB54" s="13">
        <f t="shared" si="6"/>
        <v>-19780000</v>
      </c>
      <c r="AC54" s="76">
        <v>46021</v>
      </c>
    </row>
    <row r="55" spans="1:29" ht="15.75" x14ac:dyDescent="0.25">
      <c r="A55" s="28"/>
      <c r="B55" s="77" t="s">
        <v>151</v>
      </c>
      <c r="C55" s="77"/>
      <c r="D55" s="77"/>
      <c r="E55" s="77"/>
      <c r="F55" s="77"/>
      <c r="G55" s="77"/>
      <c r="H55" s="77"/>
      <c r="I55" s="10">
        <f t="shared" si="0"/>
        <v>0</v>
      </c>
      <c r="J55" s="29" t="s">
        <v>40</v>
      </c>
      <c r="K55" s="10" t="s">
        <v>153</v>
      </c>
      <c r="L55" s="10"/>
      <c r="M55" s="12">
        <f t="shared" si="1"/>
        <v>0</v>
      </c>
      <c r="N55" s="75"/>
      <c r="O55" s="75"/>
      <c r="P55" s="12">
        <f t="shared" si="2"/>
        <v>26350000</v>
      </c>
      <c r="Q55" s="75">
        <v>26350000</v>
      </c>
      <c r="R55" s="75"/>
      <c r="S55" s="12">
        <f t="shared" si="3"/>
        <v>0</v>
      </c>
      <c r="T55" s="75"/>
      <c r="U55" s="75"/>
      <c r="V55" s="12">
        <f t="shared" si="4"/>
        <v>0</v>
      </c>
      <c r="W55" s="75"/>
      <c r="X55" s="75"/>
      <c r="Y55" s="12">
        <f t="shared" si="5"/>
        <v>0</v>
      </c>
      <c r="Z55" s="75"/>
      <c r="AA55" s="75"/>
      <c r="AB55" s="13">
        <f t="shared" si="6"/>
        <v>-26350000</v>
      </c>
      <c r="AC55" s="76">
        <v>46021</v>
      </c>
    </row>
    <row r="56" spans="1:29" ht="15.75" x14ac:dyDescent="0.25">
      <c r="A56" s="28"/>
      <c r="B56" s="77" t="s">
        <v>151</v>
      </c>
      <c r="C56" s="77"/>
      <c r="D56" s="77"/>
      <c r="E56" s="77"/>
      <c r="F56" s="77"/>
      <c r="G56" s="77"/>
      <c r="H56" s="77"/>
      <c r="I56" s="10">
        <f t="shared" si="0"/>
        <v>0</v>
      </c>
      <c r="J56" s="29" t="s">
        <v>40</v>
      </c>
      <c r="K56" s="10" t="s">
        <v>154</v>
      </c>
      <c r="L56" s="10"/>
      <c r="M56" s="12">
        <f t="shared" si="1"/>
        <v>0</v>
      </c>
      <c r="N56" s="75"/>
      <c r="O56" s="75"/>
      <c r="P56" s="12">
        <f t="shared" si="2"/>
        <v>38806000</v>
      </c>
      <c r="Q56" s="75">
        <v>38806000</v>
      </c>
      <c r="R56" s="75"/>
      <c r="S56" s="12">
        <f t="shared" si="3"/>
        <v>0</v>
      </c>
      <c r="T56" s="75"/>
      <c r="U56" s="75"/>
      <c r="V56" s="12">
        <f t="shared" si="4"/>
        <v>0</v>
      </c>
      <c r="W56" s="75"/>
      <c r="X56" s="75"/>
      <c r="Y56" s="12">
        <f t="shared" si="5"/>
        <v>0</v>
      </c>
      <c r="Z56" s="75"/>
      <c r="AA56" s="75"/>
      <c r="AB56" s="13">
        <f t="shared" si="6"/>
        <v>-38806000</v>
      </c>
      <c r="AC56" s="76">
        <v>46021</v>
      </c>
    </row>
    <row r="57" spans="1:29" ht="15.75" x14ac:dyDescent="0.25">
      <c r="A57" s="28"/>
      <c r="B57" s="77" t="s">
        <v>151</v>
      </c>
      <c r="C57" s="77"/>
      <c r="D57" s="77"/>
      <c r="E57" s="77"/>
      <c r="F57" s="77"/>
      <c r="G57" s="77"/>
      <c r="H57" s="77"/>
      <c r="I57" s="10">
        <f t="shared" si="0"/>
        <v>0</v>
      </c>
      <c r="J57" s="29" t="s">
        <v>40</v>
      </c>
      <c r="K57" s="10"/>
      <c r="L57" s="10"/>
      <c r="M57" s="12">
        <f t="shared" si="1"/>
        <v>0</v>
      </c>
      <c r="N57" s="75"/>
      <c r="O57" s="75"/>
      <c r="P57" s="12">
        <f t="shared" si="2"/>
        <v>25000000</v>
      </c>
      <c r="Q57" s="75">
        <v>25000000</v>
      </c>
      <c r="R57" s="75"/>
      <c r="S57" s="12">
        <f t="shared" si="3"/>
        <v>0</v>
      </c>
      <c r="T57" s="75"/>
      <c r="U57" s="75"/>
      <c r="V57" s="12">
        <f t="shared" si="4"/>
        <v>0</v>
      </c>
      <c r="W57" s="75"/>
      <c r="X57" s="75"/>
      <c r="Y57" s="12">
        <f t="shared" si="5"/>
        <v>0</v>
      </c>
      <c r="Z57" s="75"/>
      <c r="AA57" s="75"/>
      <c r="AB57" s="13">
        <f t="shared" si="6"/>
        <v>-25000000</v>
      </c>
      <c r="AC57" s="76">
        <v>46029</v>
      </c>
    </row>
    <row r="58" spans="1:29" ht="15.75" x14ac:dyDescent="0.25">
      <c r="A58" s="28"/>
      <c r="B58" s="77" t="s">
        <v>151</v>
      </c>
      <c r="C58" s="77"/>
      <c r="D58" s="77"/>
      <c r="E58" s="77"/>
      <c r="F58" s="77"/>
      <c r="G58" s="77"/>
      <c r="H58" s="77"/>
      <c r="I58" s="10">
        <f t="shared" si="0"/>
        <v>0</v>
      </c>
      <c r="J58" s="29" t="s">
        <v>40</v>
      </c>
      <c r="K58" s="10" t="s">
        <v>287</v>
      </c>
      <c r="L58" s="10"/>
      <c r="M58" s="12">
        <f t="shared" si="1"/>
        <v>0</v>
      </c>
      <c r="N58" s="75"/>
      <c r="O58" s="75"/>
      <c r="P58" s="12">
        <f t="shared" si="2"/>
        <v>20200000</v>
      </c>
      <c r="Q58" s="75">
        <v>20200000</v>
      </c>
      <c r="R58" s="75"/>
      <c r="S58" s="12">
        <f t="shared" si="3"/>
        <v>0</v>
      </c>
      <c r="T58" s="75"/>
      <c r="U58" s="75"/>
      <c r="V58" s="12">
        <f t="shared" si="4"/>
        <v>0</v>
      </c>
      <c r="W58" s="75"/>
      <c r="X58" s="75"/>
      <c r="Y58" s="12">
        <f t="shared" si="5"/>
        <v>0</v>
      </c>
      <c r="Z58" s="75"/>
      <c r="AA58" s="75"/>
      <c r="AB58" s="13">
        <f t="shared" si="6"/>
        <v>-20200000</v>
      </c>
      <c r="AC58" s="76">
        <v>46031</v>
      </c>
    </row>
    <row r="59" spans="1:29" ht="15.75" x14ac:dyDescent="0.25">
      <c r="A59" s="28"/>
      <c r="B59" s="77" t="s">
        <v>151</v>
      </c>
      <c r="C59" s="77"/>
      <c r="D59" s="77"/>
      <c r="E59" s="77"/>
      <c r="F59" s="77"/>
      <c r="G59" s="77"/>
      <c r="H59" s="77"/>
      <c r="I59" s="10">
        <f t="shared" si="0"/>
        <v>0</v>
      </c>
      <c r="J59" s="29" t="s">
        <v>40</v>
      </c>
      <c r="K59" s="10"/>
      <c r="L59" s="10" t="s">
        <v>631</v>
      </c>
      <c r="M59" s="12">
        <f t="shared" si="1"/>
        <v>0</v>
      </c>
      <c r="N59" s="75"/>
      <c r="O59" s="75"/>
      <c r="P59" s="12">
        <f t="shared" si="2"/>
        <v>101016000</v>
      </c>
      <c r="Q59" s="75">
        <v>101016000</v>
      </c>
      <c r="R59" s="75"/>
      <c r="S59" s="12">
        <f t="shared" si="3"/>
        <v>0</v>
      </c>
      <c r="T59" s="75"/>
      <c r="U59" s="75"/>
      <c r="V59" s="12">
        <f t="shared" si="4"/>
        <v>0</v>
      </c>
      <c r="W59" s="75"/>
      <c r="X59" s="75"/>
      <c r="Y59" s="12">
        <f t="shared" si="5"/>
        <v>0</v>
      </c>
      <c r="Z59" s="75"/>
      <c r="AA59" s="75"/>
      <c r="AB59" s="13">
        <f t="shared" si="6"/>
        <v>-101016000</v>
      </c>
      <c r="AC59" s="76">
        <v>46094</v>
      </c>
    </row>
    <row r="60" spans="1:29" ht="15.75" x14ac:dyDescent="0.25">
      <c r="A60" s="28"/>
      <c r="B60" s="77" t="s">
        <v>155</v>
      </c>
      <c r="C60" s="77"/>
      <c r="D60" s="77"/>
      <c r="E60" s="77"/>
      <c r="F60" s="77"/>
      <c r="G60" s="77"/>
      <c r="H60" s="77"/>
      <c r="I60" s="10">
        <f t="shared" si="0"/>
        <v>0</v>
      </c>
      <c r="J60" s="29" t="s">
        <v>40</v>
      </c>
      <c r="K60" s="10"/>
      <c r="L60" s="10"/>
      <c r="M60" s="12">
        <f t="shared" si="1"/>
        <v>0</v>
      </c>
      <c r="N60" s="75"/>
      <c r="O60" s="75"/>
      <c r="P60" s="12">
        <f t="shared" si="2"/>
        <v>800000</v>
      </c>
      <c r="Q60" s="75">
        <v>800000</v>
      </c>
      <c r="R60" s="75"/>
      <c r="S60" s="12">
        <f t="shared" si="3"/>
        <v>0</v>
      </c>
      <c r="T60" s="75"/>
      <c r="U60" s="75"/>
      <c r="V60" s="12">
        <f t="shared" si="4"/>
        <v>0</v>
      </c>
      <c r="W60" s="75"/>
      <c r="X60" s="75"/>
      <c r="Y60" s="12">
        <f t="shared" si="5"/>
        <v>0</v>
      </c>
      <c r="Z60" s="75"/>
      <c r="AA60" s="75"/>
      <c r="AB60" s="13">
        <f t="shared" si="6"/>
        <v>-800000</v>
      </c>
      <c r="AC60" s="76">
        <v>45994</v>
      </c>
    </row>
    <row r="61" spans="1:29" ht="15.75" x14ac:dyDescent="0.25">
      <c r="A61" s="28">
        <v>45988</v>
      </c>
      <c r="B61" s="10" t="s">
        <v>69</v>
      </c>
      <c r="C61" s="10"/>
      <c r="D61" s="10" t="s">
        <v>28</v>
      </c>
      <c r="E61" s="10" t="s">
        <v>156</v>
      </c>
      <c r="F61" s="10">
        <v>50</v>
      </c>
      <c r="G61" s="10" t="s">
        <v>39</v>
      </c>
      <c r="H61" s="10">
        <v>28000</v>
      </c>
      <c r="I61" s="10">
        <f t="shared" si="0"/>
        <v>1400000</v>
      </c>
      <c r="J61" s="29" t="s">
        <v>110</v>
      </c>
      <c r="K61" s="10"/>
      <c r="L61" s="10" t="s">
        <v>553</v>
      </c>
      <c r="M61" s="12">
        <f t="shared" si="1"/>
        <v>0</v>
      </c>
      <c r="N61" s="75"/>
      <c r="O61" s="75"/>
      <c r="P61" s="12">
        <f t="shared" si="2"/>
        <v>1400000</v>
      </c>
      <c r="Q61" s="75">
        <v>1400000</v>
      </c>
      <c r="R61" s="75"/>
      <c r="S61" s="12">
        <f t="shared" si="3"/>
        <v>0</v>
      </c>
      <c r="T61" s="75"/>
      <c r="U61" s="75"/>
      <c r="V61" s="12">
        <f t="shared" si="4"/>
        <v>0</v>
      </c>
      <c r="W61" s="75"/>
      <c r="X61" s="75"/>
      <c r="Y61" s="12">
        <f t="shared" si="5"/>
        <v>0</v>
      </c>
      <c r="Z61" s="75"/>
      <c r="AA61" s="75"/>
      <c r="AB61" s="13">
        <f t="shared" si="6"/>
        <v>0</v>
      </c>
      <c r="AC61" s="76">
        <v>46094</v>
      </c>
    </row>
    <row r="62" spans="1:29" ht="15.75" x14ac:dyDescent="0.25">
      <c r="A62" s="28">
        <v>45988</v>
      </c>
      <c r="B62" s="10" t="s">
        <v>41</v>
      </c>
      <c r="C62" s="10"/>
      <c r="D62" s="10" t="s">
        <v>28</v>
      </c>
      <c r="E62" s="10" t="s">
        <v>42</v>
      </c>
      <c r="F62" s="10">
        <v>100</v>
      </c>
      <c r="G62" s="10" t="s">
        <v>39</v>
      </c>
      <c r="H62" s="78"/>
      <c r="I62" s="10">
        <f t="shared" si="0"/>
        <v>0</v>
      </c>
      <c r="J62" s="52" t="s">
        <v>90</v>
      </c>
      <c r="K62" s="10"/>
      <c r="L62" s="10"/>
      <c r="M62" s="12">
        <f t="shared" si="1"/>
        <v>0</v>
      </c>
      <c r="N62" s="75"/>
      <c r="O62" s="75"/>
      <c r="P62" s="12">
        <f t="shared" si="2"/>
        <v>0</v>
      </c>
      <c r="Q62" s="75"/>
      <c r="R62" s="75"/>
      <c r="S62" s="12">
        <f t="shared" si="3"/>
        <v>0</v>
      </c>
      <c r="T62" s="75"/>
      <c r="U62" s="75"/>
      <c r="V62" s="12">
        <f t="shared" si="4"/>
        <v>0</v>
      </c>
      <c r="W62" s="75"/>
      <c r="X62" s="75"/>
      <c r="Y62" s="12">
        <f t="shared" si="5"/>
        <v>0</v>
      </c>
      <c r="Z62" s="75"/>
      <c r="AA62" s="75"/>
      <c r="AB62" s="13">
        <f t="shared" si="6"/>
        <v>0</v>
      </c>
      <c r="AC62" s="76"/>
    </row>
    <row r="63" spans="1:29" ht="16.5" thickBot="1" x14ac:dyDescent="0.3">
      <c r="A63" s="30">
        <v>45988</v>
      </c>
      <c r="B63" s="31" t="s">
        <v>41</v>
      </c>
      <c r="C63" s="31"/>
      <c r="D63" s="31" t="s">
        <v>28</v>
      </c>
      <c r="E63" s="31" t="s">
        <v>66</v>
      </c>
      <c r="F63" s="31">
        <v>200</v>
      </c>
      <c r="G63" s="31" t="s">
        <v>67</v>
      </c>
      <c r="H63" s="31">
        <v>65000</v>
      </c>
      <c r="I63" s="31">
        <f t="shared" si="0"/>
        <v>13000000</v>
      </c>
      <c r="J63" s="64" t="s">
        <v>90</v>
      </c>
      <c r="K63" s="113" t="s">
        <v>157</v>
      </c>
      <c r="L63" s="113"/>
      <c r="M63" s="34">
        <f t="shared" si="1"/>
        <v>0</v>
      </c>
      <c r="N63" s="79"/>
      <c r="O63" s="79"/>
      <c r="P63" s="34">
        <f t="shared" si="2"/>
        <v>5200000</v>
      </c>
      <c r="Q63" s="79">
        <v>5200000</v>
      </c>
      <c r="R63" s="79"/>
      <c r="S63" s="34">
        <f t="shared" si="3"/>
        <v>0</v>
      </c>
      <c r="T63" s="79"/>
      <c r="U63" s="79"/>
      <c r="V63" s="34">
        <f t="shared" si="4"/>
        <v>0</v>
      </c>
      <c r="W63" s="79"/>
      <c r="X63" s="79"/>
      <c r="Y63" s="34">
        <f t="shared" si="5"/>
        <v>0</v>
      </c>
      <c r="Z63" s="79"/>
      <c r="AA63" s="79"/>
      <c r="AB63" s="35">
        <f t="shared" si="6"/>
        <v>7800000</v>
      </c>
      <c r="AC63" s="80">
        <v>46083</v>
      </c>
    </row>
    <row r="64" spans="1:29" ht="15.75" x14ac:dyDescent="0.25">
      <c r="A64" s="65">
        <v>45992</v>
      </c>
      <c r="B64" s="66" t="s">
        <v>135</v>
      </c>
      <c r="C64" s="66"/>
      <c r="D64" s="66" t="s">
        <v>32</v>
      </c>
      <c r="E64" s="66" t="s">
        <v>104</v>
      </c>
      <c r="F64" s="66">
        <v>20000</v>
      </c>
      <c r="G64" s="66" t="s">
        <v>26</v>
      </c>
      <c r="H64" s="66">
        <v>2000</v>
      </c>
      <c r="I64" s="66">
        <f t="shared" si="0"/>
        <v>40000000</v>
      </c>
      <c r="J64" s="114" t="s">
        <v>30</v>
      </c>
      <c r="K64" s="125" t="s">
        <v>159</v>
      </c>
      <c r="L64" s="125"/>
      <c r="M64" s="67">
        <f t="shared" si="1"/>
        <v>35000000</v>
      </c>
      <c r="N64" s="67">
        <v>15000000</v>
      </c>
      <c r="O64" s="67">
        <v>20000000</v>
      </c>
      <c r="P64" s="67">
        <f t="shared" si="2"/>
        <v>0</v>
      </c>
      <c r="Q64" s="67"/>
      <c r="R64" s="67"/>
      <c r="S64" s="67">
        <f t="shared" si="3"/>
        <v>0</v>
      </c>
      <c r="T64" s="67"/>
      <c r="U64" s="67"/>
      <c r="V64" s="67">
        <f t="shared" si="4"/>
        <v>0</v>
      </c>
      <c r="W64" s="67"/>
      <c r="X64" s="67"/>
      <c r="Y64" s="67">
        <f t="shared" si="5"/>
        <v>0</v>
      </c>
      <c r="Z64" s="67"/>
      <c r="AA64" s="67"/>
      <c r="AB64" s="68">
        <f t="shared" si="6"/>
        <v>5000000</v>
      </c>
      <c r="AC64" s="69">
        <v>46069</v>
      </c>
    </row>
    <row r="65" spans="1:29" ht="15.75" x14ac:dyDescent="0.25">
      <c r="A65" s="28">
        <v>45993</v>
      </c>
      <c r="B65" s="10" t="s">
        <v>122</v>
      </c>
      <c r="C65" s="10"/>
      <c r="D65" s="10" t="s">
        <v>32</v>
      </c>
      <c r="E65" s="10" t="s">
        <v>65</v>
      </c>
      <c r="F65" s="10">
        <v>20800</v>
      </c>
      <c r="G65" s="10" t="s">
        <v>26</v>
      </c>
      <c r="H65" s="10">
        <v>3800</v>
      </c>
      <c r="I65" s="10">
        <f t="shared" si="0"/>
        <v>79040000</v>
      </c>
      <c r="J65" s="52" t="s">
        <v>90</v>
      </c>
      <c r="K65" s="62" t="s">
        <v>162</v>
      </c>
      <c r="L65" s="62"/>
      <c r="M65" s="12">
        <f t="shared" si="1"/>
        <v>0</v>
      </c>
      <c r="N65" s="12"/>
      <c r="O65" s="12"/>
      <c r="P65" s="12">
        <f t="shared" si="2"/>
        <v>20000000</v>
      </c>
      <c r="Q65" s="12">
        <v>20000000</v>
      </c>
      <c r="R65" s="12"/>
      <c r="S65" s="12">
        <f t="shared" si="3"/>
        <v>0</v>
      </c>
      <c r="T65" s="12"/>
      <c r="U65" s="12"/>
      <c r="V65" s="12">
        <f t="shared" si="4"/>
        <v>0</v>
      </c>
      <c r="W65" s="12"/>
      <c r="X65" s="12"/>
      <c r="Y65" s="12">
        <f t="shared" si="5"/>
        <v>0</v>
      </c>
      <c r="Z65" s="12"/>
      <c r="AA65" s="12"/>
      <c r="AB65" s="13">
        <f t="shared" si="6"/>
        <v>59040000</v>
      </c>
      <c r="AC65" s="14">
        <v>46000</v>
      </c>
    </row>
    <row r="66" spans="1:29" ht="15.75" x14ac:dyDescent="0.25">
      <c r="A66" s="28">
        <v>45993</v>
      </c>
      <c r="B66" s="10" t="s">
        <v>163</v>
      </c>
      <c r="C66" s="10"/>
      <c r="D66" s="10" t="s">
        <v>28</v>
      </c>
      <c r="E66" s="10" t="s">
        <v>51</v>
      </c>
      <c r="F66" s="10">
        <v>3</v>
      </c>
      <c r="G66" s="10" t="s">
        <v>22</v>
      </c>
      <c r="H66" s="10">
        <v>426000</v>
      </c>
      <c r="I66" s="10">
        <f t="shared" si="0"/>
        <v>1278000</v>
      </c>
      <c r="J66" s="29" t="s">
        <v>40</v>
      </c>
      <c r="K66" s="71" t="s">
        <v>140</v>
      </c>
      <c r="L66" s="71"/>
      <c r="M66" s="12">
        <f t="shared" si="1"/>
        <v>0</v>
      </c>
      <c r="N66" s="12"/>
      <c r="O66" s="12"/>
      <c r="P66" s="12">
        <f t="shared" si="2"/>
        <v>3861000</v>
      </c>
      <c r="Q66" s="12">
        <v>920000</v>
      </c>
      <c r="R66" s="12">
        <v>2941000</v>
      </c>
      <c r="S66" s="12">
        <f t="shared" si="3"/>
        <v>0</v>
      </c>
      <c r="T66" s="12"/>
      <c r="U66" s="12"/>
      <c r="V66" s="12">
        <f t="shared" si="4"/>
        <v>0</v>
      </c>
      <c r="W66" s="12"/>
      <c r="X66" s="12"/>
      <c r="Y66" s="12">
        <f t="shared" si="5"/>
        <v>0</v>
      </c>
      <c r="Z66" s="12"/>
      <c r="AA66" s="12"/>
      <c r="AB66" s="13">
        <f t="shared" si="6"/>
        <v>-2583000</v>
      </c>
      <c r="AC66" s="14">
        <v>46016</v>
      </c>
    </row>
    <row r="67" spans="1:29" ht="15.75" x14ac:dyDescent="0.25">
      <c r="A67" s="28">
        <v>46000</v>
      </c>
      <c r="B67" s="10" t="s">
        <v>144</v>
      </c>
      <c r="C67" s="10"/>
      <c r="D67" s="10" t="s">
        <v>32</v>
      </c>
      <c r="E67" s="10" t="s">
        <v>164</v>
      </c>
      <c r="F67" s="10">
        <v>79.8</v>
      </c>
      <c r="G67" s="10" t="s">
        <v>36</v>
      </c>
      <c r="H67" s="10">
        <v>43000</v>
      </c>
      <c r="I67" s="10">
        <f t="shared" si="0"/>
        <v>3431400</v>
      </c>
      <c r="J67" s="52" t="s">
        <v>90</v>
      </c>
      <c r="K67" s="62" t="s">
        <v>157</v>
      </c>
      <c r="L67" s="62"/>
      <c r="M67" s="12">
        <f t="shared" si="1"/>
        <v>0</v>
      </c>
      <c r="N67" s="12"/>
      <c r="O67" s="12"/>
      <c r="P67" s="12">
        <f t="shared" si="2"/>
        <v>3308800</v>
      </c>
      <c r="Q67" s="12">
        <v>308800</v>
      </c>
      <c r="R67" s="12">
        <v>3000000</v>
      </c>
      <c r="S67" s="12">
        <f t="shared" si="3"/>
        <v>0</v>
      </c>
      <c r="T67" s="12"/>
      <c r="U67" s="12"/>
      <c r="V67" s="12">
        <f t="shared" si="4"/>
        <v>0</v>
      </c>
      <c r="W67" s="12"/>
      <c r="X67" s="12"/>
      <c r="Y67" s="12">
        <f t="shared" si="5"/>
        <v>0</v>
      </c>
      <c r="Z67" s="12"/>
      <c r="AA67" s="12"/>
      <c r="AB67" s="13">
        <f t="shared" si="6"/>
        <v>122600</v>
      </c>
      <c r="AC67" s="14">
        <v>46038</v>
      </c>
    </row>
    <row r="68" spans="1:29" ht="15.75" x14ac:dyDescent="0.25">
      <c r="A68" s="28">
        <v>46000</v>
      </c>
      <c r="B68" s="10" t="s">
        <v>53</v>
      </c>
      <c r="C68" s="10"/>
      <c r="D68" s="10" t="s">
        <v>32</v>
      </c>
      <c r="E68" s="10" t="s">
        <v>42</v>
      </c>
      <c r="F68" s="10">
        <v>50</v>
      </c>
      <c r="G68" s="81" t="s">
        <v>39</v>
      </c>
      <c r="H68" s="78"/>
      <c r="I68" s="10">
        <f t="shared" si="0"/>
        <v>0</v>
      </c>
      <c r="J68" s="52" t="s">
        <v>90</v>
      </c>
      <c r="K68" s="10"/>
      <c r="L68" s="10"/>
      <c r="M68" s="12">
        <f t="shared" si="1"/>
        <v>0</v>
      </c>
      <c r="N68" s="12"/>
      <c r="O68" s="12"/>
      <c r="P68" s="12">
        <f t="shared" si="2"/>
        <v>0</v>
      </c>
      <c r="Q68" s="12"/>
      <c r="R68" s="12"/>
      <c r="S68" s="12">
        <f t="shared" si="3"/>
        <v>0</v>
      </c>
      <c r="T68" s="12"/>
      <c r="U68" s="12"/>
      <c r="V68" s="12">
        <f t="shared" si="4"/>
        <v>0</v>
      </c>
      <c r="W68" s="12"/>
      <c r="X68" s="12"/>
      <c r="Y68" s="12">
        <f t="shared" si="5"/>
        <v>0</v>
      </c>
      <c r="Z68" s="12"/>
      <c r="AA68" s="12"/>
      <c r="AB68" s="13">
        <f t="shared" si="6"/>
        <v>0</v>
      </c>
      <c r="AC68" s="14"/>
    </row>
    <row r="69" spans="1:29" ht="15.75" x14ac:dyDescent="0.25">
      <c r="A69" s="28">
        <v>46001</v>
      </c>
      <c r="B69" s="10" t="s">
        <v>127</v>
      </c>
      <c r="C69" s="10"/>
      <c r="D69" s="10" t="s">
        <v>32</v>
      </c>
      <c r="E69" s="10" t="s">
        <v>65</v>
      </c>
      <c r="F69" s="10">
        <v>10400</v>
      </c>
      <c r="G69" s="10" t="s">
        <v>26</v>
      </c>
      <c r="H69" s="10">
        <v>3900</v>
      </c>
      <c r="I69" s="10">
        <f t="shared" ref="I69:I132" si="7">F69*H69</f>
        <v>40560000</v>
      </c>
      <c r="J69" s="52" t="s">
        <v>90</v>
      </c>
      <c r="K69" s="88" t="s">
        <v>171</v>
      </c>
      <c r="L69" s="88"/>
      <c r="M69" s="12">
        <f t="shared" ref="M69:M132" si="8">N69+O69</f>
        <v>0</v>
      </c>
      <c r="N69" s="12"/>
      <c r="O69" s="12"/>
      <c r="P69" s="12">
        <f t="shared" ref="P69:P132" si="9">Q69+R69</f>
        <v>8290000</v>
      </c>
      <c r="Q69" s="12">
        <v>8290000</v>
      </c>
      <c r="R69" s="12"/>
      <c r="S69" s="12">
        <f t="shared" ref="S69:S132" si="10">T69+U69</f>
        <v>19720000</v>
      </c>
      <c r="T69" s="12">
        <v>19720000</v>
      </c>
      <c r="U69" s="12"/>
      <c r="V69" s="12">
        <f t="shared" ref="V69:V132" si="11">W69+X69</f>
        <v>0</v>
      </c>
      <c r="W69" s="12"/>
      <c r="X69" s="12"/>
      <c r="Y69" s="12">
        <f t="shared" ref="Y69:Y132" si="12">Z69+AA69</f>
        <v>0</v>
      </c>
      <c r="Z69" s="12"/>
      <c r="AA69" s="12"/>
      <c r="AB69" s="13">
        <f t="shared" ref="AB69:AB132" si="13">C69+I69-M69-P69-V69-Y69-S69</f>
        <v>12550000</v>
      </c>
      <c r="AC69" s="14">
        <v>46020</v>
      </c>
    </row>
    <row r="70" spans="1:29" ht="15.75" x14ac:dyDescent="0.25">
      <c r="A70" s="28">
        <v>46003</v>
      </c>
      <c r="B70" s="10" t="s">
        <v>124</v>
      </c>
      <c r="C70" s="10"/>
      <c r="D70" s="10" t="s">
        <v>32</v>
      </c>
      <c r="E70" s="10" t="s">
        <v>177</v>
      </c>
      <c r="F70" s="10">
        <v>3</v>
      </c>
      <c r="G70" s="10" t="s">
        <v>61</v>
      </c>
      <c r="H70" s="10">
        <v>450000</v>
      </c>
      <c r="I70" s="10">
        <f t="shared" si="7"/>
        <v>1350000</v>
      </c>
      <c r="J70" s="29" t="s">
        <v>110</v>
      </c>
      <c r="K70" s="71" t="s">
        <v>157</v>
      </c>
      <c r="L70" s="62"/>
      <c r="M70" s="12">
        <f t="shared" si="8"/>
        <v>0</v>
      </c>
      <c r="N70" s="12"/>
      <c r="O70" s="12"/>
      <c r="P70" s="12">
        <f t="shared" si="9"/>
        <v>1350000</v>
      </c>
      <c r="Q70" s="12"/>
      <c r="R70" s="12">
        <v>1350000</v>
      </c>
      <c r="S70" s="12">
        <f t="shared" si="10"/>
        <v>0</v>
      </c>
      <c r="T70" s="12"/>
      <c r="U70" s="12"/>
      <c r="V70" s="12">
        <f t="shared" si="11"/>
        <v>0</v>
      </c>
      <c r="W70" s="12"/>
      <c r="X70" s="12"/>
      <c r="Y70" s="12">
        <f t="shared" si="12"/>
        <v>0</v>
      </c>
      <c r="Z70" s="12"/>
      <c r="AA70" s="12"/>
      <c r="AB70" s="13">
        <f t="shared" si="13"/>
        <v>0</v>
      </c>
      <c r="AC70" s="14">
        <v>46083</v>
      </c>
    </row>
    <row r="71" spans="1:29" ht="15.75" x14ac:dyDescent="0.25">
      <c r="A71" s="28">
        <v>46003</v>
      </c>
      <c r="B71" s="10" t="s">
        <v>178</v>
      </c>
      <c r="C71" s="10"/>
      <c r="D71" s="10" t="s">
        <v>32</v>
      </c>
      <c r="E71" s="10" t="s">
        <v>80</v>
      </c>
      <c r="F71" s="10">
        <v>23.1</v>
      </c>
      <c r="G71" s="10" t="s">
        <v>36</v>
      </c>
      <c r="H71" s="10">
        <v>43000</v>
      </c>
      <c r="I71" s="10">
        <f t="shared" si="7"/>
        <v>993300.00000000012</v>
      </c>
      <c r="J71" s="29" t="s">
        <v>40</v>
      </c>
      <c r="K71" s="10"/>
      <c r="L71" s="10"/>
      <c r="M71" s="12">
        <f t="shared" si="8"/>
        <v>0</v>
      </c>
      <c r="N71" s="12"/>
      <c r="O71" s="12"/>
      <c r="P71" s="12">
        <f t="shared" si="9"/>
        <v>1032500</v>
      </c>
      <c r="Q71" s="12">
        <v>1032500</v>
      </c>
      <c r="R71" s="12"/>
      <c r="S71" s="12">
        <f t="shared" si="10"/>
        <v>0</v>
      </c>
      <c r="T71" s="12"/>
      <c r="U71" s="12"/>
      <c r="V71" s="12">
        <f t="shared" si="11"/>
        <v>0</v>
      </c>
      <c r="W71" s="12"/>
      <c r="X71" s="12"/>
      <c r="Y71" s="12">
        <f t="shared" si="12"/>
        <v>0</v>
      </c>
      <c r="Z71" s="12"/>
      <c r="AA71" s="12"/>
      <c r="AB71" s="13">
        <f t="shared" si="13"/>
        <v>-39199.999999999884</v>
      </c>
      <c r="AC71" s="14">
        <v>46003</v>
      </c>
    </row>
    <row r="72" spans="1:29" ht="15.75" x14ac:dyDescent="0.25">
      <c r="A72" s="28">
        <v>46004</v>
      </c>
      <c r="B72" s="10" t="s">
        <v>109</v>
      </c>
      <c r="C72" s="10"/>
      <c r="D72" s="10" t="s">
        <v>28</v>
      </c>
      <c r="E72" s="10" t="s">
        <v>181</v>
      </c>
      <c r="F72" s="10">
        <v>500</v>
      </c>
      <c r="G72" s="10" t="s">
        <v>26</v>
      </c>
      <c r="H72" s="10">
        <v>3200</v>
      </c>
      <c r="I72" s="10">
        <f t="shared" si="7"/>
        <v>1600000</v>
      </c>
      <c r="J72" s="70" t="s">
        <v>90</v>
      </c>
      <c r="K72" s="62" t="s">
        <v>150</v>
      </c>
      <c r="L72" s="62"/>
      <c r="M72" s="12">
        <f t="shared" si="8"/>
        <v>1109700</v>
      </c>
      <c r="N72" s="12"/>
      <c r="O72" s="12">
        <v>1109700</v>
      </c>
      <c r="P72" s="12">
        <f t="shared" si="9"/>
        <v>0</v>
      </c>
      <c r="Q72" s="12"/>
      <c r="R72" s="12"/>
      <c r="S72" s="12">
        <f t="shared" si="10"/>
        <v>0</v>
      </c>
      <c r="T72" s="12"/>
      <c r="U72" s="12"/>
      <c r="V72" s="12">
        <f t="shared" si="11"/>
        <v>0</v>
      </c>
      <c r="W72" s="12"/>
      <c r="X72" s="12"/>
      <c r="Y72" s="12">
        <f t="shared" si="12"/>
        <v>0</v>
      </c>
      <c r="Z72" s="12"/>
      <c r="AA72" s="12"/>
      <c r="AB72" s="13">
        <f t="shared" si="13"/>
        <v>490300</v>
      </c>
      <c r="AC72" s="14">
        <v>46067</v>
      </c>
    </row>
    <row r="73" spans="1:29" ht="15.75" x14ac:dyDescent="0.25">
      <c r="A73" s="28">
        <v>46007</v>
      </c>
      <c r="B73" s="10" t="s">
        <v>124</v>
      </c>
      <c r="C73" s="10"/>
      <c r="D73" s="10" t="s">
        <v>32</v>
      </c>
      <c r="E73" s="10" t="s">
        <v>177</v>
      </c>
      <c r="F73" s="10">
        <v>1</v>
      </c>
      <c r="G73" s="10" t="s">
        <v>61</v>
      </c>
      <c r="H73" s="10">
        <v>450000</v>
      </c>
      <c r="I73" s="10">
        <f t="shared" si="7"/>
        <v>450000</v>
      </c>
      <c r="J73" s="83" t="s">
        <v>110</v>
      </c>
      <c r="K73" s="71" t="s">
        <v>157</v>
      </c>
      <c r="L73" s="62"/>
      <c r="M73" s="12">
        <f t="shared" si="8"/>
        <v>0</v>
      </c>
      <c r="N73" s="12"/>
      <c r="O73" s="12"/>
      <c r="P73" s="12">
        <f t="shared" si="9"/>
        <v>450000</v>
      </c>
      <c r="Q73" s="12"/>
      <c r="R73" s="12">
        <v>450000</v>
      </c>
      <c r="S73" s="12">
        <f t="shared" si="10"/>
        <v>0</v>
      </c>
      <c r="T73" s="12"/>
      <c r="U73" s="12"/>
      <c r="V73" s="12">
        <f t="shared" si="11"/>
        <v>0</v>
      </c>
      <c r="W73" s="12"/>
      <c r="X73" s="12"/>
      <c r="Y73" s="12">
        <f t="shared" si="12"/>
        <v>0</v>
      </c>
      <c r="Z73" s="12"/>
      <c r="AA73" s="12"/>
      <c r="AB73" s="13">
        <f t="shared" si="13"/>
        <v>0</v>
      </c>
      <c r="AC73" s="14">
        <v>46083</v>
      </c>
    </row>
    <row r="74" spans="1:29" ht="15.75" x14ac:dyDescent="0.25">
      <c r="A74" s="28">
        <v>46007</v>
      </c>
      <c r="B74" s="10" t="s">
        <v>53</v>
      </c>
      <c r="C74" s="10"/>
      <c r="D74" s="10" t="s">
        <v>32</v>
      </c>
      <c r="E74" s="10" t="s">
        <v>136</v>
      </c>
      <c r="F74" s="10">
        <v>352.5</v>
      </c>
      <c r="G74" s="10" t="s">
        <v>36</v>
      </c>
      <c r="H74" s="10">
        <v>43000</v>
      </c>
      <c r="I74" s="10">
        <f t="shared" si="7"/>
        <v>15157500</v>
      </c>
      <c r="J74" s="29" t="s">
        <v>110</v>
      </c>
      <c r="K74" s="71" t="s">
        <v>157</v>
      </c>
      <c r="L74" s="62"/>
      <c r="M74" s="12">
        <f t="shared" si="8"/>
        <v>0</v>
      </c>
      <c r="N74" s="12"/>
      <c r="O74" s="12"/>
      <c r="P74" s="12">
        <f t="shared" si="9"/>
        <v>15157500</v>
      </c>
      <c r="Q74" s="12">
        <v>11580600</v>
      </c>
      <c r="R74" s="12">
        <v>3576900</v>
      </c>
      <c r="S74" s="12">
        <f t="shared" si="10"/>
        <v>0</v>
      </c>
      <c r="T74" s="12"/>
      <c r="U74" s="12"/>
      <c r="V74" s="12">
        <f t="shared" si="11"/>
        <v>0</v>
      </c>
      <c r="W74" s="12"/>
      <c r="X74" s="12"/>
      <c r="Y74" s="12">
        <f t="shared" si="12"/>
        <v>0</v>
      </c>
      <c r="Z74" s="12"/>
      <c r="AA74" s="12"/>
      <c r="AB74" s="13">
        <f t="shared" si="13"/>
        <v>0</v>
      </c>
      <c r="AC74" s="14">
        <v>46052</v>
      </c>
    </row>
    <row r="75" spans="1:29" ht="15.75" x14ac:dyDescent="0.25">
      <c r="A75" s="28">
        <v>46008</v>
      </c>
      <c r="B75" s="10" t="s">
        <v>185</v>
      </c>
      <c r="C75" s="10"/>
      <c r="D75" s="10" t="s">
        <v>32</v>
      </c>
      <c r="E75" s="10" t="s">
        <v>42</v>
      </c>
      <c r="F75" s="10">
        <v>50</v>
      </c>
      <c r="G75" s="10" t="s">
        <v>39</v>
      </c>
      <c r="H75" s="10">
        <v>53000</v>
      </c>
      <c r="I75" s="10">
        <f t="shared" si="7"/>
        <v>2650000</v>
      </c>
      <c r="J75" s="29" t="s">
        <v>113</v>
      </c>
      <c r="K75" s="10"/>
      <c r="L75" s="10"/>
      <c r="M75" s="12">
        <f t="shared" si="8"/>
        <v>2650000</v>
      </c>
      <c r="N75" s="12">
        <v>2650000</v>
      </c>
      <c r="O75" s="12"/>
      <c r="P75" s="12">
        <f t="shared" si="9"/>
        <v>0</v>
      </c>
      <c r="Q75" s="12"/>
      <c r="R75" s="12"/>
      <c r="S75" s="12">
        <f t="shared" si="10"/>
        <v>0</v>
      </c>
      <c r="T75" s="12"/>
      <c r="U75" s="12"/>
      <c r="V75" s="12">
        <f t="shared" si="11"/>
        <v>0</v>
      </c>
      <c r="W75" s="12"/>
      <c r="X75" s="12"/>
      <c r="Y75" s="12">
        <f t="shared" si="12"/>
        <v>0</v>
      </c>
      <c r="Z75" s="12"/>
      <c r="AA75" s="12"/>
      <c r="AB75" s="13">
        <f t="shared" si="13"/>
        <v>0</v>
      </c>
      <c r="AC75" s="14">
        <v>46085</v>
      </c>
    </row>
    <row r="76" spans="1:29" ht="15.75" x14ac:dyDescent="0.25">
      <c r="A76" s="28">
        <v>46009</v>
      </c>
      <c r="B76" s="10" t="s">
        <v>172</v>
      </c>
      <c r="C76" s="10"/>
      <c r="D76" s="10" t="s">
        <v>32</v>
      </c>
      <c r="E76" s="10" t="s">
        <v>186</v>
      </c>
      <c r="F76" s="10">
        <v>14</v>
      </c>
      <c r="G76" s="10" t="s">
        <v>22</v>
      </c>
      <c r="H76" s="10">
        <v>1200000</v>
      </c>
      <c r="I76" s="10">
        <f t="shared" si="7"/>
        <v>16800000</v>
      </c>
      <c r="J76" s="52" t="s">
        <v>90</v>
      </c>
      <c r="K76" s="88" t="s">
        <v>171</v>
      </c>
      <c r="L76" s="88"/>
      <c r="M76" s="12">
        <f t="shared" si="8"/>
        <v>0</v>
      </c>
      <c r="N76" s="12"/>
      <c r="O76" s="12"/>
      <c r="P76" s="12">
        <f t="shared" si="9"/>
        <v>6001000</v>
      </c>
      <c r="Q76" s="12">
        <v>6001000</v>
      </c>
      <c r="R76" s="12"/>
      <c r="S76" s="12">
        <f t="shared" si="10"/>
        <v>0</v>
      </c>
      <c r="T76" s="12"/>
      <c r="U76" s="12"/>
      <c r="V76" s="12">
        <f t="shared" si="11"/>
        <v>0</v>
      </c>
      <c r="W76" s="12"/>
      <c r="X76" s="12"/>
      <c r="Y76" s="12">
        <f t="shared" si="12"/>
        <v>0</v>
      </c>
      <c r="Z76" s="12"/>
      <c r="AA76" s="12"/>
      <c r="AB76" s="13">
        <f t="shared" si="13"/>
        <v>10799000</v>
      </c>
      <c r="AC76" s="14">
        <v>46037</v>
      </c>
    </row>
    <row r="77" spans="1:29" ht="15.75" x14ac:dyDescent="0.25">
      <c r="A77" s="28">
        <v>46009</v>
      </c>
      <c r="B77" s="10" t="s">
        <v>122</v>
      </c>
      <c r="C77" s="10"/>
      <c r="D77" s="10" t="s">
        <v>32</v>
      </c>
      <c r="E77" s="10" t="s">
        <v>189</v>
      </c>
      <c r="F77" s="10">
        <v>16</v>
      </c>
      <c r="G77" s="10" t="s">
        <v>61</v>
      </c>
      <c r="H77" s="10">
        <v>300000</v>
      </c>
      <c r="I77" s="10">
        <f t="shared" si="7"/>
        <v>4800000</v>
      </c>
      <c r="J77" s="29" t="s">
        <v>113</v>
      </c>
      <c r="K77" s="95" t="s">
        <v>188</v>
      </c>
      <c r="L77" s="88"/>
      <c r="M77" s="12">
        <f t="shared" si="8"/>
        <v>4800000</v>
      </c>
      <c r="N77" s="12">
        <v>2492300</v>
      </c>
      <c r="O77" s="12">
        <v>2307700</v>
      </c>
      <c r="P77" s="12">
        <f t="shared" si="9"/>
        <v>0</v>
      </c>
      <c r="Q77" s="12"/>
      <c r="R77" s="12"/>
      <c r="S77" s="12">
        <f t="shared" si="10"/>
        <v>0</v>
      </c>
      <c r="T77" s="12"/>
      <c r="U77" s="12"/>
      <c r="V77" s="12">
        <f t="shared" si="11"/>
        <v>0</v>
      </c>
      <c r="W77" s="12"/>
      <c r="X77" s="12"/>
      <c r="Y77" s="12">
        <f t="shared" si="12"/>
        <v>0</v>
      </c>
      <c r="Z77" s="12"/>
      <c r="AA77" s="12"/>
      <c r="AB77" s="13">
        <f t="shared" si="13"/>
        <v>0</v>
      </c>
      <c r="AC77" s="14">
        <v>46053</v>
      </c>
    </row>
    <row r="78" spans="1:29" ht="15.75" x14ac:dyDescent="0.25">
      <c r="A78" s="28">
        <v>46009</v>
      </c>
      <c r="B78" s="10" t="s">
        <v>122</v>
      </c>
      <c r="C78" s="10"/>
      <c r="D78" s="10" t="s">
        <v>32</v>
      </c>
      <c r="E78" s="10" t="s">
        <v>118</v>
      </c>
      <c r="F78" s="10">
        <v>10</v>
      </c>
      <c r="G78" s="10" t="s">
        <v>22</v>
      </c>
      <c r="H78" s="10">
        <v>400000</v>
      </c>
      <c r="I78" s="10">
        <f t="shared" si="7"/>
        <v>4000000</v>
      </c>
      <c r="J78" s="29" t="s">
        <v>113</v>
      </c>
      <c r="K78" s="95" t="s">
        <v>188</v>
      </c>
      <c r="L78" s="88"/>
      <c r="M78" s="12">
        <f t="shared" si="8"/>
        <v>4000000</v>
      </c>
      <c r="N78" s="12">
        <v>4000000</v>
      </c>
      <c r="O78" s="12"/>
      <c r="P78" s="12">
        <f t="shared" si="9"/>
        <v>0</v>
      </c>
      <c r="Q78" s="12"/>
      <c r="R78" s="12"/>
      <c r="S78" s="12">
        <f t="shared" si="10"/>
        <v>0</v>
      </c>
      <c r="T78" s="12"/>
      <c r="U78" s="12"/>
      <c r="V78" s="12">
        <f t="shared" si="11"/>
        <v>0</v>
      </c>
      <c r="W78" s="12"/>
      <c r="X78" s="12"/>
      <c r="Y78" s="12">
        <f t="shared" si="12"/>
        <v>0</v>
      </c>
      <c r="Z78" s="12"/>
      <c r="AA78" s="12"/>
      <c r="AB78" s="13">
        <f t="shared" si="13"/>
        <v>0</v>
      </c>
      <c r="AC78" s="14">
        <v>46086</v>
      </c>
    </row>
    <row r="79" spans="1:29" ht="15.75" x14ac:dyDescent="0.25">
      <c r="A79" s="28">
        <v>46009</v>
      </c>
      <c r="B79" s="10" t="s">
        <v>176</v>
      </c>
      <c r="C79" s="10"/>
      <c r="D79" s="10" t="s">
        <v>32</v>
      </c>
      <c r="E79" s="10" t="s">
        <v>175</v>
      </c>
      <c r="F79" s="10">
        <v>6000</v>
      </c>
      <c r="G79" s="10" t="s">
        <v>26</v>
      </c>
      <c r="H79" s="10">
        <v>875</v>
      </c>
      <c r="I79" s="10">
        <f t="shared" si="7"/>
        <v>5250000</v>
      </c>
      <c r="J79" s="52" t="s">
        <v>90</v>
      </c>
      <c r="K79" s="62" t="s">
        <v>190</v>
      </c>
      <c r="L79" s="62"/>
      <c r="M79" s="12">
        <f t="shared" si="8"/>
        <v>0</v>
      </c>
      <c r="N79" s="12"/>
      <c r="O79" s="12"/>
      <c r="P79" s="12">
        <f t="shared" si="9"/>
        <v>3390000</v>
      </c>
      <c r="Q79" s="12">
        <v>3390000</v>
      </c>
      <c r="R79" s="12"/>
      <c r="S79" s="12">
        <f t="shared" si="10"/>
        <v>0</v>
      </c>
      <c r="T79" s="12"/>
      <c r="U79" s="12"/>
      <c r="V79" s="12">
        <f t="shared" si="11"/>
        <v>0</v>
      </c>
      <c r="W79" s="12"/>
      <c r="X79" s="12"/>
      <c r="Y79" s="12">
        <f t="shared" si="12"/>
        <v>0</v>
      </c>
      <c r="Z79" s="12"/>
      <c r="AA79" s="12"/>
      <c r="AB79" s="13">
        <f t="shared" si="13"/>
        <v>1860000</v>
      </c>
      <c r="AC79" s="14">
        <v>46015</v>
      </c>
    </row>
    <row r="80" spans="1:29" ht="15.75" x14ac:dyDescent="0.25">
      <c r="A80" s="28">
        <v>46010</v>
      </c>
      <c r="B80" s="10" t="s">
        <v>144</v>
      </c>
      <c r="C80" s="10"/>
      <c r="D80" s="10" t="s">
        <v>32</v>
      </c>
      <c r="E80" s="10" t="s">
        <v>164</v>
      </c>
      <c r="F80" s="10">
        <v>68.400000000000006</v>
      </c>
      <c r="G80" s="10" t="s">
        <v>36</v>
      </c>
      <c r="H80" s="10">
        <v>43000</v>
      </c>
      <c r="I80" s="10">
        <f t="shared" si="7"/>
        <v>2941200.0000000005</v>
      </c>
      <c r="J80" s="52" t="s">
        <v>90</v>
      </c>
      <c r="K80" s="62" t="s">
        <v>150</v>
      </c>
      <c r="L80" s="62"/>
      <c r="M80" s="12">
        <f t="shared" si="8"/>
        <v>0</v>
      </c>
      <c r="N80" s="12"/>
      <c r="O80" s="12"/>
      <c r="P80" s="12">
        <f t="shared" si="9"/>
        <v>0</v>
      </c>
      <c r="Q80" s="12"/>
      <c r="R80" s="12"/>
      <c r="S80" s="12">
        <f t="shared" si="10"/>
        <v>0</v>
      </c>
      <c r="T80" s="12"/>
      <c r="U80" s="12"/>
      <c r="V80" s="12">
        <f t="shared" si="11"/>
        <v>0</v>
      </c>
      <c r="W80" s="12"/>
      <c r="X80" s="12"/>
      <c r="Y80" s="12">
        <f t="shared" si="12"/>
        <v>0</v>
      </c>
      <c r="Z80" s="12"/>
      <c r="AA80" s="12"/>
      <c r="AB80" s="13">
        <f t="shared" si="13"/>
        <v>2941200.0000000005</v>
      </c>
      <c r="AC80" s="14"/>
    </row>
    <row r="81" spans="1:29" ht="15.75" x14ac:dyDescent="0.25">
      <c r="A81" s="28">
        <v>46016</v>
      </c>
      <c r="B81" s="10" t="s">
        <v>124</v>
      </c>
      <c r="C81" s="10"/>
      <c r="D81" s="10" t="s">
        <v>32</v>
      </c>
      <c r="E81" s="10" t="s">
        <v>177</v>
      </c>
      <c r="F81" s="10">
        <v>2</v>
      </c>
      <c r="G81" s="10" t="s">
        <v>61</v>
      </c>
      <c r="H81" s="10">
        <v>450000</v>
      </c>
      <c r="I81" s="10">
        <f t="shared" si="7"/>
        <v>900000</v>
      </c>
      <c r="J81" s="29" t="s">
        <v>110</v>
      </c>
      <c r="K81" s="95" t="s">
        <v>159</v>
      </c>
      <c r="L81" s="87"/>
      <c r="M81" s="12">
        <f t="shared" si="8"/>
        <v>0</v>
      </c>
      <c r="N81" s="12"/>
      <c r="O81" s="12"/>
      <c r="P81" s="12">
        <f t="shared" si="9"/>
        <v>900000</v>
      </c>
      <c r="Q81" s="12"/>
      <c r="R81" s="12">
        <v>900000</v>
      </c>
      <c r="S81" s="12">
        <f t="shared" si="10"/>
        <v>0</v>
      </c>
      <c r="T81" s="12"/>
      <c r="U81" s="12"/>
      <c r="V81" s="12">
        <f t="shared" si="11"/>
        <v>0</v>
      </c>
      <c r="W81" s="12"/>
      <c r="X81" s="12"/>
      <c r="Y81" s="12">
        <f t="shared" si="12"/>
        <v>0</v>
      </c>
      <c r="Z81" s="12"/>
      <c r="AA81" s="12"/>
      <c r="AB81" s="13">
        <f t="shared" si="13"/>
        <v>0</v>
      </c>
      <c r="AC81" s="14">
        <v>46083</v>
      </c>
    </row>
    <row r="82" spans="1:29" ht="15.75" x14ac:dyDescent="0.25">
      <c r="A82" s="28">
        <v>46020</v>
      </c>
      <c r="B82" s="10" t="s">
        <v>124</v>
      </c>
      <c r="C82" s="10"/>
      <c r="D82" s="10" t="s">
        <v>32</v>
      </c>
      <c r="E82" s="10" t="s">
        <v>138</v>
      </c>
      <c r="F82" s="10">
        <v>1</v>
      </c>
      <c r="G82" s="10" t="s">
        <v>61</v>
      </c>
      <c r="H82" s="10">
        <v>300000</v>
      </c>
      <c r="I82" s="10">
        <f t="shared" si="7"/>
        <v>300000</v>
      </c>
      <c r="J82" s="29" t="s">
        <v>110</v>
      </c>
      <c r="K82" s="95" t="s">
        <v>171</v>
      </c>
      <c r="L82" s="88"/>
      <c r="M82" s="12">
        <f t="shared" si="8"/>
        <v>0</v>
      </c>
      <c r="N82" s="12"/>
      <c r="O82" s="12"/>
      <c r="P82" s="12">
        <f t="shared" si="9"/>
        <v>300000</v>
      </c>
      <c r="Q82" s="12"/>
      <c r="R82" s="12">
        <v>300000</v>
      </c>
      <c r="S82" s="12">
        <f t="shared" si="10"/>
        <v>0</v>
      </c>
      <c r="T82" s="12"/>
      <c r="U82" s="12"/>
      <c r="V82" s="12">
        <f t="shared" si="11"/>
        <v>0</v>
      </c>
      <c r="W82" s="12"/>
      <c r="X82" s="12"/>
      <c r="Y82" s="12">
        <f t="shared" si="12"/>
        <v>0</v>
      </c>
      <c r="Z82" s="12"/>
      <c r="AA82" s="12"/>
      <c r="AB82" s="13">
        <f t="shared" si="13"/>
        <v>0</v>
      </c>
      <c r="AC82" s="14">
        <v>46083</v>
      </c>
    </row>
    <row r="83" spans="1:29" ht="16.5" thickBot="1" x14ac:dyDescent="0.3">
      <c r="A83" s="30">
        <v>46020</v>
      </c>
      <c r="B83" s="31" t="s">
        <v>144</v>
      </c>
      <c r="C83" s="31"/>
      <c r="D83" s="31" t="s">
        <v>206</v>
      </c>
      <c r="E83" s="31" t="s">
        <v>164</v>
      </c>
      <c r="F83" s="31">
        <v>68.400000000000006</v>
      </c>
      <c r="G83" s="31" t="s">
        <v>36</v>
      </c>
      <c r="H83" s="31">
        <v>43000</v>
      </c>
      <c r="I83" s="31">
        <f t="shared" si="7"/>
        <v>2941200.0000000005</v>
      </c>
      <c r="J83" s="64" t="s">
        <v>90</v>
      </c>
      <c r="K83" s="89" t="s">
        <v>171</v>
      </c>
      <c r="L83" s="89"/>
      <c r="M83" s="34">
        <f t="shared" si="8"/>
        <v>0</v>
      </c>
      <c r="N83" s="34"/>
      <c r="O83" s="34"/>
      <c r="P83" s="34">
        <f t="shared" si="9"/>
        <v>0</v>
      </c>
      <c r="Q83" s="34"/>
      <c r="R83" s="34"/>
      <c r="S83" s="34">
        <f t="shared" si="10"/>
        <v>0</v>
      </c>
      <c r="T83" s="34"/>
      <c r="U83" s="34"/>
      <c r="V83" s="34">
        <f t="shared" si="11"/>
        <v>0</v>
      </c>
      <c r="W83" s="34"/>
      <c r="X83" s="34"/>
      <c r="Y83" s="34">
        <f t="shared" si="12"/>
        <v>0</v>
      </c>
      <c r="Z83" s="34"/>
      <c r="AA83" s="34"/>
      <c r="AB83" s="35">
        <f t="shared" si="13"/>
        <v>2941200.0000000005</v>
      </c>
      <c r="AC83" s="36"/>
    </row>
    <row r="84" spans="1:29" ht="15.75" x14ac:dyDescent="0.25">
      <c r="A84" s="65">
        <v>46027</v>
      </c>
      <c r="B84" s="66" t="s">
        <v>225</v>
      </c>
      <c r="C84" s="66"/>
      <c r="D84" s="66" t="s">
        <v>28</v>
      </c>
      <c r="E84" s="66" t="s">
        <v>226</v>
      </c>
      <c r="F84" s="66">
        <v>489.4</v>
      </c>
      <c r="G84" s="66" t="s">
        <v>36</v>
      </c>
      <c r="H84" s="66">
        <v>53000</v>
      </c>
      <c r="I84" s="66">
        <f t="shared" si="7"/>
        <v>25938200</v>
      </c>
      <c r="J84" s="84" t="s">
        <v>40</v>
      </c>
      <c r="K84" s="66" t="s">
        <v>171</v>
      </c>
      <c r="L84" s="66"/>
      <c r="M84" s="67">
        <f t="shared" si="8"/>
        <v>0</v>
      </c>
      <c r="N84" s="67"/>
      <c r="O84" s="67"/>
      <c r="P84" s="67">
        <f t="shared" si="9"/>
        <v>26500000</v>
      </c>
      <c r="Q84" s="67">
        <v>26500000</v>
      </c>
      <c r="R84" s="67"/>
      <c r="S84" s="67">
        <f t="shared" si="10"/>
        <v>0</v>
      </c>
      <c r="T84" s="67"/>
      <c r="U84" s="67"/>
      <c r="V84" s="67">
        <f t="shared" si="11"/>
        <v>0</v>
      </c>
      <c r="W84" s="67"/>
      <c r="X84" s="67"/>
      <c r="Y84" s="67">
        <f t="shared" si="12"/>
        <v>0</v>
      </c>
      <c r="Z84" s="67"/>
      <c r="AA84" s="67"/>
      <c r="AB84" s="68">
        <f t="shared" si="13"/>
        <v>-561800</v>
      </c>
      <c r="AC84" s="69">
        <v>46030</v>
      </c>
    </row>
    <row r="85" spans="1:29" ht="15.75" x14ac:dyDescent="0.25">
      <c r="A85" s="28">
        <v>46027</v>
      </c>
      <c r="B85" s="10" t="s">
        <v>234</v>
      </c>
      <c r="C85" s="10"/>
      <c r="D85" s="10" t="s">
        <v>32</v>
      </c>
      <c r="E85" s="10" t="s">
        <v>175</v>
      </c>
      <c r="F85" s="10">
        <v>20800</v>
      </c>
      <c r="G85" s="10" t="s">
        <v>26</v>
      </c>
      <c r="H85" s="10">
        <v>900</v>
      </c>
      <c r="I85" s="10">
        <f t="shared" si="7"/>
        <v>18720000</v>
      </c>
      <c r="J85" s="52" t="s">
        <v>30</v>
      </c>
      <c r="K85" s="88" t="s">
        <v>202</v>
      </c>
      <c r="L85" s="88"/>
      <c r="M85" s="12">
        <f t="shared" si="8"/>
        <v>0</v>
      </c>
      <c r="N85" s="12"/>
      <c r="O85" s="12"/>
      <c r="P85" s="12">
        <f t="shared" si="9"/>
        <v>0</v>
      </c>
      <c r="Q85" s="12"/>
      <c r="R85" s="12"/>
      <c r="S85" s="12">
        <f t="shared" si="10"/>
        <v>0</v>
      </c>
      <c r="T85" s="12"/>
      <c r="U85" s="12"/>
      <c r="V85" s="12">
        <f t="shared" si="11"/>
        <v>17280000</v>
      </c>
      <c r="W85" s="12">
        <v>2000000</v>
      </c>
      <c r="X85" s="12">
        <v>15280000</v>
      </c>
      <c r="Y85" s="12">
        <f t="shared" si="12"/>
        <v>0</v>
      </c>
      <c r="Z85" s="12"/>
      <c r="AA85" s="12"/>
      <c r="AB85" s="13">
        <f t="shared" si="13"/>
        <v>1440000</v>
      </c>
      <c r="AC85" s="14">
        <v>46056</v>
      </c>
    </row>
    <row r="86" spans="1:29" ht="15.75" x14ac:dyDescent="0.25">
      <c r="A86" s="28">
        <v>46028</v>
      </c>
      <c r="B86" s="10" t="s">
        <v>158</v>
      </c>
      <c r="C86" s="10"/>
      <c r="D86" s="10" t="s">
        <v>32</v>
      </c>
      <c r="E86" s="10" t="s">
        <v>104</v>
      </c>
      <c r="F86" s="10">
        <v>10400</v>
      </c>
      <c r="G86" s="10" t="s">
        <v>26</v>
      </c>
      <c r="H86" s="10">
        <v>1825</v>
      </c>
      <c r="I86" s="10">
        <f t="shared" si="7"/>
        <v>18980000</v>
      </c>
      <c r="J86" s="29" t="s">
        <v>110</v>
      </c>
      <c r="K86" s="95" t="s">
        <v>252</v>
      </c>
      <c r="L86" s="10"/>
      <c r="M86" s="12">
        <f t="shared" si="8"/>
        <v>0</v>
      </c>
      <c r="N86" s="12"/>
      <c r="O86" s="12"/>
      <c r="P86" s="12">
        <f t="shared" si="9"/>
        <v>0</v>
      </c>
      <c r="Q86" s="12"/>
      <c r="R86" s="12"/>
      <c r="S86" s="12">
        <f t="shared" si="10"/>
        <v>18980000</v>
      </c>
      <c r="T86" s="12">
        <v>1938150</v>
      </c>
      <c r="U86" s="12">
        <f>10042500+6999350</f>
        <v>17041850</v>
      </c>
      <c r="V86" s="12">
        <f t="shared" si="11"/>
        <v>0</v>
      </c>
      <c r="W86" s="12"/>
      <c r="X86" s="12"/>
      <c r="Y86" s="12">
        <f t="shared" si="12"/>
        <v>0</v>
      </c>
      <c r="Z86" s="12"/>
      <c r="AA86" s="12"/>
      <c r="AB86" s="13">
        <f t="shared" si="13"/>
        <v>0</v>
      </c>
      <c r="AC86" s="14">
        <v>46058</v>
      </c>
    </row>
    <row r="87" spans="1:29" ht="15.75" x14ac:dyDescent="0.25">
      <c r="A87" s="28">
        <v>46028</v>
      </c>
      <c r="B87" s="10" t="s">
        <v>127</v>
      </c>
      <c r="C87" s="10"/>
      <c r="D87" s="10" t="s">
        <v>32</v>
      </c>
      <c r="E87" s="10" t="s">
        <v>65</v>
      </c>
      <c r="F87" s="10">
        <v>10400</v>
      </c>
      <c r="G87" s="10" t="s">
        <v>26</v>
      </c>
      <c r="H87" s="10">
        <v>3900</v>
      </c>
      <c r="I87" s="10">
        <f t="shared" si="7"/>
        <v>40560000</v>
      </c>
      <c r="J87" s="52" t="s">
        <v>90</v>
      </c>
      <c r="K87" s="87" t="s">
        <v>251</v>
      </c>
      <c r="L87" s="87"/>
      <c r="M87" s="12">
        <f t="shared" si="8"/>
        <v>0</v>
      </c>
      <c r="N87" s="12"/>
      <c r="O87" s="12"/>
      <c r="P87" s="12">
        <f t="shared" si="9"/>
        <v>0</v>
      </c>
      <c r="Q87" s="12"/>
      <c r="R87" s="12"/>
      <c r="S87" s="12">
        <f t="shared" si="10"/>
        <v>0</v>
      </c>
      <c r="T87" s="12"/>
      <c r="U87" s="12"/>
      <c r="V87" s="12">
        <f t="shared" si="11"/>
        <v>0</v>
      </c>
      <c r="W87" s="12"/>
      <c r="X87" s="12"/>
      <c r="Y87" s="12">
        <f t="shared" si="12"/>
        <v>0</v>
      </c>
      <c r="Z87" s="12"/>
      <c r="AA87" s="12"/>
      <c r="AB87" s="13">
        <f t="shared" si="13"/>
        <v>40560000</v>
      </c>
      <c r="AC87" s="14"/>
    </row>
    <row r="88" spans="1:29" ht="15.75" x14ac:dyDescent="0.25">
      <c r="A88" s="28">
        <v>46028</v>
      </c>
      <c r="B88" s="10" t="s">
        <v>127</v>
      </c>
      <c r="C88" s="10"/>
      <c r="D88" s="10" t="s">
        <v>32</v>
      </c>
      <c r="E88" s="10" t="s">
        <v>248</v>
      </c>
      <c r="F88" s="10">
        <v>20</v>
      </c>
      <c r="G88" s="10" t="s">
        <v>36</v>
      </c>
      <c r="H88" s="10">
        <v>82000</v>
      </c>
      <c r="I88" s="10">
        <f t="shared" si="7"/>
        <v>1640000</v>
      </c>
      <c r="J88" s="29" t="s">
        <v>110</v>
      </c>
      <c r="K88" s="95" t="s">
        <v>251</v>
      </c>
      <c r="L88" s="95" t="s">
        <v>654</v>
      </c>
      <c r="M88" s="12">
        <f t="shared" si="8"/>
        <v>0</v>
      </c>
      <c r="N88" s="12"/>
      <c r="O88" s="12"/>
      <c r="P88" s="12">
        <f t="shared" si="9"/>
        <v>1640000</v>
      </c>
      <c r="Q88" s="12">
        <v>1640000</v>
      </c>
      <c r="R88" s="12"/>
      <c r="S88" s="12">
        <f t="shared" si="10"/>
        <v>0</v>
      </c>
      <c r="T88" s="12"/>
      <c r="U88" s="12"/>
      <c r="V88" s="12">
        <f t="shared" si="11"/>
        <v>0</v>
      </c>
      <c r="W88" s="12"/>
      <c r="X88" s="12"/>
      <c r="Y88" s="12">
        <f t="shared" si="12"/>
        <v>0</v>
      </c>
      <c r="Z88" s="12"/>
      <c r="AA88" s="12"/>
      <c r="AB88" s="13">
        <f t="shared" si="13"/>
        <v>0</v>
      </c>
      <c r="AC88" s="14">
        <v>46099</v>
      </c>
    </row>
    <row r="89" spans="1:29" ht="15.75" x14ac:dyDescent="0.25">
      <c r="A89" s="28">
        <v>46029</v>
      </c>
      <c r="B89" s="10" t="s">
        <v>122</v>
      </c>
      <c r="C89" s="10"/>
      <c r="D89" s="10" t="s">
        <v>32</v>
      </c>
      <c r="E89" s="10" t="s">
        <v>65</v>
      </c>
      <c r="F89" s="10">
        <v>20800</v>
      </c>
      <c r="G89" s="10" t="s">
        <v>26</v>
      </c>
      <c r="H89" s="10">
        <v>3800</v>
      </c>
      <c r="I89" s="10">
        <f t="shared" si="7"/>
        <v>79040000</v>
      </c>
      <c r="J89" s="52" t="s">
        <v>90</v>
      </c>
      <c r="K89" s="88" t="s">
        <v>252</v>
      </c>
      <c r="L89" s="10"/>
      <c r="M89" s="12">
        <f t="shared" si="8"/>
        <v>0</v>
      </c>
      <c r="N89" s="12"/>
      <c r="O89" s="12"/>
      <c r="P89" s="12">
        <f t="shared" si="9"/>
        <v>0</v>
      </c>
      <c r="Q89" s="12"/>
      <c r="R89" s="12"/>
      <c r="S89" s="12">
        <f t="shared" si="10"/>
        <v>0</v>
      </c>
      <c r="T89" s="12"/>
      <c r="U89" s="12"/>
      <c r="V89" s="12">
        <f t="shared" si="11"/>
        <v>0</v>
      </c>
      <c r="W89" s="12"/>
      <c r="X89" s="12"/>
      <c r="Y89" s="12">
        <f t="shared" si="12"/>
        <v>0</v>
      </c>
      <c r="Z89" s="12"/>
      <c r="AA89" s="12"/>
      <c r="AB89" s="13">
        <f t="shared" si="13"/>
        <v>79040000</v>
      </c>
      <c r="AC89" s="14"/>
    </row>
    <row r="90" spans="1:29" ht="15.75" x14ac:dyDescent="0.25">
      <c r="A90" s="28">
        <v>46029</v>
      </c>
      <c r="B90" s="10" t="s">
        <v>122</v>
      </c>
      <c r="C90" s="10"/>
      <c r="D90" s="10" t="s">
        <v>32</v>
      </c>
      <c r="E90" s="10" t="s">
        <v>130</v>
      </c>
      <c r="F90" s="10">
        <v>40</v>
      </c>
      <c r="G90" s="10" t="s">
        <v>67</v>
      </c>
      <c r="H90" s="10">
        <v>50000</v>
      </c>
      <c r="I90" s="10">
        <f t="shared" si="7"/>
        <v>2000000</v>
      </c>
      <c r="J90" s="52" t="s">
        <v>90</v>
      </c>
      <c r="K90" s="88" t="s">
        <v>252</v>
      </c>
      <c r="L90" s="10"/>
      <c r="M90" s="12">
        <f t="shared" si="8"/>
        <v>0</v>
      </c>
      <c r="N90" s="12"/>
      <c r="O90" s="12"/>
      <c r="P90" s="12">
        <f t="shared" si="9"/>
        <v>0</v>
      </c>
      <c r="Q90" s="12"/>
      <c r="R90" s="12"/>
      <c r="S90" s="12">
        <f t="shared" si="10"/>
        <v>0</v>
      </c>
      <c r="T90" s="12"/>
      <c r="U90" s="12"/>
      <c r="V90" s="12">
        <f t="shared" si="11"/>
        <v>0</v>
      </c>
      <c r="W90" s="12"/>
      <c r="X90" s="12"/>
      <c r="Y90" s="12">
        <f t="shared" si="12"/>
        <v>0</v>
      </c>
      <c r="Z90" s="12"/>
      <c r="AA90" s="12"/>
      <c r="AB90" s="13">
        <f t="shared" si="13"/>
        <v>2000000</v>
      </c>
      <c r="AC90" s="14"/>
    </row>
    <row r="91" spans="1:29" ht="15.75" x14ac:dyDescent="0.25">
      <c r="A91" s="28">
        <v>46030</v>
      </c>
      <c r="B91" s="10" t="s">
        <v>53</v>
      </c>
      <c r="C91" s="10"/>
      <c r="D91" s="10" t="s">
        <v>32</v>
      </c>
      <c r="E91" s="10" t="s">
        <v>244</v>
      </c>
      <c r="F91" s="60">
        <v>10</v>
      </c>
      <c r="G91" s="10" t="s">
        <v>22</v>
      </c>
      <c r="H91" s="60">
        <v>400000</v>
      </c>
      <c r="I91" s="10">
        <f t="shared" si="7"/>
        <v>4000000</v>
      </c>
      <c r="J91" s="29" t="s">
        <v>110</v>
      </c>
      <c r="K91" s="60" t="s">
        <v>188</v>
      </c>
      <c r="L91" s="73"/>
      <c r="M91" s="12">
        <f t="shared" si="8"/>
        <v>0</v>
      </c>
      <c r="N91" s="12"/>
      <c r="O91" s="12"/>
      <c r="P91" s="12">
        <f t="shared" si="9"/>
        <v>4000000</v>
      </c>
      <c r="Q91" s="12"/>
      <c r="R91" s="12">
        <v>4000000</v>
      </c>
      <c r="S91" s="12">
        <f t="shared" si="10"/>
        <v>0</v>
      </c>
      <c r="T91" s="12"/>
      <c r="U91" s="12"/>
      <c r="V91" s="12">
        <f t="shared" si="11"/>
        <v>0</v>
      </c>
      <c r="W91" s="12"/>
      <c r="X91" s="12"/>
      <c r="Y91" s="12">
        <f t="shared" si="12"/>
        <v>0</v>
      </c>
      <c r="Z91" s="12"/>
      <c r="AA91" s="12"/>
      <c r="AB91" s="13">
        <f t="shared" si="13"/>
        <v>0</v>
      </c>
      <c r="AC91" s="14">
        <v>46085</v>
      </c>
    </row>
    <row r="92" spans="1:29" ht="15.75" x14ac:dyDescent="0.25">
      <c r="A92" s="28">
        <v>46030</v>
      </c>
      <c r="B92" s="10" t="s">
        <v>53</v>
      </c>
      <c r="C92" s="10"/>
      <c r="D92" s="10" t="s">
        <v>32</v>
      </c>
      <c r="E92" s="10" t="s">
        <v>160</v>
      </c>
      <c r="F92" s="60">
        <v>10</v>
      </c>
      <c r="G92" s="10" t="s">
        <v>22</v>
      </c>
      <c r="H92" s="60">
        <v>400000</v>
      </c>
      <c r="I92" s="10">
        <f t="shared" si="7"/>
        <v>4000000</v>
      </c>
      <c r="J92" s="29" t="s">
        <v>110</v>
      </c>
      <c r="K92" s="60" t="s">
        <v>188</v>
      </c>
      <c r="L92" s="73"/>
      <c r="M92" s="12">
        <f t="shared" si="8"/>
        <v>0</v>
      </c>
      <c r="N92" s="12"/>
      <c r="O92" s="12"/>
      <c r="P92" s="12">
        <f t="shared" si="9"/>
        <v>4000000</v>
      </c>
      <c r="Q92" s="12"/>
      <c r="R92" s="12">
        <v>4000000</v>
      </c>
      <c r="S92" s="12">
        <f t="shared" si="10"/>
        <v>0</v>
      </c>
      <c r="T92" s="12"/>
      <c r="U92" s="12"/>
      <c r="V92" s="12">
        <f t="shared" si="11"/>
        <v>0</v>
      </c>
      <c r="W92" s="12"/>
      <c r="X92" s="12"/>
      <c r="Y92" s="12">
        <f t="shared" si="12"/>
        <v>0</v>
      </c>
      <c r="Z92" s="12"/>
      <c r="AA92" s="12"/>
      <c r="AB92" s="13">
        <f t="shared" si="13"/>
        <v>0</v>
      </c>
      <c r="AC92" s="14">
        <v>46085</v>
      </c>
    </row>
    <row r="93" spans="1:29" ht="15.75" x14ac:dyDescent="0.25">
      <c r="A93" s="28">
        <v>46030</v>
      </c>
      <c r="B93" s="10" t="s">
        <v>53</v>
      </c>
      <c r="C93" s="10"/>
      <c r="D93" s="10" t="s">
        <v>32</v>
      </c>
      <c r="E93" s="10" t="s">
        <v>226</v>
      </c>
      <c r="F93" s="60">
        <v>353.5</v>
      </c>
      <c r="G93" s="10" t="s">
        <v>36</v>
      </c>
      <c r="H93" s="60">
        <v>43000</v>
      </c>
      <c r="I93" s="10">
        <f t="shared" si="7"/>
        <v>15200500</v>
      </c>
      <c r="J93" s="29" t="s">
        <v>110</v>
      </c>
      <c r="K93" s="60" t="s">
        <v>188</v>
      </c>
      <c r="L93" s="73"/>
      <c r="M93" s="12">
        <f t="shared" si="8"/>
        <v>0</v>
      </c>
      <c r="N93" s="12"/>
      <c r="O93" s="12"/>
      <c r="P93" s="12">
        <f t="shared" si="9"/>
        <v>15200500</v>
      </c>
      <c r="Q93" s="12">
        <v>11777400</v>
      </c>
      <c r="R93" s="12">
        <v>3423100</v>
      </c>
      <c r="S93" s="12">
        <f t="shared" si="10"/>
        <v>0</v>
      </c>
      <c r="T93" s="12"/>
      <c r="U93" s="12"/>
      <c r="V93" s="12">
        <f t="shared" si="11"/>
        <v>0</v>
      </c>
      <c r="W93" s="12"/>
      <c r="X93" s="12"/>
      <c r="Y93" s="12">
        <f t="shared" si="12"/>
        <v>0</v>
      </c>
      <c r="Z93" s="12"/>
      <c r="AA93" s="12"/>
      <c r="AB93" s="13">
        <f t="shared" si="13"/>
        <v>0</v>
      </c>
      <c r="AC93" s="14">
        <v>46085</v>
      </c>
    </row>
    <row r="94" spans="1:29" ht="15.75" x14ac:dyDescent="0.25">
      <c r="A94" s="28">
        <v>46030</v>
      </c>
      <c r="B94" s="10" t="s">
        <v>273</v>
      </c>
      <c r="C94" s="10"/>
      <c r="D94" s="10"/>
      <c r="E94" s="10" t="s">
        <v>119</v>
      </c>
      <c r="F94" s="10">
        <v>25</v>
      </c>
      <c r="G94" s="10" t="s">
        <v>36</v>
      </c>
      <c r="H94" s="10">
        <v>105000</v>
      </c>
      <c r="I94" s="10">
        <f t="shared" si="7"/>
        <v>2625000</v>
      </c>
      <c r="J94" s="115" t="s">
        <v>90</v>
      </c>
      <c r="K94" s="60"/>
      <c r="L94" s="60"/>
      <c r="M94" s="12">
        <f t="shared" si="8"/>
        <v>0</v>
      </c>
      <c r="N94" s="12"/>
      <c r="O94" s="12"/>
      <c r="P94" s="12">
        <f t="shared" si="9"/>
        <v>0</v>
      </c>
      <c r="Q94" s="12"/>
      <c r="R94" s="12"/>
      <c r="S94" s="12">
        <f t="shared" si="10"/>
        <v>0</v>
      </c>
      <c r="T94" s="12"/>
      <c r="U94" s="12"/>
      <c r="V94" s="12">
        <f t="shared" si="11"/>
        <v>0</v>
      </c>
      <c r="W94" s="12"/>
      <c r="X94" s="12"/>
      <c r="Y94" s="12">
        <f t="shared" si="12"/>
        <v>0</v>
      </c>
      <c r="Z94" s="12"/>
      <c r="AA94" s="12"/>
      <c r="AB94" s="13">
        <f t="shared" si="13"/>
        <v>2625000</v>
      </c>
      <c r="AC94" s="14"/>
    </row>
    <row r="95" spans="1:29" ht="15.75" x14ac:dyDescent="0.25">
      <c r="A95" s="28">
        <v>46034</v>
      </c>
      <c r="B95" s="10" t="s">
        <v>299</v>
      </c>
      <c r="C95" s="10"/>
      <c r="D95" s="10" t="s">
        <v>195</v>
      </c>
      <c r="E95" s="10" t="s">
        <v>205</v>
      </c>
      <c r="F95" s="10">
        <v>25</v>
      </c>
      <c r="G95" s="10" t="s">
        <v>36</v>
      </c>
      <c r="H95" s="10">
        <v>70000</v>
      </c>
      <c r="I95" s="10">
        <f t="shared" si="7"/>
        <v>1750000</v>
      </c>
      <c r="J95" s="52" t="s">
        <v>90</v>
      </c>
      <c r="K95" s="87" t="s">
        <v>241</v>
      </c>
      <c r="L95" s="87"/>
      <c r="M95" s="12">
        <f t="shared" si="8"/>
        <v>0</v>
      </c>
      <c r="N95" s="12"/>
      <c r="O95" s="12"/>
      <c r="P95" s="12">
        <f t="shared" si="9"/>
        <v>0</v>
      </c>
      <c r="Q95" s="12"/>
      <c r="R95" s="12"/>
      <c r="S95" s="12">
        <f t="shared" si="10"/>
        <v>0</v>
      </c>
      <c r="T95" s="12"/>
      <c r="U95" s="12"/>
      <c r="V95" s="12">
        <f t="shared" si="11"/>
        <v>0</v>
      </c>
      <c r="W95" s="12"/>
      <c r="X95" s="12"/>
      <c r="Y95" s="12">
        <f t="shared" si="12"/>
        <v>0</v>
      </c>
      <c r="Z95" s="12"/>
      <c r="AA95" s="12"/>
      <c r="AB95" s="13">
        <f t="shared" si="13"/>
        <v>1750000</v>
      </c>
      <c r="AC95" s="14"/>
    </row>
    <row r="96" spans="1:29" ht="15.75" x14ac:dyDescent="0.25">
      <c r="A96" s="28">
        <v>46035</v>
      </c>
      <c r="B96" s="10" t="s">
        <v>64</v>
      </c>
      <c r="C96" s="10"/>
      <c r="D96" s="10" t="s">
        <v>32</v>
      </c>
      <c r="E96" s="10" t="s">
        <v>129</v>
      </c>
      <c r="F96" s="10">
        <v>5200</v>
      </c>
      <c r="G96" s="10" t="s">
        <v>26</v>
      </c>
      <c r="H96" s="10">
        <v>3700</v>
      </c>
      <c r="I96" s="10">
        <f t="shared" si="7"/>
        <v>19240000</v>
      </c>
      <c r="J96" s="29" t="s">
        <v>110</v>
      </c>
      <c r="K96" s="95" t="s">
        <v>311</v>
      </c>
      <c r="L96" s="10" t="s">
        <v>645</v>
      </c>
      <c r="M96" s="12">
        <f t="shared" si="8"/>
        <v>0</v>
      </c>
      <c r="N96" s="12"/>
      <c r="O96" s="12"/>
      <c r="P96" s="12">
        <f t="shared" si="9"/>
        <v>19240000</v>
      </c>
      <c r="Q96" s="12">
        <v>9240000</v>
      </c>
      <c r="R96" s="12">
        <v>10000000</v>
      </c>
      <c r="S96" s="12">
        <f t="shared" si="10"/>
        <v>0</v>
      </c>
      <c r="T96" s="12"/>
      <c r="U96" s="12"/>
      <c r="V96" s="12">
        <f t="shared" si="11"/>
        <v>0</v>
      </c>
      <c r="W96" s="12"/>
      <c r="X96" s="12"/>
      <c r="Y96" s="12">
        <f t="shared" si="12"/>
        <v>0</v>
      </c>
      <c r="Z96" s="12"/>
      <c r="AA96" s="12"/>
      <c r="AB96" s="13">
        <f t="shared" si="13"/>
        <v>0</v>
      </c>
      <c r="AC96" s="14">
        <v>46072</v>
      </c>
    </row>
    <row r="97" spans="1:29" ht="15.75" x14ac:dyDescent="0.25">
      <c r="A97" s="28">
        <v>46035</v>
      </c>
      <c r="B97" s="10" t="s">
        <v>283</v>
      </c>
      <c r="C97" s="10"/>
      <c r="D97" s="10" t="s">
        <v>32</v>
      </c>
      <c r="E97" s="10" t="s">
        <v>116</v>
      </c>
      <c r="F97" s="10">
        <v>8</v>
      </c>
      <c r="G97" s="10" t="s">
        <v>67</v>
      </c>
      <c r="H97" s="10">
        <v>60000</v>
      </c>
      <c r="I97" s="10">
        <f t="shared" si="7"/>
        <v>480000</v>
      </c>
      <c r="J97" s="52" t="s">
        <v>90</v>
      </c>
      <c r="K97" s="87" t="s">
        <v>241</v>
      </c>
      <c r="L97" s="87"/>
      <c r="M97" s="12">
        <f t="shared" si="8"/>
        <v>0</v>
      </c>
      <c r="N97" s="12"/>
      <c r="O97" s="12"/>
      <c r="P97" s="12">
        <f t="shared" si="9"/>
        <v>0</v>
      </c>
      <c r="Q97" s="12"/>
      <c r="R97" s="12"/>
      <c r="S97" s="12">
        <f t="shared" si="10"/>
        <v>0</v>
      </c>
      <c r="T97" s="12"/>
      <c r="U97" s="12"/>
      <c r="V97" s="12">
        <f t="shared" si="11"/>
        <v>0</v>
      </c>
      <c r="W97" s="12"/>
      <c r="X97" s="12"/>
      <c r="Y97" s="12">
        <f t="shared" si="12"/>
        <v>0</v>
      </c>
      <c r="Z97" s="12"/>
      <c r="AA97" s="12"/>
      <c r="AB97" s="13">
        <f t="shared" si="13"/>
        <v>480000</v>
      </c>
      <c r="AC97" s="14"/>
    </row>
    <row r="98" spans="1:29" ht="15.75" x14ac:dyDescent="0.25">
      <c r="A98" s="28">
        <v>46037</v>
      </c>
      <c r="B98" s="10" t="s">
        <v>56</v>
      </c>
      <c r="C98" s="10"/>
      <c r="D98" s="10" t="s">
        <v>28</v>
      </c>
      <c r="E98" s="10" t="s">
        <v>116</v>
      </c>
      <c r="F98" s="10">
        <v>12</v>
      </c>
      <c r="G98" s="96" t="s">
        <v>67</v>
      </c>
      <c r="H98" s="10">
        <v>65000</v>
      </c>
      <c r="I98" s="10">
        <f t="shared" si="7"/>
        <v>780000</v>
      </c>
      <c r="J98" s="52" t="s">
        <v>90</v>
      </c>
      <c r="K98" s="109" t="s">
        <v>288</v>
      </c>
      <c r="L98" s="109"/>
      <c r="M98" s="12">
        <f t="shared" si="8"/>
        <v>0</v>
      </c>
      <c r="N98" s="12"/>
      <c r="O98" s="12"/>
      <c r="P98" s="12">
        <f t="shared" si="9"/>
        <v>407600</v>
      </c>
      <c r="Q98" s="12"/>
      <c r="R98" s="12">
        <v>407600</v>
      </c>
      <c r="S98" s="12">
        <f t="shared" si="10"/>
        <v>0</v>
      </c>
      <c r="T98" s="12"/>
      <c r="U98" s="12"/>
      <c r="V98" s="12">
        <f t="shared" si="11"/>
        <v>0</v>
      </c>
      <c r="W98" s="12"/>
      <c r="X98" s="12"/>
      <c r="Y98" s="12">
        <f t="shared" si="12"/>
        <v>0</v>
      </c>
      <c r="Z98" s="12"/>
      <c r="AA98" s="12"/>
      <c r="AB98" s="13">
        <f t="shared" si="13"/>
        <v>372400</v>
      </c>
      <c r="AC98" s="14">
        <v>46079</v>
      </c>
    </row>
    <row r="99" spans="1:29" ht="15.75" x14ac:dyDescent="0.25">
      <c r="A99" s="28">
        <v>46038</v>
      </c>
      <c r="B99" s="10" t="s">
        <v>172</v>
      </c>
      <c r="C99" s="10"/>
      <c r="D99" s="10" t="s">
        <v>383</v>
      </c>
      <c r="E99" s="10" t="s">
        <v>186</v>
      </c>
      <c r="F99" s="10">
        <v>8</v>
      </c>
      <c r="G99" s="10" t="s">
        <v>22</v>
      </c>
      <c r="H99" s="10">
        <v>1200000</v>
      </c>
      <c r="I99" s="10">
        <f t="shared" si="7"/>
        <v>9600000</v>
      </c>
      <c r="J99" s="52" t="s">
        <v>90</v>
      </c>
      <c r="K99" s="87" t="s">
        <v>251</v>
      </c>
      <c r="L99" s="87"/>
      <c r="M99" s="12">
        <f t="shared" si="8"/>
        <v>0</v>
      </c>
      <c r="N99" s="12"/>
      <c r="O99" s="12"/>
      <c r="P99" s="12">
        <f t="shared" si="9"/>
        <v>0</v>
      </c>
      <c r="Q99" s="12"/>
      <c r="R99" s="12"/>
      <c r="S99" s="12">
        <f t="shared" si="10"/>
        <v>0</v>
      </c>
      <c r="T99" s="12"/>
      <c r="U99" s="12"/>
      <c r="V99" s="12">
        <f t="shared" si="11"/>
        <v>0</v>
      </c>
      <c r="W99" s="12"/>
      <c r="X99" s="12"/>
      <c r="Y99" s="12">
        <f t="shared" si="12"/>
        <v>0</v>
      </c>
      <c r="Z99" s="12"/>
      <c r="AA99" s="12"/>
      <c r="AB99" s="13">
        <f t="shared" si="13"/>
        <v>9600000</v>
      </c>
      <c r="AC99" s="14"/>
    </row>
    <row r="100" spans="1:29" ht="15.75" x14ac:dyDescent="0.25">
      <c r="A100" s="28">
        <v>46038</v>
      </c>
      <c r="B100" s="10" t="s">
        <v>101</v>
      </c>
      <c r="C100" s="10"/>
      <c r="D100" s="10" t="s">
        <v>383</v>
      </c>
      <c r="E100" s="10" t="s">
        <v>118</v>
      </c>
      <c r="F100" s="10">
        <v>10</v>
      </c>
      <c r="G100" s="10" t="s">
        <v>22</v>
      </c>
      <c r="H100" s="10">
        <v>400000</v>
      </c>
      <c r="I100" s="10">
        <f t="shared" si="7"/>
        <v>4000000</v>
      </c>
      <c r="J100" s="29" t="s">
        <v>110</v>
      </c>
      <c r="K100" s="95" t="s">
        <v>251</v>
      </c>
      <c r="L100" s="87"/>
      <c r="M100" s="12">
        <f t="shared" si="8"/>
        <v>0</v>
      </c>
      <c r="N100" s="12"/>
      <c r="O100" s="12"/>
      <c r="P100" s="12">
        <f t="shared" si="9"/>
        <v>4000000</v>
      </c>
      <c r="Q100" s="12">
        <v>2023600</v>
      </c>
      <c r="R100" s="12">
        <v>1976400</v>
      </c>
      <c r="S100" s="12">
        <f t="shared" si="10"/>
        <v>0</v>
      </c>
      <c r="T100" s="12"/>
      <c r="U100" s="12"/>
      <c r="V100" s="12">
        <f t="shared" si="11"/>
        <v>0</v>
      </c>
      <c r="W100" s="12"/>
      <c r="X100" s="12"/>
      <c r="Y100" s="12">
        <f t="shared" si="12"/>
        <v>0</v>
      </c>
      <c r="Z100" s="12"/>
      <c r="AA100" s="12"/>
      <c r="AB100" s="13">
        <f t="shared" si="13"/>
        <v>0</v>
      </c>
      <c r="AC100" s="14">
        <v>46077</v>
      </c>
    </row>
    <row r="101" spans="1:29" ht="15.75" x14ac:dyDescent="0.25">
      <c r="A101" s="28">
        <v>46038</v>
      </c>
      <c r="B101" s="10" t="s">
        <v>101</v>
      </c>
      <c r="C101" s="10"/>
      <c r="D101" s="10" t="s">
        <v>383</v>
      </c>
      <c r="E101" s="10" t="s">
        <v>92</v>
      </c>
      <c r="F101" s="10">
        <v>34.5</v>
      </c>
      <c r="G101" s="10" t="s">
        <v>36</v>
      </c>
      <c r="H101" s="10">
        <v>43000</v>
      </c>
      <c r="I101" s="10">
        <f t="shared" si="7"/>
        <v>1483500</v>
      </c>
      <c r="J101" s="29" t="s">
        <v>110</v>
      </c>
      <c r="K101" s="95" t="s">
        <v>251</v>
      </c>
      <c r="L101" s="87"/>
      <c r="M101" s="12">
        <f t="shared" si="8"/>
        <v>0</v>
      </c>
      <c r="N101" s="12"/>
      <c r="O101" s="12"/>
      <c r="P101" s="12">
        <f t="shared" si="9"/>
        <v>1483500</v>
      </c>
      <c r="Q101" s="12">
        <v>1483500</v>
      </c>
      <c r="R101" s="12"/>
      <c r="S101" s="12">
        <f t="shared" si="10"/>
        <v>0</v>
      </c>
      <c r="T101" s="12"/>
      <c r="U101" s="12"/>
      <c r="V101" s="12">
        <f t="shared" si="11"/>
        <v>0</v>
      </c>
      <c r="W101" s="12"/>
      <c r="X101" s="12"/>
      <c r="Y101" s="12">
        <f t="shared" si="12"/>
        <v>0</v>
      </c>
      <c r="Z101" s="12"/>
      <c r="AA101" s="12"/>
      <c r="AB101" s="13">
        <f t="shared" si="13"/>
        <v>0</v>
      </c>
      <c r="AC101" s="14">
        <v>46086</v>
      </c>
    </row>
    <row r="102" spans="1:29" ht="15.75" x14ac:dyDescent="0.25">
      <c r="A102" s="28">
        <v>46039</v>
      </c>
      <c r="B102" s="10" t="s">
        <v>272</v>
      </c>
      <c r="C102" s="10"/>
      <c r="D102" s="10"/>
      <c r="E102" s="10" t="s">
        <v>168</v>
      </c>
      <c r="F102" s="10">
        <v>158.1</v>
      </c>
      <c r="G102" s="10" t="s">
        <v>36</v>
      </c>
      <c r="H102" s="10">
        <v>43000</v>
      </c>
      <c r="I102" s="10">
        <f t="shared" si="7"/>
        <v>6798300</v>
      </c>
      <c r="J102" s="115" t="s">
        <v>90</v>
      </c>
      <c r="K102" s="10"/>
      <c r="L102" s="10"/>
      <c r="M102" s="12">
        <f t="shared" si="8"/>
        <v>0</v>
      </c>
      <c r="N102" s="12"/>
      <c r="O102" s="12"/>
      <c r="P102" s="12">
        <f t="shared" si="9"/>
        <v>3622900</v>
      </c>
      <c r="Q102" s="12">
        <v>3622900</v>
      </c>
      <c r="R102" s="12"/>
      <c r="S102" s="12">
        <f t="shared" si="10"/>
        <v>0</v>
      </c>
      <c r="T102" s="12"/>
      <c r="U102" s="12"/>
      <c r="V102" s="12">
        <f t="shared" si="11"/>
        <v>0</v>
      </c>
      <c r="W102" s="12"/>
      <c r="X102" s="12"/>
      <c r="Y102" s="12">
        <f t="shared" si="12"/>
        <v>0</v>
      </c>
      <c r="Z102" s="12"/>
      <c r="AA102" s="12"/>
      <c r="AB102" s="13">
        <f t="shared" si="13"/>
        <v>3175400</v>
      </c>
      <c r="AC102" s="14">
        <v>46066</v>
      </c>
    </row>
    <row r="103" spans="1:29" ht="15.75" x14ac:dyDescent="0.25">
      <c r="A103" s="28">
        <v>46039</v>
      </c>
      <c r="B103" s="10" t="s">
        <v>272</v>
      </c>
      <c r="C103" s="10"/>
      <c r="D103" s="10"/>
      <c r="E103" s="10" t="s">
        <v>136</v>
      </c>
      <c r="F103" s="10">
        <v>96.4</v>
      </c>
      <c r="G103" s="10" t="s">
        <v>36</v>
      </c>
      <c r="H103" s="10">
        <v>43000</v>
      </c>
      <c r="I103" s="10">
        <f t="shared" si="7"/>
        <v>4145200.0000000005</v>
      </c>
      <c r="J103" s="115" t="s">
        <v>90</v>
      </c>
      <c r="K103" s="10"/>
      <c r="L103" s="10"/>
      <c r="M103" s="12">
        <f t="shared" si="8"/>
        <v>0</v>
      </c>
      <c r="N103" s="12"/>
      <c r="O103" s="12"/>
      <c r="P103" s="12">
        <f t="shared" si="9"/>
        <v>0</v>
      </c>
      <c r="Q103" s="12"/>
      <c r="R103" s="12"/>
      <c r="S103" s="12">
        <f t="shared" si="10"/>
        <v>0</v>
      </c>
      <c r="T103" s="12"/>
      <c r="U103" s="12"/>
      <c r="V103" s="12">
        <f t="shared" si="11"/>
        <v>0</v>
      </c>
      <c r="W103" s="12"/>
      <c r="X103" s="12"/>
      <c r="Y103" s="12">
        <f t="shared" si="12"/>
        <v>0</v>
      </c>
      <c r="Z103" s="12"/>
      <c r="AA103" s="12"/>
      <c r="AB103" s="13">
        <f t="shared" si="13"/>
        <v>4145200.0000000005</v>
      </c>
      <c r="AC103" s="14"/>
    </row>
    <row r="104" spans="1:29" ht="15.75" x14ac:dyDescent="0.25">
      <c r="A104" s="28">
        <v>46039</v>
      </c>
      <c r="B104" s="10" t="s">
        <v>272</v>
      </c>
      <c r="C104" s="10"/>
      <c r="D104" s="10"/>
      <c r="E104" s="10" t="s">
        <v>164</v>
      </c>
      <c r="F104" s="10">
        <v>49.7</v>
      </c>
      <c r="G104" s="10" t="s">
        <v>36</v>
      </c>
      <c r="H104" s="10">
        <v>43000</v>
      </c>
      <c r="I104" s="10">
        <f t="shared" si="7"/>
        <v>2137100</v>
      </c>
      <c r="J104" s="115" t="s">
        <v>90</v>
      </c>
      <c r="K104" s="10"/>
      <c r="L104" s="10"/>
      <c r="M104" s="12">
        <f t="shared" si="8"/>
        <v>0</v>
      </c>
      <c r="N104" s="12"/>
      <c r="O104" s="12"/>
      <c r="P104" s="12">
        <f t="shared" si="9"/>
        <v>0</v>
      </c>
      <c r="Q104" s="12"/>
      <c r="R104" s="12"/>
      <c r="S104" s="12">
        <f t="shared" si="10"/>
        <v>0</v>
      </c>
      <c r="T104" s="12"/>
      <c r="U104" s="12"/>
      <c r="V104" s="12">
        <f t="shared" si="11"/>
        <v>0</v>
      </c>
      <c r="W104" s="12"/>
      <c r="X104" s="12"/>
      <c r="Y104" s="12">
        <f t="shared" si="12"/>
        <v>0</v>
      </c>
      <c r="Z104" s="12"/>
      <c r="AA104" s="12"/>
      <c r="AB104" s="13">
        <f t="shared" si="13"/>
        <v>2137100</v>
      </c>
      <c r="AC104" s="14"/>
    </row>
    <row r="105" spans="1:29" ht="15.75" x14ac:dyDescent="0.25">
      <c r="A105" s="28">
        <v>46039</v>
      </c>
      <c r="B105" s="10" t="s">
        <v>272</v>
      </c>
      <c r="C105" s="10"/>
      <c r="D105" s="10"/>
      <c r="E105" s="10" t="s">
        <v>304</v>
      </c>
      <c r="F105" s="10">
        <v>34.700000000000003</v>
      </c>
      <c r="G105" s="10" t="s">
        <v>36</v>
      </c>
      <c r="H105" s="10">
        <v>90000</v>
      </c>
      <c r="I105" s="10">
        <f t="shared" si="7"/>
        <v>3123000.0000000005</v>
      </c>
      <c r="J105" s="115" t="s">
        <v>90</v>
      </c>
      <c r="K105" s="10"/>
      <c r="L105" s="10"/>
      <c r="M105" s="12">
        <f t="shared" si="8"/>
        <v>0</v>
      </c>
      <c r="N105" s="12"/>
      <c r="O105" s="12"/>
      <c r="P105" s="12">
        <f t="shared" si="9"/>
        <v>0</v>
      </c>
      <c r="Q105" s="12"/>
      <c r="R105" s="12"/>
      <c r="S105" s="12">
        <f t="shared" si="10"/>
        <v>0</v>
      </c>
      <c r="T105" s="12"/>
      <c r="U105" s="12"/>
      <c r="V105" s="12">
        <f t="shared" si="11"/>
        <v>0</v>
      </c>
      <c r="W105" s="12"/>
      <c r="X105" s="12"/>
      <c r="Y105" s="12">
        <f t="shared" si="12"/>
        <v>0</v>
      </c>
      <c r="Z105" s="12"/>
      <c r="AA105" s="12"/>
      <c r="AB105" s="13">
        <f t="shared" si="13"/>
        <v>3123000.0000000005</v>
      </c>
      <c r="AC105" s="14"/>
    </row>
    <row r="106" spans="1:29" ht="15.75" x14ac:dyDescent="0.25">
      <c r="A106" s="28">
        <v>46039</v>
      </c>
      <c r="B106" s="10" t="s">
        <v>272</v>
      </c>
      <c r="C106" s="10"/>
      <c r="D106" s="10"/>
      <c r="E106" s="10" t="s">
        <v>139</v>
      </c>
      <c r="F106" s="10">
        <v>19.600000000000001</v>
      </c>
      <c r="G106" s="10" t="s">
        <v>36</v>
      </c>
      <c r="H106" s="10">
        <v>43000</v>
      </c>
      <c r="I106" s="10">
        <f t="shared" si="7"/>
        <v>842800.00000000012</v>
      </c>
      <c r="J106" s="115" t="s">
        <v>90</v>
      </c>
      <c r="K106" s="10"/>
      <c r="L106" s="10"/>
      <c r="M106" s="12">
        <f t="shared" si="8"/>
        <v>0</v>
      </c>
      <c r="N106" s="12"/>
      <c r="O106" s="12"/>
      <c r="P106" s="12">
        <f t="shared" si="9"/>
        <v>0</v>
      </c>
      <c r="Q106" s="12"/>
      <c r="R106" s="12"/>
      <c r="S106" s="12">
        <f t="shared" si="10"/>
        <v>0</v>
      </c>
      <c r="T106" s="12"/>
      <c r="U106" s="12"/>
      <c r="V106" s="12">
        <f t="shared" si="11"/>
        <v>0</v>
      </c>
      <c r="W106" s="12"/>
      <c r="X106" s="12"/>
      <c r="Y106" s="12">
        <f t="shared" si="12"/>
        <v>0</v>
      </c>
      <c r="Z106" s="12"/>
      <c r="AA106" s="12"/>
      <c r="AB106" s="13">
        <f t="shared" si="13"/>
        <v>842800.00000000012</v>
      </c>
      <c r="AC106" s="14"/>
    </row>
    <row r="107" spans="1:29" ht="15.75" x14ac:dyDescent="0.25">
      <c r="A107" s="28">
        <v>46039</v>
      </c>
      <c r="B107" s="10" t="s">
        <v>272</v>
      </c>
      <c r="C107" s="10"/>
      <c r="D107" s="10"/>
      <c r="E107" s="10" t="s">
        <v>307</v>
      </c>
      <c r="F107" s="10">
        <v>138.19999999999999</v>
      </c>
      <c r="G107" s="10" t="s">
        <v>36</v>
      </c>
      <c r="H107" s="10">
        <v>43000</v>
      </c>
      <c r="I107" s="10">
        <f t="shared" si="7"/>
        <v>5942599.9999999991</v>
      </c>
      <c r="J107" s="115" t="s">
        <v>90</v>
      </c>
      <c r="K107" s="10"/>
      <c r="L107" s="10"/>
      <c r="M107" s="12">
        <f t="shared" si="8"/>
        <v>0</v>
      </c>
      <c r="N107" s="12"/>
      <c r="O107" s="12"/>
      <c r="P107" s="12">
        <f t="shared" si="9"/>
        <v>0</v>
      </c>
      <c r="Q107" s="12"/>
      <c r="R107" s="12"/>
      <c r="S107" s="12">
        <f t="shared" si="10"/>
        <v>0</v>
      </c>
      <c r="T107" s="12"/>
      <c r="U107" s="12"/>
      <c r="V107" s="12">
        <f t="shared" si="11"/>
        <v>0</v>
      </c>
      <c r="W107" s="12"/>
      <c r="X107" s="12"/>
      <c r="Y107" s="12">
        <f t="shared" si="12"/>
        <v>0</v>
      </c>
      <c r="Z107" s="12"/>
      <c r="AA107" s="12"/>
      <c r="AB107" s="13">
        <f t="shared" si="13"/>
        <v>5942599.9999999991</v>
      </c>
      <c r="AC107" s="14"/>
    </row>
    <row r="108" spans="1:29" ht="15.75" x14ac:dyDescent="0.25">
      <c r="A108" s="28">
        <v>46039</v>
      </c>
      <c r="B108" s="10" t="s">
        <v>272</v>
      </c>
      <c r="C108" s="10"/>
      <c r="D108" s="10"/>
      <c r="E108" s="10" t="s">
        <v>307</v>
      </c>
      <c r="F108" s="10">
        <v>58</v>
      </c>
      <c r="G108" s="10" t="s">
        <v>36</v>
      </c>
      <c r="H108" s="10">
        <v>43000</v>
      </c>
      <c r="I108" s="10">
        <f t="shared" si="7"/>
        <v>2494000</v>
      </c>
      <c r="J108" s="115" t="s">
        <v>90</v>
      </c>
      <c r="K108" s="10"/>
      <c r="L108" s="10"/>
      <c r="M108" s="12">
        <f t="shared" si="8"/>
        <v>0</v>
      </c>
      <c r="N108" s="12"/>
      <c r="O108" s="12"/>
      <c r="P108" s="12">
        <f t="shared" si="9"/>
        <v>0</v>
      </c>
      <c r="Q108" s="12"/>
      <c r="R108" s="12"/>
      <c r="S108" s="12">
        <f t="shared" si="10"/>
        <v>0</v>
      </c>
      <c r="T108" s="12"/>
      <c r="U108" s="12"/>
      <c r="V108" s="12">
        <f t="shared" si="11"/>
        <v>0</v>
      </c>
      <c r="W108" s="12"/>
      <c r="X108" s="12"/>
      <c r="Y108" s="12">
        <f t="shared" si="12"/>
        <v>0</v>
      </c>
      <c r="Z108" s="12"/>
      <c r="AA108" s="12"/>
      <c r="AB108" s="13">
        <f t="shared" si="13"/>
        <v>2494000</v>
      </c>
      <c r="AC108" s="14"/>
    </row>
    <row r="109" spans="1:29" ht="15.75" x14ac:dyDescent="0.25">
      <c r="A109" s="28">
        <v>46039</v>
      </c>
      <c r="B109" s="10" t="s">
        <v>272</v>
      </c>
      <c r="C109" s="10"/>
      <c r="D109" s="10"/>
      <c r="E109" s="10" t="s">
        <v>338</v>
      </c>
      <c r="F109" s="10">
        <v>28</v>
      </c>
      <c r="G109" s="10" t="s">
        <v>36</v>
      </c>
      <c r="H109" s="10">
        <v>43000</v>
      </c>
      <c r="I109" s="10">
        <f t="shared" si="7"/>
        <v>1204000</v>
      </c>
      <c r="J109" s="115" t="s">
        <v>90</v>
      </c>
      <c r="K109" s="10"/>
      <c r="L109" s="10"/>
      <c r="M109" s="12">
        <f t="shared" si="8"/>
        <v>0</v>
      </c>
      <c r="N109" s="12"/>
      <c r="O109" s="12"/>
      <c r="P109" s="12">
        <f t="shared" si="9"/>
        <v>0</v>
      </c>
      <c r="Q109" s="12"/>
      <c r="R109" s="12"/>
      <c r="S109" s="12">
        <f t="shared" si="10"/>
        <v>0</v>
      </c>
      <c r="T109" s="12"/>
      <c r="U109" s="12"/>
      <c r="V109" s="12">
        <f t="shared" si="11"/>
        <v>0</v>
      </c>
      <c r="W109" s="12"/>
      <c r="X109" s="12"/>
      <c r="Y109" s="12">
        <f t="shared" si="12"/>
        <v>0</v>
      </c>
      <c r="Z109" s="12"/>
      <c r="AA109" s="12"/>
      <c r="AB109" s="13">
        <f t="shared" si="13"/>
        <v>1204000</v>
      </c>
      <c r="AC109" s="14"/>
    </row>
    <row r="110" spans="1:29" ht="15.75" x14ac:dyDescent="0.25">
      <c r="A110" s="28">
        <v>46039</v>
      </c>
      <c r="B110" s="10" t="s">
        <v>272</v>
      </c>
      <c r="C110" s="10"/>
      <c r="D110" s="10"/>
      <c r="E110" s="10" t="s">
        <v>338</v>
      </c>
      <c r="F110" s="10">
        <v>58</v>
      </c>
      <c r="G110" s="10" t="s">
        <v>36</v>
      </c>
      <c r="H110" s="10">
        <v>43000</v>
      </c>
      <c r="I110" s="10">
        <f t="shared" si="7"/>
        <v>2494000</v>
      </c>
      <c r="J110" s="115" t="s">
        <v>90</v>
      </c>
      <c r="K110" s="10"/>
      <c r="L110" s="10"/>
      <c r="M110" s="12">
        <f t="shared" si="8"/>
        <v>0</v>
      </c>
      <c r="N110" s="12"/>
      <c r="O110" s="12"/>
      <c r="P110" s="12">
        <f t="shared" si="9"/>
        <v>0</v>
      </c>
      <c r="Q110" s="12"/>
      <c r="R110" s="12"/>
      <c r="S110" s="12">
        <f t="shared" si="10"/>
        <v>0</v>
      </c>
      <c r="T110" s="12"/>
      <c r="U110" s="12"/>
      <c r="V110" s="12">
        <f t="shared" si="11"/>
        <v>0</v>
      </c>
      <c r="W110" s="12"/>
      <c r="X110" s="12"/>
      <c r="Y110" s="12">
        <f t="shared" si="12"/>
        <v>0</v>
      </c>
      <c r="Z110" s="12"/>
      <c r="AA110" s="12"/>
      <c r="AB110" s="13">
        <f t="shared" si="13"/>
        <v>2494000</v>
      </c>
      <c r="AC110" s="14"/>
    </row>
    <row r="111" spans="1:29" s="148" customFormat="1" ht="16.5" thickBot="1" x14ac:dyDescent="0.3">
      <c r="A111" s="28">
        <v>46039</v>
      </c>
      <c r="B111" s="10" t="s">
        <v>272</v>
      </c>
      <c r="C111" s="10"/>
      <c r="D111" s="10"/>
      <c r="E111" s="10" t="s">
        <v>92</v>
      </c>
      <c r="F111" s="10">
        <v>34.1</v>
      </c>
      <c r="G111" s="10" t="s">
        <v>36</v>
      </c>
      <c r="H111" s="10">
        <v>43000</v>
      </c>
      <c r="I111" s="10">
        <f t="shared" si="7"/>
        <v>1466300</v>
      </c>
      <c r="J111" s="86" t="s">
        <v>113</v>
      </c>
      <c r="K111" s="10"/>
      <c r="L111" s="10"/>
      <c r="M111" s="12">
        <f t="shared" si="8"/>
        <v>1466300</v>
      </c>
      <c r="N111" s="12">
        <v>1466300</v>
      </c>
      <c r="O111" s="12"/>
      <c r="P111" s="12">
        <f t="shared" si="9"/>
        <v>0</v>
      </c>
      <c r="Q111" s="12"/>
      <c r="R111" s="12"/>
      <c r="S111" s="12">
        <f t="shared" si="10"/>
        <v>0</v>
      </c>
      <c r="T111" s="12"/>
      <c r="U111" s="12"/>
      <c r="V111" s="12">
        <f t="shared" si="11"/>
        <v>0</v>
      </c>
      <c r="W111" s="12"/>
      <c r="X111" s="12"/>
      <c r="Y111" s="12">
        <f t="shared" si="12"/>
        <v>0</v>
      </c>
      <c r="Z111" s="12"/>
      <c r="AA111" s="12"/>
      <c r="AB111" s="13">
        <f t="shared" si="13"/>
        <v>0</v>
      </c>
      <c r="AC111" s="14">
        <v>46084</v>
      </c>
    </row>
    <row r="112" spans="1:29" ht="15.75" x14ac:dyDescent="0.25">
      <c r="A112" s="28">
        <v>46041</v>
      </c>
      <c r="B112" s="10" t="s">
        <v>352</v>
      </c>
      <c r="C112" s="10"/>
      <c r="D112" s="10" t="s">
        <v>28</v>
      </c>
      <c r="E112" s="10" t="s">
        <v>86</v>
      </c>
      <c r="F112" s="10">
        <v>179</v>
      </c>
      <c r="G112" s="10" t="s">
        <v>36</v>
      </c>
      <c r="H112" s="10">
        <v>43000</v>
      </c>
      <c r="I112" s="10">
        <f t="shared" si="7"/>
        <v>7697000</v>
      </c>
      <c r="J112" s="52" t="s">
        <v>90</v>
      </c>
      <c r="K112" s="10"/>
      <c r="L112" s="10"/>
      <c r="M112" s="12">
        <f t="shared" si="8"/>
        <v>0</v>
      </c>
      <c r="N112" s="12"/>
      <c r="O112" s="12"/>
      <c r="P112" s="12">
        <f t="shared" si="9"/>
        <v>0</v>
      </c>
      <c r="Q112" s="12"/>
      <c r="R112" s="12"/>
      <c r="S112" s="12">
        <f t="shared" si="10"/>
        <v>0</v>
      </c>
      <c r="T112" s="12"/>
      <c r="U112" s="12"/>
      <c r="V112" s="12">
        <f t="shared" si="11"/>
        <v>0</v>
      </c>
      <c r="W112" s="12"/>
      <c r="X112" s="12"/>
      <c r="Y112" s="12">
        <f t="shared" si="12"/>
        <v>0</v>
      </c>
      <c r="Z112" s="12"/>
      <c r="AA112" s="12"/>
      <c r="AB112" s="13">
        <f t="shared" si="13"/>
        <v>7697000</v>
      </c>
      <c r="AC112" s="14"/>
    </row>
    <row r="113" spans="1:29" ht="15.75" x14ac:dyDescent="0.25">
      <c r="A113" s="28">
        <v>46041</v>
      </c>
      <c r="B113" s="10" t="s">
        <v>56</v>
      </c>
      <c r="C113" s="10"/>
      <c r="D113" s="10" t="s">
        <v>28</v>
      </c>
      <c r="E113" s="10" t="s">
        <v>271</v>
      </c>
      <c r="F113" s="10">
        <v>2</v>
      </c>
      <c r="G113" s="10" t="s">
        <v>36</v>
      </c>
      <c r="H113" s="10">
        <v>170000</v>
      </c>
      <c r="I113" s="10">
        <f t="shared" si="7"/>
        <v>340000</v>
      </c>
      <c r="J113" s="52" t="s">
        <v>90</v>
      </c>
      <c r="K113" s="87" t="s">
        <v>356</v>
      </c>
      <c r="L113" s="87"/>
      <c r="M113" s="12">
        <f t="shared" si="8"/>
        <v>0</v>
      </c>
      <c r="N113" s="12"/>
      <c r="O113" s="12"/>
      <c r="P113" s="12">
        <f t="shared" si="9"/>
        <v>0</v>
      </c>
      <c r="Q113" s="12"/>
      <c r="R113" s="12"/>
      <c r="S113" s="12">
        <f t="shared" si="10"/>
        <v>0</v>
      </c>
      <c r="T113" s="12"/>
      <c r="U113" s="12"/>
      <c r="V113" s="12">
        <f t="shared" si="11"/>
        <v>0</v>
      </c>
      <c r="W113" s="12"/>
      <c r="X113" s="12"/>
      <c r="Y113" s="12">
        <f t="shared" si="12"/>
        <v>0</v>
      </c>
      <c r="Z113" s="12"/>
      <c r="AA113" s="12"/>
      <c r="AB113" s="13">
        <f t="shared" si="13"/>
        <v>340000</v>
      </c>
      <c r="AC113" s="14"/>
    </row>
    <row r="114" spans="1:29" ht="15.75" x14ac:dyDescent="0.25">
      <c r="A114" s="28">
        <v>46041</v>
      </c>
      <c r="B114" s="10" t="s">
        <v>176</v>
      </c>
      <c r="C114" s="10"/>
      <c r="D114" s="10" t="s">
        <v>32</v>
      </c>
      <c r="E114" s="10" t="s">
        <v>88</v>
      </c>
      <c r="F114" s="10">
        <v>25</v>
      </c>
      <c r="G114" s="10" t="s">
        <v>36</v>
      </c>
      <c r="H114" s="10">
        <v>125000</v>
      </c>
      <c r="I114" s="10">
        <f t="shared" si="7"/>
        <v>3125000</v>
      </c>
      <c r="J114" s="29" t="s">
        <v>113</v>
      </c>
      <c r="K114" s="95" t="s">
        <v>358</v>
      </c>
      <c r="L114" s="87"/>
      <c r="M114" s="12">
        <f t="shared" si="8"/>
        <v>3125000</v>
      </c>
      <c r="N114" s="12">
        <v>112400</v>
      </c>
      <c r="O114" s="12">
        <v>3012600</v>
      </c>
      <c r="P114" s="12">
        <f t="shared" si="9"/>
        <v>0</v>
      </c>
      <c r="Q114" s="12"/>
      <c r="R114" s="12"/>
      <c r="S114" s="12">
        <f t="shared" si="10"/>
        <v>0</v>
      </c>
      <c r="T114" s="12"/>
      <c r="U114" s="12"/>
      <c r="V114" s="12">
        <f t="shared" si="11"/>
        <v>0</v>
      </c>
      <c r="W114" s="12"/>
      <c r="X114" s="12"/>
      <c r="Y114" s="12">
        <f t="shared" si="12"/>
        <v>0</v>
      </c>
      <c r="Z114" s="12"/>
      <c r="AA114" s="12"/>
      <c r="AB114" s="13">
        <f t="shared" si="13"/>
        <v>0</v>
      </c>
      <c r="AC114" s="14">
        <v>46069</v>
      </c>
    </row>
    <row r="115" spans="1:29" ht="15.75" x14ac:dyDescent="0.25">
      <c r="A115" s="28">
        <v>46041</v>
      </c>
      <c r="B115" s="10" t="s">
        <v>176</v>
      </c>
      <c r="C115" s="10"/>
      <c r="D115" s="10" t="s">
        <v>32</v>
      </c>
      <c r="E115" s="10" t="s">
        <v>104</v>
      </c>
      <c r="F115" s="10">
        <v>3000</v>
      </c>
      <c r="G115" s="10" t="s">
        <v>26</v>
      </c>
      <c r="H115" s="10">
        <v>1750</v>
      </c>
      <c r="I115" s="10">
        <f t="shared" si="7"/>
        <v>5250000</v>
      </c>
      <c r="J115" s="52" t="s">
        <v>30</v>
      </c>
      <c r="K115" s="87" t="s">
        <v>358</v>
      </c>
      <c r="L115" s="87"/>
      <c r="M115" s="12">
        <f t="shared" si="8"/>
        <v>4887600</v>
      </c>
      <c r="N115" s="12">
        <v>4887600</v>
      </c>
      <c r="O115" s="12"/>
      <c r="P115" s="12">
        <f t="shared" si="9"/>
        <v>0</v>
      </c>
      <c r="Q115" s="12"/>
      <c r="R115" s="12"/>
      <c r="S115" s="12">
        <f t="shared" si="10"/>
        <v>0</v>
      </c>
      <c r="T115" s="12"/>
      <c r="U115" s="12"/>
      <c r="V115" s="12">
        <f t="shared" si="11"/>
        <v>0</v>
      </c>
      <c r="W115" s="12"/>
      <c r="X115" s="12"/>
      <c r="Y115" s="12">
        <f t="shared" si="12"/>
        <v>0</v>
      </c>
      <c r="Z115" s="12"/>
      <c r="AA115" s="12"/>
      <c r="AB115" s="13">
        <f t="shared" si="13"/>
        <v>362400</v>
      </c>
      <c r="AC115" s="14">
        <v>46087</v>
      </c>
    </row>
    <row r="116" spans="1:29" ht="15.75" x14ac:dyDescent="0.25">
      <c r="A116" s="28">
        <v>46042</v>
      </c>
      <c r="B116" s="10" t="s">
        <v>56</v>
      </c>
      <c r="C116" s="10"/>
      <c r="D116" s="10" t="s">
        <v>28</v>
      </c>
      <c r="E116" s="10" t="s">
        <v>160</v>
      </c>
      <c r="F116" s="10">
        <v>2</v>
      </c>
      <c r="G116" s="10" t="s">
        <v>22</v>
      </c>
      <c r="H116" s="10">
        <v>350000</v>
      </c>
      <c r="I116" s="10">
        <f t="shared" si="7"/>
        <v>700000</v>
      </c>
      <c r="J116" s="52" t="s">
        <v>90</v>
      </c>
      <c r="K116" s="88" t="s">
        <v>367</v>
      </c>
      <c r="L116" s="88"/>
      <c r="M116" s="12">
        <f t="shared" si="8"/>
        <v>0</v>
      </c>
      <c r="N116" s="12"/>
      <c r="O116" s="12"/>
      <c r="P116" s="12">
        <f t="shared" si="9"/>
        <v>0</v>
      </c>
      <c r="Q116" s="12"/>
      <c r="R116" s="12"/>
      <c r="S116" s="12">
        <f t="shared" si="10"/>
        <v>0</v>
      </c>
      <c r="T116" s="12"/>
      <c r="U116" s="12"/>
      <c r="V116" s="12">
        <f t="shared" si="11"/>
        <v>0</v>
      </c>
      <c r="W116" s="12"/>
      <c r="X116" s="12"/>
      <c r="Y116" s="12">
        <f t="shared" si="12"/>
        <v>0</v>
      </c>
      <c r="Z116" s="12"/>
      <c r="AA116" s="12"/>
      <c r="AB116" s="13">
        <f t="shared" si="13"/>
        <v>700000</v>
      </c>
      <c r="AC116" s="14"/>
    </row>
    <row r="117" spans="1:29" ht="15.75" x14ac:dyDescent="0.25">
      <c r="A117" s="28">
        <v>46042</v>
      </c>
      <c r="B117" s="10" t="s">
        <v>144</v>
      </c>
      <c r="C117" s="10"/>
      <c r="D117" s="10" t="s">
        <v>206</v>
      </c>
      <c r="E117" s="10" t="s">
        <v>164</v>
      </c>
      <c r="F117" s="10">
        <v>67.8</v>
      </c>
      <c r="G117" s="10" t="s">
        <v>36</v>
      </c>
      <c r="H117" s="10">
        <v>43000</v>
      </c>
      <c r="I117" s="10">
        <f t="shared" si="7"/>
        <v>2915400</v>
      </c>
      <c r="J117" s="52" t="s">
        <v>90</v>
      </c>
      <c r="K117" s="87" t="s">
        <v>356</v>
      </c>
      <c r="L117" s="87"/>
      <c r="M117" s="12">
        <f t="shared" si="8"/>
        <v>0</v>
      </c>
      <c r="N117" s="12"/>
      <c r="O117" s="12"/>
      <c r="P117" s="12">
        <f t="shared" si="9"/>
        <v>0</v>
      </c>
      <c r="Q117" s="12"/>
      <c r="R117" s="12"/>
      <c r="S117" s="12">
        <f t="shared" si="10"/>
        <v>0</v>
      </c>
      <c r="T117" s="12"/>
      <c r="U117" s="12"/>
      <c r="V117" s="12">
        <f t="shared" si="11"/>
        <v>0</v>
      </c>
      <c r="W117" s="12"/>
      <c r="X117" s="12"/>
      <c r="Y117" s="12">
        <f t="shared" si="12"/>
        <v>0</v>
      </c>
      <c r="Z117" s="12"/>
      <c r="AA117" s="12"/>
      <c r="AB117" s="13">
        <f t="shared" si="13"/>
        <v>2915400</v>
      </c>
      <c r="AC117" s="14"/>
    </row>
    <row r="118" spans="1:29" ht="15.75" x14ac:dyDescent="0.25">
      <c r="A118" s="28">
        <v>46043</v>
      </c>
      <c r="B118" s="10" t="s">
        <v>149</v>
      </c>
      <c r="C118" s="10"/>
      <c r="D118" s="10" t="s">
        <v>28</v>
      </c>
      <c r="E118" s="10" t="s">
        <v>107</v>
      </c>
      <c r="F118" s="10">
        <v>300</v>
      </c>
      <c r="G118" s="10" t="s">
        <v>36</v>
      </c>
      <c r="H118" s="10">
        <v>60000</v>
      </c>
      <c r="I118" s="10">
        <f t="shared" si="7"/>
        <v>18000000</v>
      </c>
      <c r="J118" s="29" t="s">
        <v>110</v>
      </c>
      <c r="K118" s="118" t="s">
        <v>375</v>
      </c>
      <c r="L118" s="82" t="s">
        <v>614</v>
      </c>
      <c r="M118" s="12">
        <f t="shared" si="8"/>
        <v>0</v>
      </c>
      <c r="N118" s="12"/>
      <c r="O118" s="12"/>
      <c r="P118" s="12">
        <f t="shared" si="9"/>
        <v>18000000</v>
      </c>
      <c r="Q118" s="12">
        <v>18000000</v>
      </c>
      <c r="R118" s="12"/>
      <c r="S118" s="12">
        <f t="shared" si="10"/>
        <v>0</v>
      </c>
      <c r="T118" s="12"/>
      <c r="U118" s="12"/>
      <c r="V118" s="12">
        <f t="shared" si="11"/>
        <v>0</v>
      </c>
      <c r="W118" s="12"/>
      <c r="X118" s="12"/>
      <c r="Y118" s="12">
        <f t="shared" si="12"/>
        <v>0</v>
      </c>
      <c r="Z118" s="12"/>
      <c r="AA118" s="12"/>
      <c r="AB118" s="13">
        <f t="shared" si="13"/>
        <v>0</v>
      </c>
      <c r="AC118" s="14">
        <v>46091</v>
      </c>
    </row>
    <row r="119" spans="1:29" ht="15.75" x14ac:dyDescent="0.25">
      <c r="A119" s="28">
        <v>46044</v>
      </c>
      <c r="B119" s="10" t="s">
        <v>272</v>
      </c>
      <c r="C119" s="10"/>
      <c r="D119" s="10"/>
      <c r="E119" s="10" t="s">
        <v>168</v>
      </c>
      <c r="F119" s="10">
        <v>157.69999999999999</v>
      </c>
      <c r="G119" s="10" t="s">
        <v>36</v>
      </c>
      <c r="H119" s="10">
        <v>43000</v>
      </c>
      <c r="I119" s="10">
        <f t="shared" si="7"/>
        <v>6781099.9999999991</v>
      </c>
      <c r="J119" s="115" t="s">
        <v>90</v>
      </c>
      <c r="K119" s="10"/>
      <c r="L119" s="10"/>
      <c r="M119" s="12">
        <f t="shared" si="8"/>
        <v>0</v>
      </c>
      <c r="N119" s="12"/>
      <c r="O119" s="12"/>
      <c r="P119" s="12">
        <f t="shared" si="9"/>
        <v>0</v>
      </c>
      <c r="Q119" s="12"/>
      <c r="R119" s="12"/>
      <c r="S119" s="12">
        <f t="shared" si="10"/>
        <v>0</v>
      </c>
      <c r="T119" s="12"/>
      <c r="U119" s="12"/>
      <c r="V119" s="12">
        <f t="shared" si="11"/>
        <v>0</v>
      </c>
      <c r="W119" s="12"/>
      <c r="X119" s="12"/>
      <c r="Y119" s="12">
        <f t="shared" si="12"/>
        <v>0</v>
      </c>
      <c r="Z119" s="12"/>
      <c r="AA119" s="12"/>
      <c r="AB119" s="13">
        <f t="shared" si="13"/>
        <v>6781099.9999999991</v>
      </c>
      <c r="AC119" s="14"/>
    </row>
    <row r="120" spans="1:29" ht="15.75" x14ac:dyDescent="0.25">
      <c r="A120" s="28">
        <v>46044</v>
      </c>
      <c r="B120" s="10" t="s">
        <v>272</v>
      </c>
      <c r="C120" s="10"/>
      <c r="D120" s="10"/>
      <c r="E120" s="10" t="s">
        <v>168</v>
      </c>
      <c r="F120" s="10">
        <v>64</v>
      </c>
      <c r="G120" s="10" t="s">
        <v>36</v>
      </c>
      <c r="H120" s="10">
        <v>43000</v>
      </c>
      <c r="I120" s="10">
        <f t="shared" si="7"/>
        <v>2752000</v>
      </c>
      <c r="J120" s="86" t="s">
        <v>113</v>
      </c>
      <c r="K120" s="10"/>
      <c r="L120" s="10"/>
      <c r="M120" s="12">
        <f t="shared" si="8"/>
        <v>2752000</v>
      </c>
      <c r="N120" s="12">
        <v>2752000</v>
      </c>
      <c r="O120" s="12"/>
      <c r="P120" s="12">
        <f t="shared" si="9"/>
        <v>0</v>
      </c>
      <c r="Q120" s="12"/>
      <c r="R120" s="12"/>
      <c r="S120" s="12">
        <f t="shared" si="10"/>
        <v>0</v>
      </c>
      <c r="T120" s="12"/>
      <c r="U120" s="12"/>
      <c r="V120" s="12">
        <f t="shared" si="11"/>
        <v>0</v>
      </c>
      <c r="W120" s="12"/>
      <c r="X120" s="12"/>
      <c r="Y120" s="12">
        <f t="shared" si="12"/>
        <v>0</v>
      </c>
      <c r="Z120" s="12"/>
      <c r="AA120" s="12"/>
      <c r="AB120" s="13">
        <f t="shared" si="13"/>
        <v>0</v>
      </c>
      <c r="AC120" s="14">
        <v>46084</v>
      </c>
    </row>
    <row r="121" spans="1:29" ht="15.75" x14ac:dyDescent="0.25">
      <c r="A121" s="28">
        <v>46044</v>
      </c>
      <c r="B121" s="10" t="s">
        <v>272</v>
      </c>
      <c r="C121" s="10"/>
      <c r="D121" s="10"/>
      <c r="E121" s="10" t="s">
        <v>377</v>
      </c>
      <c r="F121" s="10">
        <v>155.30000000000001</v>
      </c>
      <c r="G121" s="10" t="s">
        <v>36</v>
      </c>
      <c r="H121" s="10">
        <v>43000</v>
      </c>
      <c r="I121" s="10">
        <f t="shared" si="7"/>
        <v>6677900.0000000009</v>
      </c>
      <c r="J121" s="86" t="s">
        <v>113</v>
      </c>
      <c r="K121" s="10"/>
      <c r="L121" s="10"/>
      <c r="M121" s="12">
        <f t="shared" si="8"/>
        <v>6677900</v>
      </c>
      <c r="N121" s="12">
        <v>6677900</v>
      </c>
      <c r="O121" s="12"/>
      <c r="P121" s="12">
        <f t="shared" si="9"/>
        <v>0</v>
      </c>
      <c r="Q121" s="12"/>
      <c r="R121" s="12"/>
      <c r="S121" s="12">
        <f t="shared" si="10"/>
        <v>0</v>
      </c>
      <c r="T121" s="12"/>
      <c r="U121" s="12"/>
      <c r="V121" s="12">
        <f t="shared" si="11"/>
        <v>0</v>
      </c>
      <c r="W121" s="12"/>
      <c r="X121" s="12"/>
      <c r="Y121" s="12">
        <f t="shared" si="12"/>
        <v>0</v>
      </c>
      <c r="Z121" s="12"/>
      <c r="AA121" s="12"/>
      <c r="AB121" s="13">
        <f t="shared" si="13"/>
        <v>9.3132257461547852E-10</v>
      </c>
      <c r="AC121" s="14">
        <v>46084</v>
      </c>
    </row>
    <row r="122" spans="1:29" ht="15.75" x14ac:dyDescent="0.25">
      <c r="A122" s="28">
        <v>46044</v>
      </c>
      <c r="B122" s="10" t="s">
        <v>272</v>
      </c>
      <c r="C122" s="10"/>
      <c r="D122" s="10"/>
      <c r="E122" s="10" t="s">
        <v>86</v>
      </c>
      <c r="F122" s="10">
        <v>87.6</v>
      </c>
      <c r="G122" s="10" t="s">
        <v>36</v>
      </c>
      <c r="H122" s="10">
        <v>43000</v>
      </c>
      <c r="I122" s="10">
        <f t="shared" si="7"/>
        <v>3766799.9999999995</v>
      </c>
      <c r="J122" s="115" t="s">
        <v>90</v>
      </c>
      <c r="K122" s="10"/>
      <c r="L122" s="10"/>
      <c r="M122" s="12">
        <f t="shared" si="8"/>
        <v>0</v>
      </c>
      <c r="N122" s="12"/>
      <c r="O122" s="12"/>
      <c r="P122" s="12">
        <f t="shared" si="9"/>
        <v>0</v>
      </c>
      <c r="Q122" s="12"/>
      <c r="R122" s="12"/>
      <c r="S122" s="12">
        <f t="shared" si="10"/>
        <v>0</v>
      </c>
      <c r="T122" s="12"/>
      <c r="U122" s="12"/>
      <c r="V122" s="12">
        <f t="shared" si="11"/>
        <v>0</v>
      </c>
      <c r="W122" s="12"/>
      <c r="X122" s="12"/>
      <c r="Y122" s="12">
        <f t="shared" si="12"/>
        <v>0</v>
      </c>
      <c r="Z122" s="12"/>
      <c r="AA122" s="12"/>
      <c r="AB122" s="13">
        <f t="shared" si="13"/>
        <v>3766799.9999999995</v>
      </c>
      <c r="AC122" s="14"/>
    </row>
    <row r="123" spans="1:29" ht="15.75" x14ac:dyDescent="0.25">
      <c r="A123" s="28">
        <v>46044</v>
      </c>
      <c r="B123" s="10" t="s">
        <v>272</v>
      </c>
      <c r="C123" s="10"/>
      <c r="D123" s="10"/>
      <c r="E123" s="10" t="s">
        <v>315</v>
      </c>
      <c r="F123" s="10">
        <v>81.3</v>
      </c>
      <c r="G123" s="10" t="s">
        <v>36</v>
      </c>
      <c r="H123" s="10">
        <v>43000</v>
      </c>
      <c r="I123" s="10">
        <f t="shared" si="7"/>
        <v>3495900</v>
      </c>
      <c r="J123" s="115" t="s">
        <v>90</v>
      </c>
      <c r="K123" s="10"/>
      <c r="L123" s="10"/>
      <c r="M123" s="12">
        <f t="shared" si="8"/>
        <v>0</v>
      </c>
      <c r="N123" s="12"/>
      <c r="O123" s="12"/>
      <c r="P123" s="12">
        <f t="shared" si="9"/>
        <v>0</v>
      </c>
      <c r="Q123" s="12"/>
      <c r="R123" s="12"/>
      <c r="S123" s="12">
        <f t="shared" si="10"/>
        <v>0</v>
      </c>
      <c r="T123" s="12"/>
      <c r="U123" s="12"/>
      <c r="V123" s="12">
        <f t="shared" si="11"/>
        <v>0</v>
      </c>
      <c r="W123" s="12"/>
      <c r="X123" s="12"/>
      <c r="Y123" s="12">
        <f t="shared" si="12"/>
        <v>0</v>
      </c>
      <c r="Z123" s="12"/>
      <c r="AA123" s="12"/>
      <c r="AB123" s="13">
        <f t="shared" si="13"/>
        <v>3495900</v>
      </c>
      <c r="AC123" s="14"/>
    </row>
    <row r="124" spans="1:29" ht="15.75" x14ac:dyDescent="0.25">
      <c r="A124" s="28">
        <v>46044</v>
      </c>
      <c r="B124" s="10" t="s">
        <v>272</v>
      </c>
      <c r="C124" s="10"/>
      <c r="D124" s="10"/>
      <c r="E124" s="10" t="s">
        <v>229</v>
      </c>
      <c r="F124" s="10">
        <v>14.3</v>
      </c>
      <c r="G124" s="10" t="s">
        <v>36</v>
      </c>
      <c r="H124" s="10">
        <v>43000</v>
      </c>
      <c r="I124" s="10">
        <f t="shared" si="7"/>
        <v>614900</v>
      </c>
      <c r="J124" s="115" t="s">
        <v>90</v>
      </c>
      <c r="K124" s="10"/>
      <c r="L124" s="10"/>
      <c r="M124" s="12">
        <f t="shared" si="8"/>
        <v>0</v>
      </c>
      <c r="N124" s="12"/>
      <c r="O124" s="12"/>
      <c r="P124" s="12">
        <f t="shared" si="9"/>
        <v>0</v>
      </c>
      <c r="Q124" s="12"/>
      <c r="R124" s="12"/>
      <c r="S124" s="12">
        <f t="shared" si="10"/>
        <v>0</v>
      </c>
      <c r="T124" s="12"/>
      <c r="U124" s="12"/>
      <c r="V124" s="12">
        <f t="shared" si="11"/>
        <v>0</v>
      </c>
      <c r="W124" s="12"/>
      <c r="X124" s="12"/>
      <c r="Y124" s="12">
        <f t="shared" si="12"/>
        <v>0</v>
      </c>
      <c r="Z124" s="12"/>
      <c r="AA124" s="12"/>
      <c r="AB124" s="13">
        <f t="shared" si="13"/>
        <v>614900</v>
      </c>
      <c r="AC124" s="14"/>
    </row>
    <row r="125" spans="1:29" s="148" customFormat="1" ht="16.5" thickBot="1" x14ac:dyDescent="0.3">
      <c r="A125" s="28">
        <v>46044</v>
      </c>
      <c r="B125" s="10" t="s">
        <v>272</v>
      </c>
      <c r="C125" s="10"/>
      <c r="D125" s="10"/>
      <c r="E125" s="10" t="s">
        <v>344</v>
      </c>
      <c r="F125" s="10">
        <v>26.5</v>
      </c>
      <c r="G125" s="10" t="s">
        <v>36</v>
      </c>
      <c r="H125" s="10">
        <v>43000</v>
      </c>
      <c r="I125" s="10">
        <f t="shared" si="7"/>
        <v>1139500</v>
      </c>
      <c r="J125" s="86" t="s">
        <v>113</v>
      </c>
      <c r="K125" s="10"/>
      <c r="L125" s="10"/>
      <c r="M125" s="12">
        <f t="shared" si="8"/>
        <v>1139500</v>
      </c>
      <c r="N125" s="12">
        <v>1139500</v>
      </c>
      <c r="O125" s="12"/>
      <c r="P125" s="12">
        <f t="shared" si="9"/>
        <v>0</v>
      </c>
      <c r="Q125" s="12"/>
      <c r="R125" s="12"/>
      <c r="S125" s="12">
        <f t="shared" si="10"/>
        <v>0</v>
      </c>
      <c r="T125" s="12"/>
      <c r="U125" s="12"/>
      <c r="V125" s="12">
        <f t="shared" si="11"/>
        <v>0</v>
      </c>
      <c r="W125" s="12"/>
      <c r="X125" s="12"/>
      <c r="Y125" s="12">
        <f t="shared" si="12"/>
        <v>0</v>
      </c>
      <c r="Z125" s="12"/>
      <c r="AA125" s="12"/>
      <c r="AB125" s="13">
        <f t="shared" si="13"/>
        <v>0</v>
      </c>
      <c r="AC125" s="14">
        <v>46084</v>
      </c>
    </row>
    <row r="126" spans="1:29" ht="15.75" x14ac:dyDescent="0.25">
      <c r="A126" s="28">
        <v>46044</v>
      </c>
      <c r="B126" s="10" t="s">
        <v>176</v>
      </c>
      <c r="C126" s="10"/>
      <c r="D126" s="10" t="s">
        <v>28</v>
      </c>
      <c r="E126" s="10" t="s">
        <v>344</v>
      </c>
      <c r="F126" s="10">
        <v>13.3</v>
      </c>
      <c r="G126" s="10" t="s">
        <v>36</v>
      </c>
      <c r="H126" s="10">
        <v>43000</v>
      </c>
      <c r="I126" s="10">
        <f t="shared" si="7"/>
        <v>571900</v>
      </c>
      <c r="J126" s="52" t="s">
        <v>30</v>
      </c>
      <c r="K126" s="88" t="s">
        <v>376</v>
      </c>
      <c r="L126" s="10"/>
      <c r="M126" s="12">
        <f t="shared" si="8"/>
        <v>0</v>
      </c>
      <c r="N126" s="12"/>
      <c r="O126" s="12"/>
      <c r="P126" s="12">
        <f t="shared" si="9"/>
        <v>0</v>
      </c>
      <c r="Q126" s="12"/>
      <c r="R126" s="12"/>
      <c r="S126" s="12">
        <f t="shared" si="10"/>
        <v>0</v>
      </c>
      <c r="T126" s="12"/>
      <c r="U126" s="12"/>
      <c r="V126" s="12">
        <f t="shared" si="11"/>
        <v>0</v>
      </c>
      <c r="W126" s="12"/>
      <c r="X126" s="12"/>
      <c r="Y126" s="12">
        <f t="shared" si="12"/>
        <v>0</v>
      </c>
      <c r="Z126" s="12"/>
      <c r="AA126" s="12"/>
      <c r="AB126" s="13">
        <f t="shared" si="13"/>
        <v>571900</v>
      </c>
      <c r="AC126" s="14"/>
    </row>
    <row r="127" spans="1:29" ht="15.75" x14ac:dyDescent="0.25">
      <c r="A127" s="28">
        <v>46044</v>
      </c>
      <c r="B127" s="10" t="s">
        <v>176</v>
      </c>
      <c r="C127" s="10"/>
      <c r="D127" s="10" t="s">
        <v>28</v>
      </c>
      <c r="E127" s="10" t="s">
        <v>136</v>
      </c>
      <c r="F127" s="10">
        <v>24.5</v>
      </c>
      <c r="G127" s="10" t="s">
        <v>36</v>
      </c>
      <c r="H127" s="10">
        <v>43000</v>
      </c>
      <c r="I127" s="10">
        <f t="shared" si="7"/>
        <v>1053500</v>
      </c>
      <c r="J127" s="52" t="s">
        <v>30</v>
      </c>
      <c r="K127" s="88" t="s">
        <v>376</v>
      </c>
      <c r="L127" s="10"/>
      <c r="M127" s="12">
        <f t="shared" si="8"/>
        <v>0</v>
      </c>
      <c r="N127" s="12"/>
      <c r="O127" s="12"/>
      <c r="P127" s="12">
        <f t="shared" si="9"/>
        <v>0</v>
      </c>
      <c r="Q127" s="12"/>
      <c r="R127" s="12"/>
      <c r="S127" s="12">
        <f t="shared" si="10"/>
        <v>0</v>
      </c>
      <c r="T127" s="12"/>
      <c r="U127" s="12"/>
      <c r="V127" s="12">
        <f t="shared" si="11"/>
        <v>0</v>
      </c>
      <c r="W127" s="12"/>
      <c r="X127" s="12"/>
      <c r="Y127" s="12">
        <f t="shared" si="12"/>
        <v>0</v>
      </c>
      <c r="Z127" s="12"/>
      <c r="AA127" s="12"/>
      <c r="AB127" s="13">
        <f t="shared" si="13"/>
        <v>1053500</v>
      </c>
      <c r="AC127" s="14"/>
    </row>
    <row r="128" spans="1:29" ht="15.75" x14ac:dyDescent="0.25">
      <c r="A128" s="28">
        <v>46044</v>
      </c>
      <c r="B128" s="10" t="s">
        <v>176</v>
      </c>
      <c r="C128" s="10"/>
      <c r="D128" s="10" t="s">
        <v>28</v>
      </c>
      <c r="E128" s="10" t="s">
        <v>300</v>
      </c>
      <c r="F128" s="10">
        <v>5</v>
      </c>
      <c r="G128" s="10" t="s">
        <v>61</v>
      </c>
      <c r="H128" s="10">
        <v>150000</v>
      </c>
      <c r="I128" s="10">
        <f t="shared" si="7"/>
        <v>750000</v>
      </c>
      <c r="J128" s="52" t="s">
        <v>30</v>
      </c>
      <c r="K128" s="88" t="s">
        <v>376</v>
      </c>
      <c r="L128" s="10"/>
      <c r="M128" s="12">
        <f t="shared" si="8"/>
        <v>0</v>
      </c>
      <c r="N128" s="12"/>
      <c r="O128" s="12"/>
      <c r="P128" s="12">
        <f t="shared" si="9"/>
        <v>0</v>
      </c>
      <c r="Q128" s="12"/>
      <c r="R128" s="12"/>
      <c r="S128" s="12">
        <f t="shared" si="10"/>
        <v>0</v>
      </c>
      <c r="T128" s="12"/>
      <c r="U128" s="12"/>
      <c r="V128" s="12">
        <f t="shared" si="11"/>
        <v>0</v>
      </c>
      <c r="W128" s="12"/>
      <c r="X128" s="12"/>
      <c r="Y128" s="12">
        <f t="shared" si="12"/>
        <v>0</v>
      </c>
      <c r="Z128" s="12"/>
      <c r="AA128" s="12"/>
      <c r="AB128" s="13">
        <f t="shared" si="13"/>
        <v>750000</v>
      </c>
      <c r="AC128" s="14"/>
    </row>
    <row r="129" spans="1:29" ht="15.75" x14ac:dyDescent="0.25">
      <c r="A129" s="28">
        <v>46046</v>
      </c>
      <c r="B129" s="10" t="s">
        <v>368</v>
      </c>
      <c r="C129" s="10"/>
      <c r="D129" s="10" t="s">
        <v>493</v>
      </c>
      <c r="E129" s="10" t="s">
        <v>117</v>
      </c>
      <c r="F129" s="10">
        <v>1</v>
      </c>
      <c r="G129" s="10" t="s">
        <v>36</v>
      </c>
      <c r="H129" s="10">
        <v>70000</v>
      </c>
      <c r="I129" s="10">
        <f t="shared" si="7"/>
        <v>70000</v>
      </c>
      <c r="J129" s="29" t="s">
        <v>40</v>
      </c>
      <c r="K129" s="95" t="s">
        <v>356</v>
      </c>
      <c r="L129" s="87"/>
      <c r="M129" s="12">
        <f t="shared" si="8"/>
        <v>100000</v>
      </c>
      <c r="N129" s="12">
        <v>100000</v>
      </c>
      <c r="O129" s="12"/>
      <c r="P129" s="12">
        <f t="shared" si="9"/>
        <v>0</v>
      </c>
      <c r="Q129" s="12"/>
      <c r="R129" s="12"/>
      <c r="S129" s="12">
        <f t="shared" si="10"/>
        <v>0</v>
      </c>
      <c r="T129" s="12"/>
      <c r="U129" s="12"/>
      <c r="V129" s="12">
        <f t="shared" si="11"/>
        <v>0</v>
      </c>
      <c r="W129" s="12"/>
      <c r="X129" s="12"/>
      <c r="Y129" s="12">
        <f t="shared" si="12"/>
        <v>0</v>
      </c>
      <c r="Z129" s="12"/>
      <c r="AA129" s="12"/>
      <c r="AB129" s="13">
        <f t="shared" si="13"/>
        <v>-30000</v>
      </c>
      <c r="AC129" s="14">
        <v>46077</v>
      </c>
    </row>
    <row r="130" spans="1:29" ht="15.75" x14ac:dyDescent="0.25">
      <c r="A130" s="28">
        <v>46046</v>
      </c>
      <c r="B130" s="10" t="s">
        <v>272</v>
      </c>
      <c r="C130" s="10"/>
      <c r="D130" s="10"/>
      <c r="E130" s="10" t="s">
        <v>92</v>
      </c>
      <c r="F130" s="10">
        <v>170.8</v>
      </c>
      <c r="G130" s="10" t="s">
        <v>36</v>
      </c>
      <c r="H130" s="10">
        <v>43000</v>
      </c>
      <c r="I130" s="10">
        <f t="shared" si="7"/>
        <v>7344400.0000000009</v>
      </c>
      <c r="J130" s="115" t="s">
        <v>90</v>
      </c>
      <c r="K130" s="10"/>
      <c r="L130" s="10"/>
      <c r="M130" s="12">
        <f t="shared" si="8"/>
        <v>0</v>
      </c>
      <c r="N130" s="12"/>
      <c r="O130" s="12"/>
      <c r="P130" s="12">
        <f t="shared" si="9"/>
        <v>0</v>
      </c>
      <c r="Q130" s="12"/>
      <c r="R130" s="12"/>
      <c r="S130" s="12">
        <f t="shared" si="10"/>
        <v>0</v>
      </c>
      <c r="T130" s="12"/>
      <c r="U130" s="12"/>
      <c r="V130" s="12">
        <f t="shared" si="11"/>
        <v>0</v>
      </c>
      <c r="W130" s="12"/>
      <c r="X130" s="12"/>
      <c r="Y130" s="12">
        <f t="shared" si="12"/>
        <v>0</v>
      </c>
      <c r="Z130" s="12"/>
      <c r="AA130" s="12"/>
      <c r="AB130" s="13">
        <f t="shared" si="13"/>
        <v>7344400.0000000009</v>
      </c>
      <c r="AC130" s="14"/>
    </row>
    <row r="131" spans="1:29" ht="15.75" x14ac:dyDescent="0.25">
      <c r="A131" s="28">
        <v>46046</v>
      </c>
      <c r="B131" s="10" t="s">
        <v>272</v>
      </c>
      <c r="C131" s="10"/>
      <c r="D131" s="10"/>
      <c r="E131" s="10" t="s">
        <v>92</v>
      </c>
      <c r="F131" s="10">
        <v>34.200000000000003</v>
      </c>
      <c r="G131" s="10" t="s">
        <v>36</v>
      </c>
      <c r="H131" s="10">
        <v>43000</v>
      </c>
      <c r="I131" s="10">
        <f t="shared" si="7"/>
        <v>1470600.0000000002</v>
      </c>
      <c r="J131" s="115" t="s">
        <v>90</v>
      </c>
      <c r="K131" s="10"/>
      <c r="L131" s="10"/>
      <c r="M131" s="12">
        <f t="shared" si="8"/>
        <v>0</v>
      </c>
      <c r="N131" s="12"/>
      <c r="O131" s="12"/>
      <c r="P131" s="12">
        <f t="shared" si="9"/>
        <v>0</v>
      </c>
      <c r="Q131" s="12"/>
      <c r="R131" s="12"/>
      <c r="S131" s="12">
        <f t="shared" si="10"/>
        <v>0</v>
      </c>
      <c r="T131" s="12"/>
      <c r="U131" s="12"/>
      <c r="V131" s="12">
        <f t="shared" si="11"/>
        <v>0</v>
      </c>
      <c r="W131" s="12"/>
      <c r="X131" s="12"/>
      <c r="Y131" s="12">
        <f t="shared" si="12"/>
        <v>0</v>
      </c>
      <c r="Z131" s="12"/>
      <c r="AA131" s="12"/>
      <c r="AB131" s="13">
        <f t="shared" si="13"/>
        <v>1470600.0000000002</v>
      </c>
      <c r="AC131" s="14"/>
    </row>
    <row r="132" spans="1:29" ht="15.75" x14ac:dyDescent="0.25">
      <c r="A132" s="28">
        <v>46046</v>
      </c>
      <c r="B132" s="10" t="s">
        <v>272</v>
      </c>
      <c r="C132" s="10"/>
      <c r="D132" s="10"/>
      <c r="E132" s="10" t="s">
        <v>315</v>
      </c>
      <c r="F132" s="10">
        <v>106.8</v>
      </c>
      <c r="G132" s="10" t="s">
        <v>36</v>
      </c>
      <c r="H132" s="10">
        <v>43000</v>
      </c>
      <c r="I132" s="10">
        <f t="shared" si="7"/>
        <v>4592400</v>
      </c>
      <c r="J132" s="115" t="s">
        <v>90</v>
      </c>
      <c r="K132" s="10"/>
      <c r="L132" s="10"/>
      <c r="M132" s="12">
        <f t="shared" si="8"/>
        <v>0</v>
      </c>
      <c r="N132" s="12"/>
      <c r="O132" s="12"/>
      <c r="P132" s="12">
        <f t="shared" si="9"/>
        <v>0</v>
      </c>
      <c r="Q132" s="12"/>
      <c r="R132" s="12"/>
      <c r="S132" s="12">
        <f t="shared" si="10"/>
        <v>0</v>
      </c>
      <c r="T132" s="12"/>
      <c r="U132" s="12"/>
      <c r="V132" s="12">
        <f t="shared" si="11"/>
        <v>0</v>
      </c>
      <c r="W132" s="12"/>
      <c r="X132" s="12"/>
      <c r="Y132" s="12">
        <f t="shared" si="12"/>
        <v>0</v>
      </c>
      <c r="Z132" s="12"/>
      <c r="AA132" s="12"/>
      <c r="AB132" s="13">
        <f t="shared" si="13"/>
        <v>4592400</v>
      </c>
      <c r="AC132" s="14"/>
    </row>
    <row r="133" spans="1:29" ht="15.75" x14ac:dyDescent="0.25">
      <c r="A133" s="28">
        <v>46046</v>
      </c>
      <c r="B133" s="10" t="s">
        <v>272</v>
      </c>
      <c r="C133" s="10"/>
      <c r="D133" s="10"/>
      <c r="E133" s="10" t="s">
        <v>80</v>
      </c>
      <c r="F133" s="10">
        <v>23.1</v>
      </c>
      <c r="G133" s="10" t="s">
        <v>36</v>
      </c>
      <c r="H133" s="10">
        <v>43000</v>
      </c>
      <c r="I133" s="10">
        <f t="shared" ref="I133:I196" si="14">F133*H133</f>
        <v>993300.00000000012</v>
      </c>
      <c r="J133" s="115" t="s">
        <v>90</v>
      </c>
      <c r="K133" s="10"/>
      <c r="L133" s="10"/>
      <c r="M133" s="12">
        <f t="shared" ref="M133:M196" si="15">N133+O133</f>
        <v>0</v>
      </c>
      <c r="N133" s="12"/>
      <c r="O133" s="12"/>
      <c r="P133" s="12">
        <f t="shared" ref="P133:P196" si="16">Q133+R133</f>
        <v>0</v>
      </c>
      <c r="Q133" s="12"/>
      <c r="R133" s="12"/>
      <c r="S133" s="12">
        <f t="shared" ref="S133:S196" si="17">T133+U133</f>
        <v>0</v>
      </c>
      <c r="T133" s="12"/>
      <c r="U133" s="12"/>
      <c r="V133" s="12">
        <f t="shared" ref="V133:V196" si="18">W133+X133</f>
        <v>0</v>
      </c>
      <c r="W133" s="12"/>
      <c r="X133" s="12"/>
      <c r="Y133" s="12">
        <f t="shared" ref="Y133:Y196" si="19">Z133+AA133</f>
        <v>0</v>
      </c>
      <c r="Z133" s="12"/>
      <c r="AA133" s="12"/>
      <c r="AB133" s="13">
        <f t="shared" ref="AB133:AB196" si="20">C133+I133-M133-P133-V133-Y133-S133</f>
        <v>993300.00000000012</v>
      </c>
      <c r="AC133" s="14"/>
    </row>
    <row r="134" spans="1:29" s="148" customFormat="1" ht="16.5" thickBot="1" x14ac:dyDescent="0.3">
      <c r="A134" s="28">
        <v>46046</v>
      </c>
      <c r="B134" s="10" t="s">
        <v>272</v>
      </c>
      <c r="C134" s="10"/>
      <c r="D134" s="10"/>
      <c r="E134" s="10" t="s">
        <v>168</v>
      </c>
      <c r="F134" s="10">
        <v>31.3</v>
      </c>
      <c r="G134" s="10" t="s">
        <v>36</v>
      </c>
      <c r="H134" s="10">
        <v>43000</v>
      </c>
      <c r="I134" s="10">
        <f t="shared" si="14"/>
        <v>1345900</v>
      </c>
      <c r="J134" s="115" t="s">
        <v>90</v>
      </c>
      <c r="K134" s="10"/>
      <c r="L134" s="10"/>
      <c r="M134" s="12">
        <f t="shared" si="15"/>
        <v>0</v>
      </c>
      <c r="N134" s="12"/>
      <c r="O134" s="12"/>
      <c r="P134" s="12">
        <f t="shared" si="16"/>
        <v>0</v>
      </c>
      <c r="Q134" s="12"/>
      <c r="R134" s="12"/>
      <c r="S134" s="12">
        <f t="shared" si="17"/>
        <v>0</v>
      </c>
      <c r="T134" s="12"/>
      <c r="U134" s="12"/>
      <c r="V134" s="12">
        <f t="shared" si="18"/>
        <v>0</v>
      </c>
      <c r="W134" s="12"/>
      <c r="X134" s="12"/>
      <c r="Y134" s="12">
        <f t="shared" si="19"/>
        <v>0</v>
      </c>
      <c r="Z134" s="12"/>
      <c r="AA134" s="12"/>
      <c r="AB134" s="13">
        <f t="shared" si="20"/>
        <v>1345900</v>
      </c>
      <c r="AC134" s="14"/>
    </row>
    <row r="135" spans="1:29" ht="15.75" x14ac:dyDescent="0.25">
      <c r="A135" s="28">
        <v>46048</v>
      </c>
      <c r="B135" s="10" t="s">
        <v>208</v>
      </c>
      <c r="C135" s="10"/>
      <c r="D135" s="10" t="s">
        <v>32</v>
      </c>
      <c r="E135" s="10" t="s">
        <v>92</v>
      </c>
      <c r="F135" s="10">
        <v>34</v>
      </c>
      <c r="G135" s="10" t="s">
        <v>36</v>
      </c>
      <c r="H135" s="10">
        <v>43000</v>
      </c>
      <c r="I135" s="10">
        <f t="shared" si="14"/>
        <v>1462000</v>
      </c>
      <c r="J135" s="52" t="s">
        <v>30</v>
      </c>
      <c r="K135" s="87" t="s">
        <v>251</v>
      </c>
      <c r="L135" s="87"/>
      <c r="M135" s="12">
        <f t="shared" si="15"/>
        <v>0</v>
      </c>
      <c r="N135" s="12"/>
      <c r="O135" s="12"/>
      <c r="P135" s="12">
        <f t="shared" si="16"/>
        <v>0</v>
      </c>
      <c r="Q135" s="12"/>
      <c r="R135" s="12"/>
      <c r="S135" s="12">
        <f t="shared" si="17"/>
        <v>0</v>
      </c>
      <c r="T135" s="12"/>
      <c r="U135" s="12"/>
      <c r="V135" s="12">
        <f t="shared" si="18"/>
        <v>1437000</v>
      </c>
      <c r="W135" s="12">
        <v>1437000</v>
      </c>
      <c r="X135" s="12"/>
      <c r="Y135" s="12">
        <f t="shared" si="19"/>
        <v>0</v>
      </c>
      <c r="Z135" s="12"/>
      <c r="AA135" s="12"/>
      <c r="AB135" s="13">
        <f t="shared" si="20"/>
        <v>25000</v>
      </c>
      <c r="AC135" s="14">
        <v>46055</v>
      </c>
    </row>
    <row r="136" spans="1:29" ht="15.75" x14ac:dyDescent="0.25">
      <c r="A136" s="28">
        <v>46048</v>
      </c>
      <c r="B136" s="10" t="s">
        <v>200</v>
      </c>
      <c r="C136" s="10"/>
      <c r="D136" s="10" t="s">
        <v>383</v>
      </c>
      <c r="E136" s="10" t="s">
        <v>130</v>
      </c>
      <c r="F136" s="10">
        <v>20</v>
      </c>
      <c r="G136" s="10" t="s">
        <v>67</v>
      </c>
      <c r="H136" s="10">
        <v>50000</v>
      </c>
      <c r="I136" s="10">
        <f t="shared" si="14"/>
        <v>1000000</v>
      </c>
      <c r="J136" s="52" t="s">
        <v>90</v>
      </c>
      <c r="K136" s="87" t="s">
        <v>375</v>
      </c>
      <c r="L136" s="10"/>
      <c r="M136" s="12">
        <f t="shared" si="15"/>
        <v>0</v>
      </c>
      <c r="N136" s="12"/>
      <c r="O136" s="12"/>
      <c r="P136" s="12">
        <f t="shared" si="16"/>
        <v>0</v>
      </c>
      <c r="Q136" s="12"/>
      <c r="R136" s="12"/>
      <c r="S136" s="12">
        <f t="shared" si="17"/>
        <v>0</v>
      </c>
      <c r="T136" s="12"/>
      <c r="U136" s="12"/>
      <c r="V136" s="12">
        <f t="shared" si="18"/>
        <v>0</v>
      </c>
      <c r="W136" s="12"/>
      <c r="X136" s="12"/>
      <c r="Y136" s="12">
        <f t="shared" si="19"/>
        <v>0</v>
      </c>
      <c r="Z136" s="12"/>
      <c r="AA136" s="12"/>
      <c r="AB136" s="13">
        <f t="shared" si="20"/>
        <v>1000000</v>
      </c>
      <c r="AC136" s="14"/>
    </row>
    <row r="137" spans="1:29" ht="15.75" x14ac:dyDescent="0.25">
      <c r="A137" s="28">
        <v>46048</v>
      </c>
      <c r="B137" s="10" t="s">
        <v>200</v>
      </c>
      <c r="C137" s="10"/>
      <c r="D137" s="10" t="s">
        <v>383</v>
      </c>
      <c r="E137" s="10" t="s">
        <v>114</v>
      </c>
      <c r="F137" s="10">
        <v>20</v>
      </c>
      <c r="G137" s="10" t="s">
        <v>67</v>
      </c>
      <c r="H137" s="10">
        <v>50000</v>
      </c>
      <c r="I137" s="10">
        <f t="shared" si="14"/>
        <v>1000000</v>
      </c>
      <c r="J137" s="52" t="s">
        <v>90</v>
      </c>
      <c r="K137" s="87" t="s">
        <v>375</v>
      </c>
      <c r="L137" s="10"/>
      <c r="M137" s="12">
        <f t="shared" si="15"/>
        <v>0</v>
      </c>
      <c r="N137" s="12"/>
      <c r="O137" s="12"/>
      <c r="P137" s="12">
        <f t="shared" si="16"/>
        <v>0</v>
      </c>
      <c r="Q137" s="12"/>
      <c r="R137" s="12"/>
      <c r="S137" s="12">
        <f t="shared" si="17"/>
        <v>0</v>
      </c>
      <c r="T137" s="12"/>
      <c r="U137" s="12"/>
      <c r="V137" s="12">
        <f t="shared" si="18"/>
        <v>0</v>
      </c>
      <c r="W137" s="12"/>
      <c r="X137" s="12"/>
      <c r="Y137" s="12">
        <f t="shared" si="19"/>
        <v>0</v>
      </c>
      <c r="Z137" s="12"/>
      <c r="AA137" s="12"/>
      <c r="AB137" s="13">
        <f t="shared" si="20"/>
        <v>1000000</v>
      </c>
      <c r="AC137" s="14"/>
    </row>
    <row r="138" spans="1:29" ht="15.75" x14ac:dyDescent="0.25">
      <c r="A138" s="28">
        <v>46048</v>
      </c>
      <c r="B138" s="10" t="s">
        <v>200</v>
      </c>
      <c r="C138" s="10"/>
      <c r="D138" s="10" t="s">
        <v>383</v>
      </c>
      <c r="E138" s="10" t="s">
        <v>116</v>
      </c>
      <c r="F138" s="10">
        <v>20</v>
      </c>
      <c r="G138" s="10" t="s">
        <v>67</v>
      </c>
      <c r="H138" s="10">
        <v>65000</v>
      </c>
      <c r="I138" s="10">
        <f t="shared" si="14"/>
        <v>1300000</v>
      </c>
      <c r="J138" s="52" t="s">
        <v>90</v>
      </c>
      <c r="K138" s="87" t="s">
        <v>375</v>
      </c>
      <c r="L138" s="10"/>
      <c r="M138" s="12">
        <f t="shared" si="15"/>
        <v>0</v>
      </c>
      <c r="N138" s="12"/>
      <c r="O138" s="12"/>
      <c r="P138" s="12">
        <f t="shared" si="16"/>
        <v>0</v>
      </c>
      <c r="Q138" s="12"/>
      <c r="R138" s="12"/>
      <c r="S138" s="12">
        <f t="shared" si="17"/>
        <v>0</v>
      </c>
      <c r="T138" s="12"/>
      <c r="U138" s="12"/>
      <c r="V138" s="12">
        <f t="shared" si="18"/>
        <v>0</v>
      </c>
      <c r="W138" s="12"/>
      <c r="X138" s="12"/>
      <c r="Y138" s="12">
        <f t="shared" si="19"/>
        <v>0</v>
      </c>
      <c r="Z138" s="12"/>
      <c r="AA138" s="12"/>
      <c r="AB138" s="13">
        <f t="shared" si="20"/>
        <v>1300000</v>
      </c>
      <c r="AC138" s="14"/>
    </row>
    <row r="139" spans="1:29" ht="15.75" x14ac:dyDescent="0.25">
      <c r="A139" s="28">
        <v>46048</v>
      </c>
      <c r="B139" s="10" t="s">
        <v>176</v>
      </c>
      <c r="C139" s="10"/>
      <c r="D139" s="10" t="s">
        <v>383</v>
      </c>
      <c r="E139" s="10" t="s">
        <v>175</v>
      </c>
      <c r="F139" s="10">
        <v>6000</v>
      </c>
      <c r="G139" s="10" t="s">
        <v>26</v>
      </c>
      <c r="H139" s="10">
        <v>875</v>
      </c>
      <c r="I139" s="10">
        <f t="shared" si="14"/>
        <v>5250000</v>
      </c>
      <c r="J139" s="52" t="s">
        <v>30</v>
      </c>
      <c r="K139" s="88" t="s">
        <v>394</v>
      </c>
      <c r="L139" s="10"/>
      <c r="M139" s="12">
        <f t="shared" si="15"/>
        <v>0</v>
      </c>
      <c r="N139" s="12"/>
      <c r="O139" s="12"/>
      <c r="P139" s="12">
        <f t="shared" si="16"/>
        <v>0</v>
      </c>
      <c r="Q139" s="12"/>
      <c r="R139" s="12"/>
      <c r="S139" s="12">
        <f t="shared" si="17"/>
        <v>0</v>
      </c>
      <c r="T139" s="12"/>
      <c r="U139" s="12"/>
      <c r="V139" s="12">
        <f t="shared" si="18"/>
        <v>0</v>
      </c>
      <c r="W139" s="12"/>
      <c r="X139" s="12"/>
      <c r="Y139" s="12">
        <f t="shared" si="19"/>
        <v>0</v>
      </c>
      <c r="Z139" s="12"/>
      <c r="AA139" s="12"/>
      <c r="AB139" s="13">
        <f t="shared" si="20"/>
        <v>5250000</v>
      </c>
      <c r="AC139" s="14"/>
    </row>
    <row r="140" spans="1:29" ht="15.75" x14ac:dyDescent="0.25">
      <c r="A140" s="28">
        <v>46050</v>
      </c>
      <c r="B140" s="10" t="s">
        <v>334</v>
      </c>
      <c r="C140" s="10"/>
      <c r="D140" s="10" t="s">
        <v>383</v>
      </c>
      <c r="E140" s="10" t="s">
        <v>116</v>
      </c>
      <c r="F140" s="10">
        <v>8</v>
      </c>
      <c r="G140" s="10" t="s">
        <v>67</v>
      </c>
      <c r="H140" s="10">
        <v>65000</v>
      </c>
      <c r="I140" s="10">
        <f t="shared" si="14"/>
        <v>520000</v>
      </c>
      <c r="J140" s="52" t="s">
        <v>30</v>
      </c>
      <c r="K140" s="88" t="s">
        <v>387</v>
      </c>
      <c r="L140" s="87"/>
      <c r="M140" s="12">
        <f t="shared" si="15"/>
        <v>0</v>
      </c>
      <c r="N140" s="12"/>
      <c r="O140" s="12"/>
      <c r="P140" s="12">
        <f t="shared" si="16"/>
        <v>515000</v>
      </c>
      <c r="Q140" s="12">
        <v>515000</v>
      </c>
      <c r="R140" s="12"/>
      <c r="S140" s="12">
        <f t="shared" si="17"/>
        <v>0</v>
      </c>
      <c r="T140" s="12"/>
      <c r="U140" s="12"/>
      <c r="V140" s="12">
        <f t="shared" si="18"/>
        <v>0</v>
      </c>
      <c r="W140" s="12"/>
      <c r="X140" s="12"/>
      <c r="Y140" s="12">
        <f t="shared" si="19"/>
        <v>0</v>
      </c>
      <c r="Z140" s="12"/>
      <c r="AA140" s="12"/>
      <c r="AB140" s="13">
        <f t="shared" si="20"/>
        <v>5000</v>
      </c>
      <c r="AC140" s="14">
        <v>46076</v>
      </c>
    </row>
    <row r="141" spans="1:29" ht="15.75" x14ac:dyDescent="0.25">
      <c r="A141" s="28">
        <v>46050</v>
      </c>
      <c r="B141" s="10" t="s">
        <v>272</v>
      </c>
      <c r="C141" s="10"/>
      <c r="D141" s="10"/>
      <c r="E141" s="10" t="s">
        <v>315</v>
      </c>
      <c r="F141" s="10">
        <v>133.5</v>
      </c>
      <c r="G141" s="10" t="s">
        <v>36</v>
      </c>
      <c r="H141" s="10">
        <v>43000</v>
      </c>
      <c r="I141" s="10">
        <f t="shared" si="14"/>
        <v>5740500</v>
      </c>
      <c r="J141" s="115" t="s">
        <v>90</v>
      </c>
      <c r="K141" s="10"/>
      <c r="L141" s="10"/>
      <c r="M141" s="12">
        <f t="shared" si="15"/>
        <v>0</v>
      </c>
      <c r="N141" s="12"/>
      <c r="O141" s="12"/>
      <c r="P141" s="12">
        <f t="shared" si="16"/>
        <v>0</v>
      </c>
      <c r="Q141" s="12"/>
      <c r="R141" s="12"/>
      <c r="S141" s="12">
        <f t="shared" si="17"/>
        <v>0</v>
      </c>
      <c r="T141" s="12"/>
      <c r="U141" s="12"/>
      <c r="V141" s="12">
        <f t="shared" si="18"/>
        <v>0</v>
      </c>
      <c r="W141" s="12"/>
      <c r="X141" s="12"/>
      <c r="Y141" s="12">
        <f t="shared" si="19"/>
        <v>0</v>
      </c>
      <c r="Z141" s="12"/>
      <c r="AA141" s="12"/>
      <c r="AB141" s="13">
        <f t="shared" si="20"/>
        <v>5740500</v>
      </c>
      <c r="AC141" s="14"/>
    </row>
    <row r="142" spans="1:29" ht="15.75" x14ac:dyDescent="0.25">
      <c r="A142" s="28">
        <v>46050</v>
      </c>
      <c r="B142" s="10" t="s">
        <v>272</v>
      </c>
      <c r="C142" s="10"/>
      <c r="D142" s="10"/>
      <c r="E142" s="10" t="s">
        <v>315</v>
      </c>
      <c r="F142" s="10">
        <v>54</v>
      </c>
      <c r="G142" s="10" t="s">
        <v>36</v>
      </c>
      <c r="H142" s="10">
        <v>43000</v>
      </c>
      <c r="I142" s="10">
        <f t="shared" si="14"/>
        <v>2322000</v>
      </c>
      <c r="J142" s="86" t="s">
        <v>113</v>
      </c>
      <c r="K142" s="10"/>
      <c r="L142" s="10"/>
      <c r="M142" s="12">
        <f t="shared" si="15"/>
        <v>2322000</v>
      </c>
      <c r="N142" s="12">
        <v>2322000</v>
      </c>
      <c r="O142" s="12"/>
      <c r="P142" s="12">
        <f t="shared" si="16"/>
        <v>0</v>
      </c>
      <c r="Q142" s="12"/>
      <c r="R142" s="12"/>
      <c r="S142" s="12">
        <f t="shared" si="17"/>
        <v>0</v>
      </c>
      <c r="T142" s="12"/>
      <c r="U142" s="12"/>
      <c r="V142" s="12">
        <f t="shared" si="18"/>
        <v>0</v>
      </c>
      <c r="W142" s="12"/>
      <c r="X142" s="12"/>
      <c r="Y142" s="12">
        <f t="shared" si="19"/>
        <v>0</v>
      </c>
      <c r="Z142" s="12"/>
      <c r="AA142" s="12"/>
      <c r="AB142" s="13">
        <f t="shared" si="20"/>
        <v>0</v>
      </c>
      <c r="AC142" s="14">
        <v>46084</v>
      </c>
    </row>
    <row r="143" spans="1:29" ht="15.75" x14ac:dyDescent="0.25">
      <c r="A143" s="28">
        <v>46050</v>
      </c>
      <c r="B143" s="10" t="s">
        <v>272</v>
      </c>
      <c r="C143" s="10"/>
      <c r="D143" s="10"/>
      <c r="E143" s="10" t="s">
        <v>80</v>
      </c>
      <c r="F143" s="10">
        <v>67.099999999999994</v>
      </c>
      <c r="G143" s="10" t="s">
        <v>36</v>
      </c>
      <c r="H143" s="10">
        <v>43000</v>
      </c>
      <c r="I143" s="10">
        <f t="shared" si="14"/>
        <v>2885299.9999999995</v>
      </c>
      <c r="J143" s="86" t="s">
        <v>113</v>
      </c>
      <c r="K143" s="10"/>
      <c r="L143" s="10"/>
      <c r="M143" s="12">
        <f t="shared" si="15"/>
        <v>2885300</v>
      </c>
      <c r="N143" s="12">
        <v>2885300</v>
      </c>
      <c r="O143" s="12"/>
      <c r="P143" s="12">
        <f t="shared" si="16"/>
        <v>0</v>
      </c>
      <c r="Q143" s="12"/>
      <c r="R143" s="12"/>
      <c r="S143" s="12">
        <f t="shared" si="17"/>
        <v>0</v>
      </c>
      <c r="T143" s="12"/>
      <c r="U143" s="12"/>
      <c r="V143" s="12">
        <f t="shared" si="18"/>
        <v>0</v>
      </c>
      <c r="W143" s="12"/>
      <c r="X143" s="12"/>
      <c r="Y143" s="12">
        <f t="shared" si="19"/>
        <v>0</v>
      </c>
      <c r="Z143" s="12"/>
      <c r="AA143" s="12"/>
      <c r="AB143" s="13">
        <f t="shared" si="20"/>
        <v>-4.6566128730773926E-10</v>
      </c>
      <c r="AC143" s="14">
        <v>46084</v>
      </c>
    </row>
    <row r="144" spans="1:29" ht="15.75" x14ac:dyDescent="0.25">
      <c r="A144" s="28">
        <v>46050</v>
      </c>
      <c r="B144" s="10" t="s">
        <v>272</v>
      </c>
      <c r="C144" s="10"/>
      <c r="D144" s="10"/>
      <c r="E144" s="10" t="s">
        <v>307</v>
      </c>
      <c r="F144" s="10">
        <v>55.2</v>
      </c>
      <c r="G144" s="10" t="s">
        <v>36</v>
      </c>
      <c r="H144" s="10">
        <v>43000</v>
      </c>
      <c r="I144" s="10">
        <f t="shared" si="14"/>
        <v>2373600</v>
      </c>
      <c r="J144" s="115" t="s">
        <v>90</v>
      </c>
      <c r="K144" s="10"/>
      <c r="L144" s="10"/>
      <c r="M144" s="12">
        <f t="shared" si="15"/>
        <v>0</v>
      </c>
      <c r="N144" s="12"/>
      <c r="O144" s="12"/>
      <c r="P144" s="12">
        <f t="shared" si="16"/>
        <v>0</v>
      </c>
      <c r="Q144" s="12"/>
      <c r="R144" s="12"/>
      <c r="S144" s="12">
        <f t="shared" si="17"/>
        <v>0</v>
      </c>
      <c r="T144" s="12"/>
      <c r="U144" s="12"/>
      <c r="V144" s="12">
        <f t="shared" si="18"/>
        <v>0</v>
      </c>
      <c r="W144" s="12"/>
      <c r="X144" s="12"/>
      <c r="Y144" s="12">
        <f t="shared" si="19"/>
        <v>0</v>
      </c>
      <c r="Z144" s="12"/>
      <c r="AA144" s="12"/>
      <c r="AB144" s="13">
        <f t="shared" si="20"/>
        <v>2373600</v>
      </c>
      <c r="AC144" s="14"/>
    </row>
    <row r="145" spans="1:29" ht="15.75" x14ac:dyDescent="0.25">
      <c r="A145" s="28">
        <v>46050</v>
      </c>
      <c r="B145" s="10" t="s">
        <v>272</v>
      </c>
      <c r="C145" s="10"/>
      <c r="D145" s="10"/>
      <c r="E145" s="10" t="s">
        <v>168</v>
      </c>
      <c r="F145" s="10">
        <v>157.1</v>
      </c>
      <c r="G145" s="10" t="s">
        <v>36</v>
      </c>
      <c r="H145" s="10">
        <v>43000</v>
      </c>
      <c r="I145" s="10">
        <f t="shared" si="14"/>
        <v>6755300</v>
      </c>
      <c r="J145" s="115" t="s">
        <v>90</v>
      </c>
      <c r="K145" s="10"/>
      <c r="L145" s="10"/>
      <c r="M145" s="12">
        <f t="shared" si="15"/>
        <v>0</v>
      </c>
      <c r="N145" s="12"/>
      <c r="O145" s="12"/>
      <c r="P145" s="12">
        <f t="shared" si="16"/>
        <v>0</v>
      </c>
      <c r="Q145" s="12"/>
      <c r="R145" s="12"/>
      <c r="S145" s="12">
        <f t="shared" si="17"/>
        <v>0</v>
      </c>
      <c r="T145" s="12"/>
      <c r="U145" s="12"/>
      <c r="V145" s="12">
        <f t="shared" si="18"/>
        <v>0</v>
      </c>
      <c r="W145" s="12"/>
      <c r="X145" s="12"/>
      <c r="Y145" s="12">
        <f t="shared" si="19"/>
        <v>0</v>
      </c>
      <c r="Z145" s="12"/>
      <c r="AA145" s="12"/>
      <c r="AB145" s="13">
        <f t="shared" si="20"/>
        <v>6755300</v>
      </c>
      <c r="AC145" s="14"/>
    </row>
    <row r="146" spans="1:29" ht="15.75" x14ac:dyDescent="0.25">
      <c r="A146" s="28">
        <v>46050</v>
      </c>
      <c r="B146" s="10" t="s">
        <v>272</v>
      </c>
      <c r="C146" s="10"/>
      <c r="D146" s="10"/>
      <c r="E146" s="10" t="s">
        <v>92</v>
      </c>
      <c r="F146" s="10">
        <v>34.200000000000003</v>
      </c>
      <c r="G146" s="10" t="s">
        <v>36</v>
      </c>
      <c r="H146" s="10">
        <v>43000</v>
      </c>
      <c r="I146" s="10">
        <f t="shared" si="14"/>
        <v>1470600.0000000002</v>
      </c>
      <c r="J146" s="86" t="s">
        <v>113</v>
      </c>
      <c r="K146" s="10"/>
      <c r="L146" s="10"/>
      <c r="M146" s="12">
        <f t="shared" si="15"/>
        <v>1470600</v>
      </c>
      <c r="N146" s="12">
        <v>1470600</v>
      </c>
      <c r="O146" s="12"/>
      <c r="P146" s="12">
        <f t="shared" si="16"/>
        <v>0</v>
      </c>
      <c r="Q146" s="12"/>
      <c r="R146" s="12"/>
      <c r="S146" s="12">
        <f t="shared" si="17"/>
        <v>0</v>
      </c>
      <c r="T146" s="12"/>
      <c r="U146" s="12"/>
      <c r="V146" s="12">
        <f t="shared" si="18"/>
        <v>0</v>
      </c>
      <c r="W146" s="12"/>
      <c r="X146" s="12"/>
      <c r="Y146" s="12">
        <f t="shared" si="19"/>
        <v>0</v>
      </c>
      <c r="Z146" s="12"/>
      <c r="AA146" s="12"/>
      <c r="AB146" s="13">
        <f t="shared" si="20"/>
        <v>2.3283064365386963E-10</v>
      </c>
      <c r="AC146" s="14">
        <v>46084</v>
      </c>
    </row>
    <row r="147" spans="1:29" ht="15.75" x14ac:dyDescent="0.25">
      <c r="A147" s="28">
        <v>46050</v>
      </c>
      <c r="B147" s="10" t="s">
        <v>272</v>
      </c>
      <c r="C147" s="10"/>
      <c r="D147" s="10"/>
      <c r="E147" s="10" t="s">
        <v>92</v>
      </c>
      <c r="F147" s="10">
        <v>34.4</v>
      </c>
      <c r="G147" s="10" t="s">
        <v>36</v>
      </c>
      <c r="H147" s="10">
        <v>43000</v>
      </c>
      <c r="I147" s="10">
        <f t="shared" si="14"/>
        <v>1479200</v>
      </c>
      <c r="J147" s="86" t="s">
        <v>113</v>
      </c>
      <c r="K147" s="10"/>
      <c r="L147" s="10"/>
      <c r="M147" s="12">
        <f t="shared" si="15"/>
        <v>1479200</v>
      </c>
      <c r="N147" s="12">
        <v>1479200</v>
      </c>
      <c r="O147" s="12"/>
      <c r="P147" s="12">
        <f t="shared" si="16"/>
        <v>0</v>
      </c>
      <c r="Q147" s="12"/>
      <c r="R147" s="12"/>
      <c r="S147" s="12">
        <f t="shared" si="17"/>
        <v>0</v>
      </c>
      <c r="T147" s="12"/>
      <c r="U147" s="12"/>
      <c r="V147" s="12">
        <f t="shared" si="18"/>
        <v>0</v>
      </c>
      <c r="W147" s="12"/>
      <c r="X147" s="12"/>
      <c r="Y147" s="12">
        <f t="shared" si="19"/>
        <v>0</v>
      </c>
      <c r="Z147" s="12"/>
      <c r="AA147" s="12"/>
      <c r="AB147" s="13">
        <f t="shared" si="20"/>
        <v>0</v>
      </c>
      <c r="AC147" s="14">
        <v>46084</v>
      </c>
    </row>
    <row r="148" spans="1:29" ht="15.75" x14ac:dyDescent="0.25">
      <c r="A148" s="28">
        <v>46050</v>
      </c>
      <c r="B148" s="10" t="s">
        <v>272</v>
      </c>
      <c r="C148" s="10"/>
      <c r="D148" s="10"/>
      <c r="E148" s="10" t="s">
        <v>423</v>
      </c>
      <c r="F148" s="10">
        <v>35.4</v>
      </c>
      <c r="G148" s="10" t="s">
        <v>36</v>
      </c>
      <c r="H148" s="10">
        <v>43000</v>
      </c>
      <c r="I148" s="10">
        <f t="shared" si="14"/>
        <v>1522200</v>
      </c>
      <c r="J148" s="115" t="s">
        <v>90</v>
      </c>
      <c r="K148" s="10"/>
      <c r="L148" s="10"/>
      <c r="M148" s="12">
        <f t="shared" si="15"/>
        <v>0</v>
      </c>
      <c r="N148" s="12"/>
      <c r="O148" s="12"/>
      <c r="P148" s="12">
        <f t="shared" si="16"/>
        <v>0</v>
      </c>
      <c r="Q148" s="12"/>
      <c r="R148" s="12"/>
      <c r="S148" s="12">
        <f t="shared" si="17"/>
        <v>0</v>
      </c>
      <c r="T148" s="12"/>
      <c r="U148" s="12"/>
      <c r="V148" s="12">
        <f t="shared" si="18"/>
        <v>0</v>
      </c>
      <c r="W148" s="12"/>
      <c r="X148" s="12"/>
      <c r="Y148" s="12">
        <f t="shared" si="19"/>
        <v>0</v>
      </c>
      <c r="Z148" s="12"/>
      <c r="AA148" s="12"/>
      <c r="AB148" s="13">
        <f t="shared" si="20"/>
        <v>1522200</v>
      </c>
      <c r="AC148" s="14"/>
    </row>
    <row r="149" spans="1:29" ht="15.75" x14ac:dyDescent="0.25">
      <c r="A149" s="28">
        <v>46050</v>
      </c>
      <c r="B149" s="10" t="s">
        <v>272</v>
      </c>
      <c r="C149" s="10"/>
      <c r="D149" s="10"/>
      <c r="E149" s="10" t="s">
        <v>86</v>
      </c>
      <c r="F149" s="10">
        <v>85.6</v>
      </c>
      <c r="G149" s="10" t="s">
        <v>36</v>
      </c>
      <c r="H149" s="10">
        <v>43000</v>
      </c>
      <c r="I149" s="10">
        <f t="shared" si="14"/>
        <v>3680799.9999999995</v>
      </c>
      <c r="J149" s="86" t="s">
        <v>113</v>
      </c>
      <c r="K149" s="10"/>
      <c r="L149" s="10"/>
      <c r="M149" s="12">
        <f t="shared" si="15"/>
        <v>3680800</v>
      </c>
      <c r="N149" s="12">
        <v>3680800</v>
      </c>
      <c r="O149" s="12"/>
      <c r="P149" s="12">
        <f t="shared" si="16"/>
        <v>0</v>
      </c>
      <c r="Q149" s="12"/>
      <c r="R149" s="12"/>
      <c r="S149" s="12">
        <f t="shared" si="17"/>
        <v>0</v>
      </c>
      <c r="T149" s="12"/>
      <c r="U149" s="12"/>
      <c r="V149" s="12">
        <f t="shared" si="18"/>
        <v>0</v>
      </c>
      <c r="W149" s="12"/>
      <c r="X149" s="12"/>
      <c r="Y149" s="12">
        <f t="shared" si="19"/>
        <v>0</v>
      </c>
      <c r="Z149" s="12"/>
      <c r="AA149" s="12"/>
      <c r="AB149" s="13">
        <f t="shared" si="20"/>
        <v>-4.6566128730773926E-10</v>
      </c>
      <c r="AC149" s="14">
        <v>46084</v>
      </c>
    </row>
    <row r="150" spans="1:29" ht="15.75" x14ac:dyDescent="0.25">
      <c r="A150" s="28">
        <v>46050</v>
      </c>
      <c r="B150" s="10" t="s">
        <v>272</v>
      </c>
      <c r="C150" s="10"/>
      <c r="D150" s="10"/>
      <c r="E150" s="10" t="s">
        <v>86</v>
      </c>
      <c r="F150" s="10">
        <v>29.3</v>
      </c>
      <c r="G150" s="10" t="s">
        <v>36</v>
      </c>
      <c r="H150" s="10">
        <v>43000</v>
      </c>
      <c r="I150" s="10">
        <f t="shared" si="14"/>
        <v>1259900</v>
      </c>
      <c r="J150" s="86" t="s">
        <v>113</v>
      </c>
      <c r="K150" s="10"/>
      <c r="L150" s="10"/>
      <c r="M150" s="12">
        <f t="shared" si="15"/>
        <v>1259900</v>
      </c>
      <c r="N150" s="12">
        <v>1259900</v>
      </c>
      <c r="O150" s="12"/>
      <c r="P150" s="12">
        <f t="shared" si="16"/>
        <v>0</v>
      </c>
      <c r="Q150" s="12"/>
      <c r="R150" s="12"/>
      <c r="S150" s="12">
        <f t="shared" si="17"/>
        <v>0</v>
      </c>
      <c r="T150" s="12"/>
      <c r="U150" s="12"/>
      <c r="V150" s="12">
        <f t="shared" si="18"/>
        <v>0</v>
      </c>
      <c r="W150" s="12"/>
      <c r="X150" s="12"/>
      <c r="Y150" s="12">
        <f t="shared" si="19"/>
        <v>0</v>
      </c>
      <c r="Z150" s="12"/>
      <c r="AA150" s="12"/>
      <c r="AB150" s="13">
        <f t="shared" si="20"/>
        <v>0</v>
      </c>
      <c r="AC150" s="14">
        <v>46056</v>
      </c>
    </row>
    <row r="151" spans="1:29" s="148" customFormat="1" ht="16.5" thickBot="1" x14ac:dyDescent="0.3">
      <c r="A151" s="28">
        <v>46050</v>
      </c>
      <c r="B151" s="10" t="s">
        <v>272</v>
      </c>
      <c r="C151" s="10"/>
      <c r="D151" s="10"/>
      <c r="E151" s="10" t="s">
        <v>136</v>
      </c>
      <c r="F151" s="10">
        <v>24.6</v>
      </c>
      <c r="G151" s="10" t="s">
        <v>36</v>
      </c>
      <c r="H151" s="10">
        <v>43000</v>
      </c>
      <c r="I151" s="10">
        <f t="shared" si="14"/>
        <v>1057800</v>
      </c>
      <c r="J151" s="86" t="s">
        <v>113</v>
      </c>
      <c r="K151" s="10"/>
      <c r="L151" s="10"/>
      <c r="M151" s="12">
        <f t="shared" si="15"/>
        <v>1057800</v>
      </c>
      <c r="N151" s="12">
        <v>1057800</v>
      </c>
      <c r="O151" s="12"/>
      <c r="P151" s="12">
        <f t="shared" si="16"/>
        <v>0</v>
      </c>
      <c r="Q151" s="12"/>
      <c r="R151" s="12"/>
      <c r="S151" s="12">
        <f t="shared" si="17"/>
        <v>0</v>
      </c>
      <c r="T151" s="12"/>
      <c r="U151" s="12"/>
      <c r="V151" s="12">
        <f t="shared" si="18"/>
        <v>0</v>
      </c>
      <c r="W151" s="12"/>
      <c r="X151" s="12"/>
      <c r="Y151" s="12">
        <f t="shared" si="19"/>
        <v>0</v>
      </c>
      <c r="Z151" s="12"/>
      <c r="AA151" s="12"/>
      <c r="AB151" s="13">
        <f t="shared" si="20"/>
        <v>0</v>
      </c>
      <c r="AC151" s="14">
        <v>46084</v>
      </c>
    </row>
    <row r="152" spans="1:29" ht="15.75" x14ac:dyDescent="0.25">
      <c r="A152" s="28">
        <v>46050</v>
      </c>
      <c r="B152" s="10" t="s">
        <v>273</v>
      </c>
      <c r="C152" s="10"/>
      <c r="D152" s="10"/>
      <c r="E152" s="10" t="s">
        <v>424</v>
      </c>
      <c r="F152" s="10">
        <v>1</v>
      </c>
      <c r="G152" s="10" t="s">
        <v>22</v>
      </c>
      <c r="H152" s="10"/>
      <c r="I152" s="10">
        <f t="shared" si="14"/>
        <v>0</v>
      </c>
      <c r="J152" s="115" t="s">
        <v>90</v>
      </c>
      <c r="K152" s="10"/>
      <c r="L152" s="10"/>
      <c r="M152" s="12">
        <f t="shared" si="15"/>
        <v>0</v>
      </c>
      <c r="N152" s="12"/>
      <c r="O152" s="12"/>
      <c r="P152" s="12">
        <f t="shared" si="16"/>
        <v>0</v>
      </c>
      <c r="Q152" s="12"/>
      <c r="R152" s="12"/>
      <c r="S152" s="12">
        <f t="shared" si="17"/>
        <v>0</v>
      </c>
      <c r="T152" s="12"/>
      <c r="U152" s="12"/>
      <c r="V152" s="12">
        <f t="shared" si="18"/>
        <v>0</v>
      </c>
      <c r="W152" s="12"/>
      <c r="X152" s="12"/>
      <c r="Y152" s="12">
        <f t="shared" si="19"/>
        <v>0</v>
      </c>
      <c r="Z152" s="12"/>
      <c r="AA152" s="12"/>
      <c r="AB152" s="13">
        <f t="shared" si="20"/>
        <v>0</v>
      </c>
      <c r="AC152" s="14"/>
    </row>
    <row r="153" spans="1:29" ht="15.75" x14ac:dyDescent="0.25">
      <c r="A153" s="28">
        <v>46051</v>
      </c>
      <c r="B153" s="10" t="s">
        <v>53</v>
      </c>
      <c r="C153" s="10"/>
      <c r="D153" s="10" t="s">
        <v>383</v>
      </c>
      <c r="E153" s="10" t="s">
        <v>198</v>
      </c>
      <c r="F153" s="10">
        <v>162</v>
      </c>
      <c r="G153" s="10" t="s">
        <v>36</v>
      </c>
      <c r="H153" s="10">
        <v>43000</v>
      </c>
      <c r="I153" s="10">
        <f t="shared" si="14"/>
        <v>6966000</v>
      </c>
      <c r="J153" s="29" t="s">
        <v>110</v>
      </c>
      <c r="K153" s="95" t="s">
        <v>433</v>
      </c>
      <c r="L153" s="10"/>
      <c r="M153" s="12">
        <f t="shared" si="15"/>
        <v>0</v>
      </c>
      <c r="N153" s="12"/>
      <c r="O153" s="12"/>
      <c r="P153" s="12">
        <f t="shared" si="16"/>
        <v>6966000</v>
      </c>
      <c r="Q153" s="12">
        <v>1141500</v>
      </c>
      <c r="R153" s="12">
        <v>5824500</v>
      </c>
      <c r="S153" s="12">
        <f t="shared" si="17"/>
        <v>0</v>
      </c>
      <c r="T153" s="12"/>
      <c r="U153" s="12"/>
      <c r="V153" s="12">
        <f t="shared" si="18"/>
        <v>0</v>
      </c>
      <c r="W153" s="12"/>
      <c r="X153" s="12"/>
      <c r="Y153" s="12">
        <f t="shared" si="19"/>
        <v>0</v>
      </c>
      <c r="Z153" s="12"/>
      <c r="AA153" s="12"/>
      <c r="AB153" s="13">
        <f t="shared" si="20"/>
        <v>0</v>
      </c>
      <c r="AC153" s="14">
        <v>46069</v>
      </c>
    </row>
    <row r="154" spans="1:29" ht="15.75" x14ac:dyDescent="0.25">
      <c r="A154" s="28">
        <v>46051</v>
      </c>
      <c r="B154" s="10" t="s">
        <v>53</v>
      </c>
      <c r="C154" s="10"/>
      <c r="D154" s="10" t="s">
        <v>383</v>
      </c>
      <c r="E154" s="10" t="s">
        <v>244</v>
      </c>
      <c r="F154" s="10">
        <v>20</v>
      </c>
      <c r="G154" s="10" t="s">
        <v>22</v>
      </c>
      <c r="H154" s="10">
        <v>375000</v>
      </c>
      <c r="I154" s="10">
        <f t="shared" si="14"/>
        <v>7500000</v>
      </c>
      <c r="J154" s="29" t="s">
        <v>110</v>
      </c>
      <c r="K154" s="95" t="s">
        <v>433</v>
      </c>
      <c r="L154" s="10"/>
      <c r="M154" s="12">
        <f t="shared" si="15"/>
        <v>0</v>
      </c>
      <c r="N154" s="12"/>
      <c r="O154" s="12"/>
      <c r="P154" s="12">
        <f t="shared" si="16"/>
        <v>7500000</v>
      </c>
      <c r="Q154" s="12">
        <v>2081100</v>
      </c>
      <c r="R154" s="12">
        <v>5418900</v>
      </c>
      <c r="S154" s="12">
        <f t="shared" si="17"/>
        <v>0</v>
      </c>
      <c r="T154" s="12"/>
      <c r="U154" s="12"/>
      <c r="V154" s="12">
        <f t="shared" si="18"/>
        <v>0</v>
      </c>
      <c r="W154" s="12"/>
      <c r="X154" s="12"/>
      <c r="Y154" s="12">
        <f t="shared" si="19"/>
        <v>0</v>
      </c>
      <c r="Z154" s="12"/>
      <c r="AA154" s="12"/>
      <c r="AB154" s="13">
        <f t="shared" si="20"/>
        <v>0</v>
      </c>
      <c r="AC154" s="14">
        <v>46091</v>
      </c>
    </row>
    <row r="155" spans="1:29" ht="15.75" x14ac:dyDescent="0.25">
      <c r="A155" s="28">
        <v>46051</v>
      </c>
      <c r="B155" s="10" t="s">
        <v>272</v>
      </c>
      <c r="C155" s="10"/>
      <c r="D155" s="10"/>
      <c r="E155" s="10" t="s">
        <v>86</v>
      </c>
      <c r="F155" s="10">
        <v>58</v>
      </c>
      <c r="G155" s="10" t="s">
        <v>36</v>
      </c>
      <c r="H155" s="10">
        <v>43000</v>
      </c>
      <c r="I155" s="10">
        <f t="shared" si="14"/>
        <v>2494000</v>
      </c>
      <c r="J155" s="86" t="s">
        <v>113</v>
      </c>
      <c r="K155" s="10"/>
      <c r="L155" s="10"/>
      <c r="M155" s="12">
        <f t="shared" si="15"/>
        <v>2494000</v>
      </c>
      <c r="N155" s="12">
        <v>2494000</v>
      </c>
      <c r="O155" s="12"/>
      <c r="P155" s="12">
        <f t="shared" si="16"/>
        <v>0</v>
      </c>
      <c r="Q155" s="12"/>
      <c r="R155" s="12"/>
      <c r="S155" s="12">
        <f t="shared" si="17"/>
        <v>0</v>
      </c>
      <c r="T155" s="12"/>
      <c r="U155" s="12"/>
      <c r="V155" s="12">
        <f t="shared" si="18"/>
        <v>0</v>
      </c>
      <c r="W155" s="12"/>
      <c r="X155" s="12"/>
      <c r="Y155" s="12">
        <f t="shared" si="19"/>
        <v>0</v>
      </c>
      <c r="Z155" s="12"/>
      <c r="AA155" s="12"/>
      <c r="AB155" s="13">
        <f t="shared" si="20"/>
        <v>0</v>
      </c>
      <c r="AC155" s="14">
        <v>46084</v>
      </c>
    </row>
    <row r="156" spans="1:29" ht="15.75" x14ac:dyDescent="0.25">
      <c r="A156" s="28">
        <v>46051</v>
      </c>
      <c r="B156" s="10" t="s">
        <v>272</v>
      </c>
      <c r="C156" s="10"/>
      <c r="D156" s="10"/>
      <c r="E156" s="10" t="s">
        <v>80</v>
      </c>
      <c r="F156" s="10">
        <v>45.5</v>
      </c>
      <c r="G156" s="10" t="s">
        <v>36</v>
      </c>
      <c r="H156" s="10">
        <v>43000</v>
      </c>
      <c r="I156" s="10">
        <f t="shared" si="14"/>
        <v>1956500</v>
      </c>
      <c r="J156" s="86" t="s">
        <v>113</v>
      </c>
      <c r="K156" s="10"/>
      <c r="L156" s="10"/>
      <c r="M156" s="12">
        <f t="shared" si="15"/>
        <v>1956500</v>
      </c>
      <c r="N156" s="12">
        <v>1956500</v>
      </c>
      <c r="O156" s="12"/>
      <c r="P156" s="12">
        <f t="shared" si="16"/>
        <v>0</v>
      </c>
      <c r="Q156" s="12"/>
      <c r="R156" s="12"/>
      <c r="S156" s="12">
        <f t="shared" si="17"/>
        <v>0</v>
      </c>
      <c r="T156" s="12"/>
      <c r="U156" s="12"/>
      <c r="V156" s="12">
        <f t="shared" si="18"/>
        <v>0</v>
      </c>
      <c r="W156" s="12"/>
      <c r="X156" s="12"/>
      <c r="Y156" s="12">
        <f t="shared" si="19"/>
        <v>0</v>
      </c>
      <c r="Z156" s="12"/>
      <c r="AA156" s="12"/>
      <c r="AB156" s="13">
        <f t="shared" si="20"/>
        <v>0</v>
      </c>
      <c r="AC156" s="14">
        <v>46084</v>
      </c>
    </row>
    <row r="157" spans="1:29" ht="15.75" x14ac:dyDescent="0.25">
      <c r="A157" s="28">
        <v>46051</v>
      </c>
      <c r="B157" s="10" t="s">
        <v>272</v>
      </c>
      <c r="C157" s="10"/>
      <c r="D157" s="10"/>
      <c r="E157" s="10" t="s">
        <v>307</v>
      </c>
      <c r="F157" s="10">
        <v>27</v>
      </c>
      <c r="G157" s="10" t="s">
        <v>36</v>
      </c>
      <c r="H157" s="10">
        <v>43000</v>
      </c>
      <c r="I157" s="10">
        <f t="shared" si="14"/>
        <v>1161000</v>
      </c>
      <c r="J157" s="86" t="s">
        <v>113</v>
      </c>
      <c r="K157" s="10"/>
      <c r="L157" s="10"/>
      <c r="M157" s="12">
        <f t="shared" si="15"/>
        <v>1161000</v>
      </c>
      <c r="N157" s="12">
        <v>1161000</v>
      </c>
      <c r="O157" s="12"/>
      <c r="P157" s="12">
        <f t="shared" si="16"/>
        <v>0</v>
      </c>
      <c r="Q157" s="12"/>
      <c r="R157" s="12"/>
      <c r="S157" s="12">
        <f t="shared" si="17"/>
        <v>0</v>
      </c>
      <c r="T157" s="12"/>
      <c r="U157" s="12"/>
      <c r="V157" s="12">
        <f t="shared" si="18"/>
        <v>0</v>
      </c>
      <c r="W157" s="12"/>
      <c r="X157" s="12"/>
      <c r="Y157" s="12">
        <f t="shared" si="19"/>
        <v>0</v>
      </c>
      <c r="Z157" s="12"/>
      <c r="AA157" s="12"/>
      <c r="AB157" s="13">
        <f t="shared" si="20"/>
        <v>0</v>
      </c>
      <c r="AC157" s="14">
        <v>46084</v>
      </c>
    </row>
    <row r="158" spans="1:29" ht="15.75" x14ac:dyDescent="0.25">
      <c r="A158" s="28">
        <v>46051</v>
      </c>
      <c r="B158" s="10" t="s">
        <v>272</v>
      </c>
      <c r="C158" s="10"/>
      <c r="D158" s="10"/>
      <c r="E158" s="10" t="s">
        <v>315</v>
      </c>
      <c r="F158" s="10">
        <v>27</v>
      </c>
      <c r="G158" s="10" t="s">
        <v>36</v>
      </c>
      <c r="H158" s="10">
        <v>43000</v>
      </c>
      <c r="I158" s="10">
        <f t="shared" si="14"/>
        <v>1161000</v>
      </c>
      <c r="J158" s="115" t="s">
        <v>90</v>
      </c>
      <c r="K158" s="10"/>
      <c r="L158" s="10"/>
      <c r="M158" s="12">
        <f t="shared" si="15"/>
        <v>0</v>
      </c>
      <c r="N158" s="12"/>
      <c r="O158" s="12"/>
      <c r="P158" s="12">
        <f t="shared" si="16"/>
        <v>0</v>
      </c>
      <c r="Q158" s="12"/>
      <c r="R158" s="12"/>
      <c r="S158" s="12">
        <f t="shared" si="17"/>
        <v>0</v>
      </c>
      <c r="T158" s="12"/>
      <c r="U158" s="12"/>
      <c r="V158" s="12">
        <f t="shared" si="18"/>
        <v>0</v>
      </c>
      <c r="W158" s="12"/>
      <c r="X158" s="12"/>
      <c r="Y158" s="12">
        <f t="shared" si="19"/>
        <v>0</v>
      </c>
      <c r="Z158" s="12"/>
      <c r="AA158" s="12"/>
      <c r="AB158" s="13">
        <f t="shared" si="20"/>
        <v>1161000</v>
      </c>
      <c r="AC158" s="14"/>
    </row>
    <row r="159" spans="1:29" s="148" customFormat="1" ht="16.5" thickBot="1" x14ac:dyDescent="0.3">
      <c r="A159" s="28">
        <v>46051</v>
      </c>
      <c r="B159" s="10" t="s">
        <v>272</v>
      </c>
      <c r="C159" s="10"/>
      <c r="D159" s="10"/>
      <c r="E159" s="10" t="s">
        <v>168</v>
      </c>
      <c r="F159" s="10">
        <v>31.9</v>
      </c>
      <c r="G159" s="10" t="s">
        <v>36</v>
      </c>
      <c r="H159" s="10">
        <v>43000</v>
      </c>
      <c r="I159" s="10">
        <f t="shared" si="14"/>
        <v>1371700</v>
      </c>
      <c r="J159" s="86" t="s">
        <v>113</v>
      </c>
      <c r="K159" s="10"/>
      <c r="L159" s="10"/>
      <c r="M159" s="12">
        <f t="shared" si="15"/>
        <v>1371700</v>
      </c>
      <c r="N159" s="12">
        <v>1371700</v>
      </c>
      <c r="O159" s="12"/>
      <c r="P159" s="12">
        <f t="shared" si="16"/>
        <v>0</v>
      </c>
      <c r="Q159" s="12"/>
      <c r="R159" s="12"/>
      <c r="S159" s="12">
        <f t="shared" si="17"/>
        <v>0</v>
      </c>
      <c r="T159" s="12"/>
      <c r="U159" s="12"/>
      <c r="V159" s="12">
        <f t="shared" si="18"/>
        <v>0</v>
      </c>
      <c r="W159" s="12"/>
      <c r="X159" s="12"/>
      <c r="Y159" s="12">
        <f t="shared" si="19"/>
        <v>0</v>
      </c>
      <c r="Z159" s="12"/>
      <c r="AA159" s="12"/>
      <c r="AB159" s="13">
        <f t="shared" si="20"/>
        <v>0</v>
      </c>
      <c r="AC159" s="14">
        <v>46084</v>
      </c>
    </row>
    <row r="160" spans="1:29" ht="15.75" x14ac:dyDescent="0.25">
      <c r="A160" s="28">
        <v>46052</v>
      </c>
      <c r="B160" s="10" t="s">
        <v>232</v>
      </c>
      <c r="C160" s="10"/>
      <c r="D160" s="10" t="s">
        <v>383</v>
      </c>
      <c r="E160" s="10" t="s">
        <v>78</v>
      </c>
      <c r="F160" s="10">
        <v>10</v>
      </c>
      <c r="G160" s="10" t="s">
        <v>61</v>
      </c>
      <c r="H160" s="10">
        <v>230000</v>
      </c>
      <c r="I160" s="10">
        <f t="shared" si="14"/>
        <v>2300000</v>
      </c>
      <c r="J160" s="52" t="s">
        <v>30</v>
      </c>
      <c r="K160" s="88" t="s">
        <v>435</v>
      </c>
      <c r="L160" s="10"/>
      <c r="M160" s="12">
        <f t="shared" si="15"/>
        <v>1000000</v>
      </c>
      <c r="N160" s="12">
        <v>1000000</v>
      </c>
      <c r="O160" s="12"/>
      <c r="P160" s="12">
        <f t="shared" si="16"/>
        <v>0</v>
      </c>
      <c r="Q160" s="12"/>
      <c r="R160" s="12"/>
      <c r="S160" s="12">
        <f t="shared" si="17"/>
        <v>0</v>
      </c>
      <c r="T160" s="12"/>
      <c r="U160" s="12"/>
      <c r="V160" s="12">
        <f t="shared" si="18"/>
        <v>0</v>
      </c>
      <c r="W160" s="12"/>
      <c r="X160" s="12"/>
      <c r="Y160" s="12">
        <f t="shared" si="19"/>
        <v>0</v>
      </c>
      <c r="Z160" s="12"/>
      <c r="AA160" s="12"/>
      <c r="AB160" s="13">
        <f t="shared" si="20"/>
        <v>1300000</v>
      </c>
      <c r="AC160" s="14">
        <v>46085</v>
      </c>
    </row>
    <row r="161" spans="1:29" ht="15.75" x14ac:dyDescent="0.25">
      <c r="A161" s="28">
        <v>46052</v>
      </c>
      <c r="B161" s="10" t="s">
        <v>232</v>
      </c>
      <c r="C161" s="10"/>
      <c r="D161" s="10" t="s">
        <v>383</v>
      </c>
      <c r="E161" s="10" t="s">
        <v>104</v>
      </c>
      <c r="F161" s="10">
        <v>10000</v>
      </c>
      <c r="G161" s="10" t="s">
        <v>26</v>
      </c>
      <c r="H161" s="10">
        <v>1900</v>
      </c>
      <c r="I161" s="10">
        <f t="shared" si="14"/>
        <v>19000000</v>
      </c>
      <c r="J161" s="29" t="s">
        <v>113</v>
      </c>
      <c r="K161" s="95" t="s">
        <v>435</v>
      </c>
      <c r="L161" s="10"/>
      <c r="M161" s="12">
        <f t="shared" si="15"/>
        <v>19000000</v>
      </c>
      <c r="N161" s="12">
        <v>19000000</v>
      </c>
      <c r="O161" s="12"/>
      <c r="P161" s="12">
        <f t="shared" si="16"/>
        <v>0</v>
      </c>
      <c r="Q161" s="12"/>
      <c r="R161" s="12"/>
      <c r="S161" s="12">
        <f t="shared" si="17"/>
        <v>0</v>
      </c>
      <c r="T161" s="12"/>
      <c r="U161" s="12"/>
      <c r="V161" s="12">
        <f t="shared" si="18"/>
        <v>0</v>
      </c>
      <c r="W161" s="12"/>
      <c r="X161" s="12"/>
      <c r="Y161" s="12">
        <f t="shared" si="19"/>
        <v>0</v>
      </c>
      <c r="Z161" s="12"/>
      <c r="AA161" s="12"/>
      <c r="AB161" s="13">
        <f t="shared" si="20"/>
        <v>0</v>
      </c>
      <c r="AC161" s="14">
        <v>46085</v>
      </c>
    </row>
    <row r="162" spans="1:29" ht="15.75" x14ac:dyDescent="0.25">
      <c r="A162" s="28">
        <v>46052</v>
      </c>
      <c r="B162" s="10" t="s">
        <v>101</v>
      </c>
      <c r="C162" s="10"/>
      <c r="D162" s="10" t="s">
        <v>383</v>
      </c>
      <c r="E162" s="10" t="s">
        <v>88</v>
      </c>
      <c r="F162" s="10">
        <v>50</v>
      </c>
      <c r="G162" s="10" t="s">
        <v>36</v>
      </c>
      <c r="H162" s="10">
        <v>125000</v>
      </c>
      <c r="I162" s="10">
        <f t="shared" si="14"/>
        <v>6250000</v>
      </c>
      <c r="J162" s="29" t="s">
        <v>110</v>
      </c>
      <c r="K162" s="95" t="s">
        <v>433</v>
      </c>
      <c r="L162" s="10"/>
      <c r="M162" s="12">
        <f t="shared" si="15"/>
        <v>0</v>
      </c>
      <c r="N162" s="12"/>
      <c r="O162" s="12"/>
      <c r="P162" s="12">
        <f t="shared" si="16"/>
        <v>6250000</v>
      </c>
      <c r="Q162" s="12">
        <v>6250000</v>
      </c>
      <c r="R162" s="12"/>
      <c r="S162" s="12">
        <f t="shared" si="17"/>
        <v>0</v>
      </c>
      <c r="T162" s="12"/>
      <c r="U162" s="12"/>
      <c r="V162" s="12">
        <f t="shared" si="18"/>
        <v>0</v>
      </c>
      <c r="W162" s="12"/>
      <c r="X162" s="12"/>
      <c r="Y162" s="12">
        <f t="shared" si="19"/>
        <v>0</v>
      </c>
      <c r="Z162" s="12"/>
      <c r="AA162" s="12"/>
      <c r="AB162" s="13">
        <f t="shared" si="20"/>
        <v>0</v>
      </c>
      <c r="AC162" s="14">
        <v>46086</v>
      </c>
    </row>
    <row r="163" spans="1:29" ht="15.75" x14ac:dyDescent="0.25">
      <c r="A163" s="28">
        <v>46052</v>
      </c>
      <c r="B163" s="10" t="s">
        <v>101</v>
      </c>
      <c r="C163" s="10"/>
      <c r="D163" s="10" t="s">
        <v>383</v>
      </c>
      <c r="E163" s="10" t="s">
        <v>290</v>
      </c>
      <c r="F163" s="10">
        <v>10</v>
      </c>
      <c r="G163" s="10" t="s">
        <v>36</v>
      </c>
      <c r="H163" s="10">
        <v>25000</v>
      </c>
      <c r="I163" s="10">
        <f t="shared" si="14"/>
        <v>250000</v>
      </c>
      <c r="J163" s="29" t="s">
        <v>110</v>
      </c>
      <c r="K163" s="95" t="s">
        <v>433</v>
      </c>
      <c r="L163" s="10"/>
      <c r="M163" s="12">
        <f t="shared" si="15"/>
        <v>0</v>
      </c>
      <c r="N163" s="12"/>
      <c r="O163" s="12"/>
      <c r="P163" s="12">
        <f t="shared" si="16"/>
        <v>250000</v>
      </c>
      <c r="Q163" s="12">
        <v>250000</v>
      </c>
      <c r="R163" s="12"/>
      <c r="S163" s="12">
        <f t="shared" si="17"/>
        <v>0</v>
      </c>
      <c r="T163" s="12"/>
      <c r="U163" s="12"/>
      <c r="V163" s="12">
        <f t="shared" si="18"/>
        <v>0</v>
      </c>
      <c r="W163" s="12"/>
      <c r="X163" s="12"/>
      <c r="Y163" s="12">
        <f t="shared" si="19"/>
        <v>0</v>
      </c>
      <c r="Z163" s="12"/>
      <c r="AA163" s="12"/>
      <c r="AB163" s="13">
        <f t="shared" si="20"/>
        <v>0</v>
      </c>
      <c r="AC163" s="14">
        <v>46086</v>
      </c>
    </row>
    <row r="164" spans="1:29" ht="15.75" x14ac:dyDescent="0.25">
      <c r="A164" s="28">
        <v>46052</v>
      </c>
      <c r="B164" s="10" t="s">
        <v>176</v>
      </c>
      <c r="C164" s="10"/>
      <c r="D164" s="10" t="s">
        <v>383</v>
      </c>
      <c r="E164" s="10" t="s">
        <v>164</v>
      </c>
      <c r="F164" s="10">
        <v>17</v>
      </c>
      <c r="G164" s="10" t="s">
        <v>36</v>
      </c>
      <c r="H164" s="10">
        <v>43000</v>
      </c>
      <c r="I164" s="10">
        <f t="shared" si="14"/>
        <v>731000</v>
      </c>
      <c r="J164" s="52" t="s">
        <v>30</v>
      </c>
      <c r="K164" s="87" t="s">
        <v>433</v>
      </c>
      <c r="L164" s="10"/>
      <c r="M164" s="12">
        <f t="shared" si="15"/>
        <v>0</v>
      </c>
      <c r="N164" s="12"/>
      <c r="O164" s="12"/>
      <c r="P164" s="12">
        <f t="shared" si="16"/>
        <v>0</v>
      </c>
      <c r="Q164" s="12"/>
      <c r="R164" s="12"/>
      <c r="S164" s="12">
        <f t="shared" si="17"/>
        <v>0</v>
      </c>
      <c r="T164" s="12"/>
      <c r="U164" s="12"/>
      <c r="V164" s="12">
        <f t="shared" si="18"/>
        <v>0</v>
      </c>
      <c r="W164" s="12"/>
      <c r="X164" s="12"/>
      <c r="Y164" s="12">
        <f t="shared" si="19"/>
        <v>0</v>
      </c>
      <c r="Z164" s="12"/>
      <c r="AA164" s="12"/>
      <c r="AB164" s="13">
        <f t="shared" si="20"/>
        <v>731000</v>
      </c>
      <c r="AC164" s="14"/>
    </row>
    <row r="165" spans="1:29" ht="15.75" x14ac:dyDescent="0.25">
      <c r="A165" s="28">
        <v>46052</v>
      </c>
      <c r="B165" s="10" t="s">
        <v>272</v>
      </c>
      <c r="C165" s="10"/>
      <c r="D165" s="10"/>
      <c r="E165" s="10" t="s">
        <v>92</v>
      </c>
      <c r="F165" s="10">
        <v>68.400000000000006</v>
      </c>
      <c r="G165" s="10" t="s">
        <v>36</v>
      </c>
      <c r="H165" s="10">
        <v>43000</v>
      </c>
      <c r="I165" s="10">
        <f t="shared" si="14"/>
        <v>2941200.0000000005</v>
      </c>
      <c r="J165" s="86" t="s">
        <v>113</v>
      </c>
      <c r="K165" s="10"/>
      <c r="L165" s="10"/>
      <c r="M165" s="12">
        <f t="shared" si="15"/>
        <v>2941200</v>
      </c>
      <c r="N165" s="12">
        <v>2941200</v>
      </c>
      <c r="O165" s="12"/>
      <c r="P165" s="12">
        <f t="shared" si="16"/>
        <v>0</v>
      </c>
      <c r="Q165" s="12"/>
      <c r="R165" s="12"/>
      <c r="S165" s="12">
        <f t="shared" si="17"/>
        <v>0</v>
      </c>
      <c r="T165" s="12"/>
      <c r="U165" s="12"/>
      <c r="V165" s="12">
        <f t="shared" si="18"/>
        <v>0</v>
      </c>
      <c r="W165" s="12"/>
      <c r="X165" s="12"/>
      <c r="Y165" s="12">
        <f t="shared" si="19"/>
        <v>0</v>
      </c>
      <c r="Z165" s="12"/>
      <c r="AA165" s="12"/>
      <c r="AB165" s="13">
        <f t="shared" si="20"/>
        <v>4.6566128730773926E-10</v>
      </c>
      <c r="AC165" s="14">
        <v>46084</v>
      </c>
    </row>
    <row r="166" spans="1:29" ht="15.75" x14ac:dyDescent="0.25">
      <c r="A166" s="28">
        <v>46052</v>
      </c>
      <c r="B166" s="10" t="s">
        <v>272</v>
      </c>
      <c r="C166" s="10"/>
      <c r="D166" s="10"/>
      <c r="E166" s="10" t="s">
        <v>436</v>
      </c>
      <c r="F166" s="10">
        <v>33.200000000000003</v>
      </c>
      <c r="G166" s="10" t="s">
        <v>36</v>
      </c>
      <c r="H166" s="10">
        <v>43000</v>
      </c>
      <c r="I166" s="10">
        <f t="shared" si="14"/>
        <v>1427600.0000000002</v>
      </c>
      <c r="J166" s="86" t="s">
        <v>113</v>
      </c>
      <c r="K166" s="10"/>
      <c r="L166" s="10"/>
      <c r="M166" s="12">
        <f t="shared" si="15"/>
        <v>1427600</v>
      </c>
      <c r="N166" s="12">
        <v>1427600</v>
      </c>
      <c r="O166" s="12"/>
      <c r="P166" s="12">
        <f t="shared" si="16"/>
        <v>0</v>
      </c>
      <c r="Q166" s="12"/>
      <c r="R166" s="12"/>
      <c r="S166" s="12">
        <f t="shared" si="17"/>
        <v>0</v>
      </c>
      <c r="T166" s="12"/>
      <c r="U166" s="12"/>
      <c r="V166" s="12">
        <f t="shared" si="18"/>
        <v>0</v>
      </c>
      <c r="W166" s="12"/>
      <c r="X166" s="12"/>
      <c r="Y166" s="12">
        <f t="shared" si="19"/>
        <v>0</v>
      </c>
      <c r="Z166" s="12"/>
      <c r="AA166" s="12"/>
      <c r="AB166" s="13">
        <f t="shared" si="20"/>
        <v>2.3283064365386963E-10</v>
      </c>
      <c r="AC166" s="14">
        <v>46084</v>
      </c>
    </row>
    <row r="167" spans="1:29" ht="15.75" x14ac:dyDescent="0.25">
      <c r="A167" s="28">
        <v>46052</v>
      </c>
      <c r="B167" s="10" t="s">
        <v>272</v>
      </c>
      <c r="C167" s="10"/>
      <c r="D167" s="10"/>
      <c r="E167" s="10" t="s">
        <v>136</v>
      </c>
      <c r="F167" s="10">
        <v>23.7</v>
      </c>
      <c r="G167" s="10" t="s">
        <v>36</v>
      </c>
      <c r="H167" s="10">
        <v>43000</v>
      </c>
      <c r="I167" s="10">
        <f t="shared" si="14"/>
        <v>1019100</v>
      </c>
      <c r="J167" s="86" t="s">
        <v>113</v>
      </c>
      <c r="K167" s="10"/>
      <c r="L167" s="10"/>
      <c r="M167" s="12">
        <f t="shared" si="15"/>
        <v>1019100</v>
      </c>
      <c r="N167" s="12">
        <v>1019100</v>
      </c>
      <c r="O167" s="12"/>
      <c r="P167" s="12">
        <f t="shared" si="16"/>
        <v>0</v>
      </c>
      <c r="Q167" s="12"/>
      <c r="R167" s="12"/>
      <c r="S167" s="12">
        <f t="shared" si="17"/>
        <v>0</v>
      </c>
      <c r="T167" s="12"/>
      <c r="U167" s="12"/>
      <c r="V167" s="12">
        <f t="shared" si="18"/>
        <v>0</v>
      </c>
      <c r="W167" s="12"/>
      <c r="X167" s="12"/>
      <c r="Y167" s="12">
        <f t="shared" si="19"/>
        <v>0</v>
      </c>
      <c r="Z167" s="12"/>
      <c r="AA167" s="12"/>
      <c r="AB167" s="13">
        <f t="shared" si="20"/>
        <v>0</v>
      </c>
      <c r="AC167" s="14">
        <v>46084</v>
      </c>
    </row>
    <row r="168" spans="1:29" ht="15.75" x14ac:dyDescent="0.25">
      <c r="A168" s="28">
        <v>46052</v>
      </c>
      <c r="B168" s="10" t="s">
        <v>272</v>
      </c>
      <c r="C168" s="10"/>
      <c r="D168" s="10"/>
      <c r="E168" s="10" t="s">
        <v>80</v>
      </c>
      <c r="F168" s="10">
        <v>23</v>
      </c>
      <c r="G168" s="10" t="s">
        <v>36</v>
      </c>
      <c r="H168" s="10">
        <v>43000</v>
      </c>
      <c r="I168" s="10">
        <f t="shared" si="14"/>
        <v>989000</v>
      </c>
      <c r="J168" s="86" t="s">
        <v>113</v>
      </c>
      <c r="K168" s="10"/>
      <c r="L168" s="10"/>
      <c r="M168" s="12">
        <f t="shared" si="15"/>
        <v>989000</v>
      </c>
      <c r="N168" s="12">
        <v>989000</v>
      </c>
      <c r="O168" s="12"/>
      <c r="P168" s="12">
        <f t="shared" si="16"/>
        <v>0</v>
      </c>
      <c r="Q168" s="12"/>
      <c r="R168" s="12"/>
      <c r="S168" s="12">
        <f t="shared" si="17"/>
        <v>0</v>
      </c>
      <c r="T168" s="12"/>
      <c r="U168" s="12"/>
      <c r="V168" s="12">
        <f t="shared" si="18"/>
        <v>0</v>
      </c>
      <c r="W168" s="12"/>
      <c r="X168" s="12"/>
      <c r="Y168" s="12">
        <f t="shared" si="19"/>
        <v>0</v>
      </c>
      <c r="Z168" s="12"/>
      <c r="AA168" s="12"/>
      <c r="AB168" s="13">
        <f t="shared" si="20"/>
        <v>0</v>
      </c>
      <c r="AC168" s="14">
        <v>46084</v>
      </c>
    </row>
    <row r="169" spans="1:29" ht="15.75" x14ac:dyDescent="0.25">
      <c r="A169" s="28">
        <v>46052</v>
      </c>
      <c r="B169" s="10" t="s">
        <v>272</v>
      </c>
      <c r="C169" s="10"/>
      <c r="D169" s="10"/>
      <c r="E169" s="10" t="s">
        <v>168</v>
      </c>
      <c r="F169" s="10">
        <v>31.3</v>
      </c>
      <c r="G169" s="10" t="s">
        <v>36</v>
      </c>
      <c r="H169" s="10">
        <v>43000</v>
      </c>
      <c r="I169" s="10">
        <f t="shared" si="14"/>
        <v>1345900</v>
      </c>
      <c r="J169" s="115" t="s">
        <v>90</v>
      </c>
      <c r="K169" s="10"/>
      <c r="L169" s="10"/>
      <c r="M169" s="12">
        <f t="shared" si="15"/>
        <v>0</v>
      </c>
      <c r="N169" s="12"/>
      <c r="O169" s="12"/>
      <c r="P169" s="12">
        <f t="shared" si="16"/>
        <v>0</v>
      </c>
      <c r="Q169" s="12"/>
      <c r="R169" s="12"/>
      <c r="S169" s="12">
        <f t="shared" si="17"/>
        <v>0</v>
      </c>
      <c r="T169" s="12"/>
      <c r="U169" s="12"/>
      <c r="V169" s="12">
        <f t="shared" si="18"/>
        <v>0</v>
      </c>
      <c r="W169" s="12"/>
      <c r="X169" s="12"/>
      <c r="Y169" s="12">
        <f t="shared" si="19"/>
        <v>0</v>
      </c>
      <c r="Z169" s="12"/>
      <c r="AA169" s="12"/>
      <c r="AB169" s="13">
        <f t="shared" si="20"/>
        <v>1345900</v>
      </c>
      <c r="AC169" s="14"/>
    </row>
    <row r="170" spans="1:29" s="148" customFormat="1" ht="16.5" thickBot="1" x14ac:dyDescent="0.3">
      <c r="A170" s="28">
        <v>46052</v>
      </c>
      <c r="B170" s="10" t="s">
        <v>272</v>
      </c>
      <c r="C170" s="10"/>
      <c r="D170" s="10"/>
      <c r="E170" s="10" t="s">
        <v>92</v>
      </c>
      <c r="F170" s="10">
        <v>34</v>
      </c>
      <c r="G170" s="10" t="s">
        <v>36</v>
      </c>
      <c r="H170" s="10">
        <v>43000</v>
      </c>
      <c r="I170" s="10">
        <f t="shared" si="14"/>
        <v>1462000</v>
      </c>
      <c r="J170" s="86" t="s">
        <v>113</v>
      </c>
      <c r="K170" s="10"/>
      <c r="L170" s="10"/>
      <c r="M170" s="12">
        <f t="shared" si="15"/>
        <v>1462000</v>
      </c>
      <c r="N170" s="12">
        <v>1462000</v>
      </c>
      <c r="O170" s="12"/>
      <c r="P170" s="12">
        <f t="shared" si="16"/>
        <v>0</v>
      </c>
      <c r="Q170" s="12"/>
      <c r="R170" s="12"/>
      <c r="S170" s="12">
        <f t="shared" si="17"/>
        <v>0</v>
      </c>
      <c r="T170" s="12"/>
      <c r="U170" s="12"/>
      <c r="V170" s="12">
        <f t="shared" si="18"/>
        <v>0</v>
      </c>
      <c r="W170" s="12"/>
      <c r="X170" s="12"/>
      <c r="Y170" s="12">
        <f t="shared" si="19"/>
        <v>0</v>
      </c>
      <c r="Z170" s="12"/>
      <c r="AA170" s="12"/>
      <c r="AB170" s="13">
        <f t="shared" si="20"/>
        <v>0</v>
      </c>
      <c r="AC170" s="14">
        <v>46084</v>
      </c>
    </row>
    <row r="171" spans="1:29" ht="15.75" x14ac:dyDescent="0.25">
      <c r="A171" s="28">
        <v>46053</v>
      </c>
      <c r="B171" s="10" t="s">
        <v>122</v>
      </c>
      <c r="C171" s="10"/>
      <c r="D171" s="10" t="s">
        <v>383</v>
      </c>
      <c r="E171" s="10" t="s">
        <v>65</v>
      </c>
      <c r="F171" s="10">
        <v>10400</v>
      </c>
      <c r="G171" s="10" t="s">
        <v>26</v>
      </c>
      <c r="H171" s="10">
        <v>3800</v>
      </c>
      <c r="I171" s="10">
        <f t="shared" si="14"/>
        <v>39520000</v>
      </c>
      <c r="J171" s="29" t="s">
        <v>113</v>
      </c>
      <c r="K171" s="95" t="s">
        <v>435</v>
      </c>
      <c r="L171" s="10"/>
      <c r="M171" s="12">
        <f t="shared" si="15"/>
        <v>39520000</v>
      </c>
      <c r="N171" s="12">
        <v>39520000</v>
      </c>
      <c r="O171" s="12"/>
      <c r="P171" s="12">
        <f t="shared" si="16"/>
        <v>0</v>
      </c>
      <c r="Q171" s="12"/>
      <c r="R171" s="12"/>
      <c r="S171" s="12">
        <f t="shared" si="17"/>
        <v>0</v>
      </c>
      <c r="T171" s="12"/>
      <c r="U171" s="12"/>
      <c r="V171" s="12">
        <f t="shared" si="18"/>
        <v>0</v>
      </c>
      <c r="W171" s="12"/>
      <c r="X171" s="12"/>
      <c r="Y171" s="12">
        <f t="shared" si="19"/>
        <v>0</v>
      </c>
      <c r="Z171" s="12"/>
      <c r="AA171" s="12"/>
      <c r="AB171" s="13">
        <f t="shared" si="20"/>
        <v>0</v>
      </c>
      <c r="AC171" s="14">
        <v>46086</v>
      </c>
    </row>
    <row r="172" spans="1:29" ht="15.75" x14ac:dyDescent="0.25">
      <c r="A172" s="28">
        <v>46053</v>
      </c>
      <c r="B172" s="10" t="s">
        <v>272</v>
      </c>
      <c r="C172" s="10"/>
      <c r="D172" s="10"/>
      <c r="E172" s="10" t="s">
        <v>80</v>
      </c>
      <c r="F172" s="10">
        <v>66.5</v>
      </c>
      <c r="G172" s="10" t="s">
        <v>36</v>
      </c>
      <c r="H172" s="10">
        <v>43000</v>
      </c>
      <c r="I172" s="10">
        <f t="shared" si="14"/>
        <v>2859500</v>
      </c>
      <c r="J172" s="86" t="s">
        <v>113</v>
      </c>
      <c r="K172" s="10"/>
      <c r="L172" s="10"/>
      <c r="M172" s="12">
        <f t="shared" si="15"/>
        <v>2859500</v>
      </c>
      <c r="N172" s="12">
        <v>2859500</v>
      </c>
      <c r="O172" s="12"/>
      <c r="P172" s="12">
        <f t="shared" si="16"/>
        <v>0</v>
      </c>
      <c r="Q172" s="12"/>
      <c r="R172" s="12"/>
      <c r="S172" s="12">
        <f t="shared" si="17"/>
        <v>0</v>
      </c>
      <c r="T172" s="12"/>
      <c r="U172" s="12"/>
      <c r="V172" s="12">
        <f t="shared" si="18"/>
        <v>0</v>
      </c>
      <c r="W172" s="12"/>
      <c r="X172" s="12"/>
      <c r="Y172" s="12">
        <f t="shared" si="19"/>
        <v>0</v>
      </c>
      <c r="Z172" s="12"/>
      <c r="AA172" s="12"/>
      <c r="AB172" s="13">
        <f t="shared" si="20"/>
        <v>0</v>
      </c>
      <c r="AC172" s="14">
        <v>46084</v>
      </c>
    </row>
    <row r="173" spans="1:29" ht="15.75" x14ac:dyDescent="0.25">
      <c r="A173" s="28">
        <v>46053</v>
      </c>
      <c r="B173" s="10" t="s">
        <v>272</v>
      </c>
      <c r="C173" s="10"/>
      <c r="D173" s="10"/>
      <c r="E173" s="10" t="s">
        <v>307</v>
      </c>
      <c r="F173" s="10">
        <v>27.5</v>
      </c>
      <c r="G173" s="10" t="s">
        <v>36</v>
      </c>
      <c r="H173" s="10">
        <v>43000</v>
      </c>
      <c r="I173" s="10">
        <f t="shared" si="14"/>
        <v>1182500</v>
      </c>
      <c r="J173" s="86" t="s">
        <v>113</v>
      </c>
      <c r="K173" s="10"/>
      <c r="L173" s="10"/>
      <c r="M173" s="12">
        <f t="shared" si="15"/>
        <v>1182500</v>
      </c>
      <c r="N173" s="12">
        <v>1182500</v>
      </c>
      <c r="O173" s="12"/>
      <c r="P173" s="12">
        <f t="shared" si="16"/>
        <v>0</v>
      </c>
      <c r="Q173" s="12"/>
      <c r="R173" s="12"/>
      <c r="S173" s="12">
        <f t="shared" si="17"/>
        <v>0</v>
      </c>
      <c r="T173" s="12"/>
      <c r="U173" s="12"/>
      <c r="V173" s="12">
        <f t="shared" si="18"/>
        <v>0</v>
      </c>
      <c r="W173" s="12"/>
      <c r="X173" s="12"/>
      <c r="Y173" s="12">
        <f t="shared" si="19"/>
        <v>0</v>
      </c>
      <c r="Z173" s="12"/>
      <c r="AA173" s="12"/>
      <c r="AB173" s="13">
        <f t="shared" si="20"/>
        <v>0</v>
      </c>
      <c r="AC173" s="14">
        <v>46084</v>
      </c>
    </row>
    <row r="174" spans="1:29" ht="15.75" x14ac:dyDescent="0.25">
      <c r="A174" s="28">
        <v>46053</v>
      </c>
      <c r="B174" s="10" t="s">
        <v>272</v>
      </c>
      <c r="C174" s="10"/>
      <c r="D174" s="10"/>
      <c r="E174" s="10" t="s">
        <v>86</v>
      </c>
      <c r="F174" s="10">
        <v>29</v>
      </c>
      <c r="G174" s="10" t="s">
        <v>36</v>
      </c>
      <c r="H174" s="10">
        <v>43000</v>
      </c>
      <c r="I174" s="10">
        <f t="shared" si="14"/>
        <v>1247000</v>
      </c>
      <c r="J174" s="86" t="s">
        <v>113</v>
      </c>
      <c r="K174" s="10"/>
      <c r="L174" s="10"/>
      <c r="M174" s="12">
        <f t="shared" si="15"/>
        <v>1247000</v>
      </c>
      <c r="N174" s="12">
        <v>1247000</v>
      </c>
      <c r="O174" s="12"/>
      <c r="P174" s="12">
        <f t="shared" si="16"/>
        <v>0</v>
      </c>
      <c r="Q174" s="12"/>
      <c r="R174" s="12"/>
      <c r="S174" s="12">
        <f t="shared" si="17"/>
        <v>0</v>
      </c>
      <c r="T174" s="12"/>
      <c r="U174" s="12"/>
      <c r="V174" s="12">
        <f t="shared" si="18"/>
        <v>0</v>
      </c>
      <c r="W174" s="12"/>
      <c r="X174" s="12"/>
      <c r="Y174" s="12">
        <f t="shared" si="19"/>
        <v>0</v>
      </c>
      <c r="Z174" s="12"/>
      <c r="AA174" s="12"/>
      <c r="AB174" s="13">
        <f t="shared" si="20"/>
        <v>0</v>
      </c>
      <c r="AC174" s="14">
        <v>46084</v>
      </c>
    </row>
    <row r="175" spans="1:29" ht="16.5" thickBot="1" x14ac:dyDescent="0.3">
      <c r="A175" s="30">
        <v>46053</v>
      </c>
      <c r="B175" s="31" t="s">
        <v>272</v>
      </c>
      <c r="C175" s="31"/>
      <c r="D175" s="31"/>
      <c r="E175" s="31" t="s">
        <v>443</v>
      </c>
      <c r="F175" s="31">
        <v>79</v>
      </c>
      <c r="G175" s="31" t="s">
        <v>36</v>
      </c>
      <c r="H175" s="31">
        <v>43000</v>
      </c>
      <c r="I175" s="31">
        <f t="shared" si="14"/>
        <v>3397000</v>
      </c>
      <c r="J175" s="103" t="s">
        <v>113</v>
      </c>
      <c r="K175" s="31"/>
      <c r="L175" s="31"/>
      <c r="M175" s="34">
        <f t="shared" si="15"/>
        <v>3397000</v>
      </c>
      <c r="N175" s="34">
        <v>3397000</v>
      </c>
      <c r="O175" s="34"/>
      <c r="P175" s="34">
        <f t="shared" si="16"/>
        <v>0</v>
      </c>
      <c r="Q175" s="34"/>
      <c r="R175" s="34"/>
      <c r="S175" s="34">
        <f t="shared" si="17"/>
        <v>0</v>
      </c>
      <c r="T175" s="34"/>
      <c r="U175" s="34"/>
      <c r="V175" s="34">
        <f t="shared" si="18"/>
        <v>0</v>
      </c>
      <c r="W175" s="34"/>
      <c r="X175" s="34"/>
      <c r="Y175" s="34">
        <f t="shared" si="19"/>
        <v>0</v>
      </c>
      <c r="Z175" s="34"/>
      <c r="AA175" s="34"/>
      <c r="AB175" s="35">
        <f t="shared" si="20"/>
        <v>0</v>
      </c>
      <c r="AC175" s="36">
        <v>46084</v>
      </c>
    </row>
    <row r="176" spans="1:29" ht="15.75" x14ac:dyDescent="0.25">
      <c r="A176" s="65">
        <v>46055</v>
      </c>
      <c r="B176" s="66" t="s">
        <v>272</v>
      </c>
      <c r="C176" s="66"/>
      <c r="D176" s="66"/>
      <c r="E176" s="66" t="s">
        <v>80</v>
      </c>
      <c r="F176" s="66">
        <v>44.9</v>
      </c>
      <c r="G176" s="66" t="s">
        <v>36</v>
      </c>
      <c r="H176" s="66">
        <v>43000</v>
      </c>
      <c r="I176" s="66">
        <f t="shared" si="14"/>
        <v>1930700</v>
      </c>
      <c r="J176" s="124" t="s">
        <v>113</v>
      </c>
      <c r="K176" s="66"/>
      <c r="L176" s="66"/>
      <c r="M176" s="67">
        <f t="shared" si="15"/>
        <v>1930700</v>
      </c>
      <c r="N176" s="67">
        <v>1930700</v>
      </c>
      <c r="O176" s="67"/>
      <c r="P176" s="67">
        <f t="shared" si="16"/>
        <v>0</v>
      </c>
      <c r="Q176" s="67"/>
      <c r="R176" s="67"/>
      <c r="S176" s="67">
        <f t="shared" si="17"/>
        <v>0</v>
      </c>
      <c r="T176" s="67"/>
      <c r="U176" s="67"/>
      <c r="V176" s="67">
        <f t="shared" si="18"/>
        <v>0</v>
      </c>
      <c r="W176" s="67"/>
      <c r="X176" s="67"/>
      <c r="Y176" s="67">
        <f t="shared" si="19"/>
        <v>0</v>
      </c>
      <c r="Z176" s="67"/>
      <c r="AA176" s="67"/>
      <c r="AB176" s="68">
        <f t="shared" si="20"/>
        <v>0</v>
      </c>
      <c r="AC176" s="69">
        <v>46084</v>
      </c>
    </row>
    <row r="177" spans="1:29" ht="15.75" x14ac:dyDescent="0.25">
      <c r="A177" s="28">
        <v>46055</v>
      </c>
      <c r="B177" s="10" t="s">
        <v>272</v>
      </c>
      <c r="C177" s="10"/>
      <c r="D177" s="10"/>
      <c r="E177" s="10" t="s">
        <v>168</v>
      </c>
      <c r="F177" s="10">
        <v>31</v>
      </c>
      <c r="G177" s="10" t="s">
        <v>36</v>
      </c>
      <c r="H177" s="10">
        <v>43000</v>
      </c>
      <c r="I177" s="10">
        <f t="shared" si="14"/>
        <v>1333000</v>
      </c>
      <c r="J177" s="115" t="s">
        <v>90</v>
      </c>
      <c r="K177" s="10"/>
      <c r="L177" s="10"/>
      <c r="M177" s="12">
        <f t="shared" si="15"/>
        <v>0</v>
      </c>
      <c r="N177" s="12"/>
      <c r="O177" s="12"/>
      <c r="P177" s="12">
        <f t="shared" si="16"/>
        <v>0</v>
      </c>
      <c r="Q177" s="12"/>
      <c r="R177" s="12"/>
      <c r="S177" s="12">
        <f t="shared" si="17"/>
        <v>0</v>
      </c>
      <c r="T177" s="12"/>
      <c r="U177" s="12"/>
      <c r="V177" s="12">
        <f t="shared" si="18"/>
        <v>0</v>
      </c>
      <c r="W177" s="12"/>
      <c r="X177" s="12"/>
      <c r="Y177" s="12">
        <f t="shared" si="19"/>
        <v>0</v>
      </c>
      <c r="Z177" s="12"/>
      <c r="AA177" s="12"/>
      <c r="AB177" s="13">
        <f t="shared" si="20"/>
        <v>1333000</v>
      </c>
      <c r="AC177" s="14"/>
    </row>
    <row r="178" spans="1:29" s="148" customFormat="1" ht="16.5" thickBot="1" x14ac:dyDescent="0.3">
      <c r="A178" s="28">
        <v>46055</v>
      </c>
      <c r="B178" s="10" t="s">
        <v>272</v>
      </c>
      <c r="C178" s="10"/>
      <c r="D178" s="10"/>
      <c r="E178" s="10" t="s">
        <v>80</v>
      </c>
      <c r="F178" s="10">
        <v>22.1</v>
      </c>
      <c r="G178" s="10" t="s">
        <v>36</v>
      </c>
      <c r="H178" s="10">
        <v>43000</v>
      </c>
      <c r="I178" s="10">
        <f t="shared" si="14"/>
        <v>950300.00000000012</v>
      </c>
      <c r="J178" s="86" t="s">
        <v>113</v>
      </c>
      <c r="K178" s="10"/>
      <c r="L178" s="10"/>
      <c r="M178" s="12">
        <f t="shared" si="15"/>
        <v>950300</v>
      </c>
      <c r="N178" s="12">
        <v>950300</v>
      </c>
      <c r="O178" s="12"/>
      <c r="P178" s="12">
        <f t="shared" si="16"/>
        <v>0</v>
      </c>
      <c r="Q178" s="12"/>
      <c r="R178" s="12"/>
      <c r="S178" s="12">
        <f t="shared" si="17"/>
        <v>0</v>
      </c>
      <c r="T178" s="12"/>
      <c r="U178" s="12"/>
      <c r="V178" s="12">
        <f t="shared" si="18"/>
        <v>0</v>
      </c>
      <c r="W178" s="12"/>
      <c r="X178" s="12"/>
      <c r="Y178" s="12">
        <f t="shared" si="19"/>
        <v>0</v>
      </c>
      <c r="Z178" s="12"/>
      <c r="AA178" s="12"/>
      <c r="AB178" s="13">
        <f t="shared" si="20"/>
        <v>1.1641532182693481E-10</v>
      </c>
      <c r="AC178" s="14">
        <v>46084</v>
      </c>
    </row>
    <row r="179" spans="1:29" ht="15.75" x14ac:dyDescent="0.25">
      <c r="A179" s="28">
        <v>46055</v>
      </c>
      <c r="B179" s="10" t="s">
        <v>176</v>
      </c>
      <c r="C179" s="10"/>
      <c r="D179" s="10" t="s">
        <v>383</v>
      </c>
      <c r="E179" s="10" t="s">
        <v>60</v>
      </c>
      <c r="F179" s="10">
        <v>10</v>
      </c>
      <c r="G179" s="10" t="s">
        <v>61</v>
      </c>
      <c r="H179" s="10">
        <v>150000</v>
      </c>
      <c r="I179" s="10">
        <f t="shared" si="14"/>
        <v>1500000</v>
      </c>
      <c r="J179" s="52" t="s">
        <v>30</v>
      </c>
      <c r="K179" s="87" t="s">
        <v>433</v>
      </c>
      <c r="L179" s="10"/>
      <c r="M179" s="12">
        <f t="shared" si="15"/>
        <v>0</v>
      </c>
      <c r="N179" s="12"/>
      <c r="O179" s="12"/>
      <c r="P179" s="12">
        <f t="shared" si="16"/>
        <v>0</v>
      </c>
      <c r="Q179" s="12"/>
      <c r="R179" s="12"/>
      <c r="S179" s="12">
        <f t="shared" si="17"/>
        <v>0</v>
      </c>
      <c r="T179" s="12"/>
      <c r="U179" s="12"/>
      <c r="V179" s="12">
        <f t="shared" si="18"/>
        <v>0</v>
      </c>
      <c r="W179" s="12"/>
      <c r="X179" s="12"/>
      <c r="Y179" s="12">
        <f t="shared" si="19"/>
        <v>0</v>
      </c>
      <c r="Z179" s="12"/>
      <c r="AA179" s="12"/>
      <c r="AB179" s="13">
        <f t="shared" si="20"/>
        <v>1500000</v>
      </c>
      <c r="AC179" s="14"/>
    </row>
    <row r="180" spans="1:29" ht="15.75" x14ac:dyDescent="0.25">
      <c r="A180" s="28">
        <v>46055</v>
      </c>
      <c r="B180" s="10" t="s">
        <v>176</v>
      </c>
      <c r="C180" s="10"/>
      <c r="D180" s="10" t="s">
        <v>383</v>
      </c>
      <c r="E180" s="10" t="s">
        <v>114</v>
      </c>
      <c r="F180" s="10">
        <v>10</v>
      </c>
      <c r="G180" s="10" t="s">
        <v>61</v>
      </c>
      <c r="H180" s="10">
        <v>50000</v>
      </c>
      <c r="I180" s="10">
        <f t="shared" si="14"/>
        <v>500000</v>
      </c>
      <c r="J180" s="52" t="s">
        <v>30</v>
      </c>
      <c r="K180" s="87" t="s">
        <v>433</v>
      </c>
      <c r="L180" s="10"/>
      <c r="M180" s="12">
        <f t="shared" si="15"/>
        <v>0</v>
      </c>
      <c r="N180" s="12"/>
      <c r="O180" s="12"/>
      <c r="P180" s="12">
        <f t="shared" si="16"/>
        <v>0</v>
      </c>
      <c r="Q180" s="12"/>
      <c r="R180" s="12"/>
      <c r="S180" s="12">
        <f t="shared" si="17"/>
        <v>0</v>
      </c>
      <c r="T180" s="12"/>
      <c r="U180" s="12"/>
      <c r="V180" s="12">
        <f t="shared" si="18"/>
        <v>0</v>
      </c>
      <c r="W180" s="12"/>
      <c r="X180" s="12"/>
      <c r="Y180" s="12">
        <f t="shared" si="19"/>
        <v>0</v>
      </c>
      <c r="Z180" s="12"/>
      <c r="AA180" s="12"/>
      <c r="AB180" s="13">
        <f t="shared" si="20"/>
        <v>500000</v>
      </c>
      <c r="AC180" s="14"/>
    </row>
    <row r="181" spans="1:29" ht="15.75" x14ac:dyDescent="0.25">
      <c r="A181" s="28">
        <v>46055</v>
      </c>
      <c r="B181" s="10" t="s">
        <v>176</v>
      </c>
      <c r="C181" s="10"/>
      <c r="D181" s="10" t="s">
        <v>383</v>
      </c>
      <c r="E181" s="10" t="s">
        <v>80</v>
      </c>
      <c r="F181" s="10">
        <v>22.7</v>
      </c>
      <c r="G181" s="10" t="s">
        <v>36</v>
      </c>
      <c r="H181" s="10">
        <v>43000</v>
      </c>
      <c r="I181" s="10">
        <f t="shared" si="14"/>
        <v>976100</v>
      </c>
      <c r="J181" s="52" t="s">
        <v>30</v>
      </c>
      <c r="K181" s="87" t="s">
        <v>433</v>
      </c>
      <c r="L181" s="10"/>
      <c r="M181" s="12">
        <f t="shared" si="15"/>
        <v>0</v>
      </c>
      <c r="N181" s="12"/>
      <c r="O181" s="12"/>
      <c r="P181" s="12">
        <f t="shared" si="16"/>
        <v>0</v>
      </c>
      <c r="Q181" s="12"/>
      <c r="R181" s="12"/>
      <c r="S181" s="12">
        <f t="shared" si="17"/>
        <v>0</v>
      </c>
      <c r="T181" s="12"/>
      <c r="U181" s="12"/>
      <c r="V181" s="12">
        <f t="shared" si="18"/>
        <v>0</v>
      </c>
      <c r="W181" s="12"/>
      <c r="X181" s="12"/>
      <c r="Y181" s="12">
        <f t="shared" si="19"/>
        <v>0</v>
      </c>
      <c r="Z181" s="12"/>
      <c r="AA181" s="12"/>
      <c r="AB181" s="13">
        <f t="shared" si="20"/>
        <v>976100</v>
      </c>
      <c r="AC181" s="14"/>
    </row>
    <row r="182" spans="1:29" ht="15.75" x14ac:dyDescent="0.25">
      <c r="A182" s="65">
        <v>46056</v>
      </c>
      <c r="B182" s="66" t="s">
        <v>144</v>
      </c>
      <c r="C182" s="66"/>
      <c r="D182" s="66" t="s">
        <v>383</v>
      </c>
      <c r="E182" s="66" t="s">
        <v>164</v>
      </c>
      <c r="F182" s="66">
        <v>34</v>
      </c>
      <c r="G182" s="66" t="s">
        <v>36</v>
      </c>
      <c r="H182" s="66">
        <v>43000</v>
      </c>
      <c r="I182" s="66">
        <f t="shared" si="14"/>
        <v>1462000</v>
      </c>
      <c r="J182" s="114" t="s">
        <v>90</v>
      </c>
      <c r="K182" s="102" t="s">
        <v>415</v>
      </c>
      <c r="L182" s="66"/>
      <c r="M182" s="67">
        <f t="shared" si="15"/>
        <v>0</v>
      </c>
      <c r="N182" s="67"/>
      <c r="O182" s="67"/>
      <c r="P182" s="67">
        <f t="shared" si="16"/>
        <v>0</v>
      </c>
      <c r="Q182" s="67"/>
      <c r="R182" s="67"/>
      <c r="S182" s="67">
        <f t="shared" si="17"/>
        <v>0</v>
      </c>
      <c r="T182" s="67"/>
      <c r="U182" s="67"/>
      <c r="V182" s="67">
        <f t="shared" si="18"/>
        <v>0</v>
      </c>
      <c r="W182" s="67"/>
      <c r="X182" s="67"/>
      <c r="Y182" s="67">
        <f t="shared" si="19"/>
        <v>0</v>
      </c>
      <c r="Z182" s="67"/>
      <c r="AA182" s="67"/>
      <c r="AB182" s="68">
        <f t="shared" si="20"/>
        <v>1462000</v>
      </c>
      <c r="AC182" s="69"/>
    </row>
    <row r="183" spans="1:29" ht="15.75" x14ac:dyDescent="0.25">
      <c r="A183" s="65">
        <v>46056</v>
      </c>
      <c r="B183" s="10" t="s">
        <v>144</v>
      </c>
      <c r="C183" s="10"/>
      <c r="D183" s="10" t="s">
        <v>383</v>
      </c>
      <c r="E183" s="10" t="s">
        <v>139</v>
      </c>
      <c r="F183" s="10">
        <v>39.5</v>
      </c>
      <c r="G183" s="10" t="s">
        <v>36</v>
      </c>
      <c r="H183" s="10">
        <v>43000</v>
      </c>
      <c r="I183" s="10">
        <f t="shared" si="14"/>
        <v>1698500</v>
      </c>
      <c r="J183" s="52" t="s">
        <v>90</v>
      </c>
      <c r="K183" s="88" t="s">
        <v>415</v>
      </c>
      <c r="L183" s="10"/>
      <c r="M183" s="12">
        <f t="shared" si="15"/>
        <v>0</v>
      </c>
      <c r="N183" s="12"/>
      <c r="O183" s="12"/>
      <c r="P183" s="12">
        <f t="shared" si="16"/>
        <v>0</v>
      </c>
      <c r="Q183" s="12"/>
      <c r="R183" s="12"/>
      <c r="S183" s="12">
        <f t="shared" si="17"/>
        <v>0</v>
      </c>
      <c r="T183" s="12"/>
      <c r="U183" s="12"/>
      <c r="V183" s="12">
        <f t="shared" si="18"/>
        <v>0</v>
      </c>
      <c r="W183" s="12"/>
      <c r="X183" s="12"/>
      <c r="Y183" s="12">
        <f t="shared" si="19"/>
        <v>0</v>
      </c>
      <c r="Z183" s="12"/>
      <c r="AA183" s="12"/>
      <c r="AB183" s="13">
        <f t="shared" si="20"/>
        <v>1698500</v>
      </c>
      <c r="AC183" s="14"/>
    </row>
    <row r="184" spans="1:29" ht="15.75" x14ac:dyDescent="0.25">
      <c r="A184" s="28">
        <v>46056</v>
      </c>
      <c r="B184" s="10" t="s">
        <v>234</v>
      </c>
      <c r="C184" s="10"/>
      <c r="D184" s="10" t="s">
        <v>28</v>
      </c>
      <c r="E184" s="10" t="s">
        <v>116</v>
      </c>
      <c r="F184" s="10">
        <v>24</v>
      </c>
      <c r="G184" s="10" t="s">
        <v>67</v>
      </c>
      <c r="H184" s="10">
        <v>65000</v>
      </c>
      <c r="I184" s="10">
        <f t="shared" si="14"/>
        <v>1560000</v>
      </c>
      <c r="J184" s="29" t="s">
        <v>110</v>
      </c>
      <c r="K184" s="10" t="s">
        <v>433</v>
      </c>
      <c r="L184" s="10"/>
      <c r="M184" s="12">
        <f t="shared" si="15"/>
        <v>0</v>
      </c>
      <c r="N184" s="12"/>
      <c r="O184" s="12"/>
      <c r="P184" s="12">
        <f t="shared" si="16"/>
        <v>1560000</v>
      </c>
      <c r="Q184" s="12">
        <v>1560000</v>
      </c>
      <c r="R184" s="12"/>
      <c r="S184" s="12">
        <f t="shared" si="17"/>
        <v>0</v>
      </c>
      <c r="T184" s="12"/>
      <c r="U184" s="12"/>
      <c r="V184" s="12">
        <f t="shared" si="18"/>
        <v>0</v>
      </c>
      <c r="W184" s="12"/>
      <c r="X184" s="12"/>
      <c r="Y184" s="12">
        <f t="shared" si="19"/>
        <v>0</v>
      </c>
      <c r="Z184" s="12"/>
      <c r="AA184" s="12"/>
      <c r="AB184" s="13">
        <f t="shared" si="20"/>
        <v>0</v>
      </c>
      <c r="AC184" s="14">
        <v>46065</v>
      </c>
    </row>
    <row r="185" spans="1:29" ht="15.75" x14ac:dyDescent="0.25">
      <c r="A185" s="65">
        <v>46056</v>
      </c>
      <c r="B185" s="10" t="s">
        <v>272</v>
      </c>
      <c r="C185" s="10"/>
      <c r="D185" s="10"/>
      <c r="E185" s="10" t="s">
        <v>80</v>
      </c>
      <c r="F185" s="10">
        <v>22.7</v>
      </c>
      <c r="G185" s="10" t="s">
        <v>36</v>
      </c>
      <c r="H185" s="10">
        <v>43000</v>
      </c>
      <c r="I185" s="10">
        <f t="shared" si="14"/>
        <v>976100</v>
      </c>
      <c r="J185" s="86" t="s">
        <v>113</v>
      </c>
      <c r="K185" s="10"/>
      <c r="L185" s="10"/>
      <c r="M185" s="12">
        <f t="shared" si="15"/>
        <v>976100</v>
      </c>
      <c r="N185" s="12">
        <v>976100</v>
      </c>
      <c r="O185" s="12"/>
      <c r="P185" s="12">
        <f t="shared" si="16"/>
        <v>0</v>
      </c>
      <c r="Q185" s="12"/>
      <c r="R185" s="12"/>
      <c r="S185" s="12">
        <f t="shared" si="17"/>
        <v>0</v>
      </c>
      <c r="T185" s="12"/>
      <c r="U185" s="12"/>
      <c r="V185" s="12">
        <f t="shared" si="18"/>
        <v>0</v>
      </c>
      <c r="W185" s="12"/>
      <c r="X185" s="12"/>
      <c r="Y185" s="12">
        <f t="shared" si="19"/>
        <v>0</v>
      </c>
      <c r="Z185" s="12"/>
      <c r="AA185" s="12"/>
      <c r="AB185" s="13">
        <f t="shared" si="20"/>
        <v>0</v>
      </c>
      <c r="AC185" s="14">
        <v>46084</v>
      </c>
    </row>
    <row r="186" spans="1:29" ht="15.75" x14ac:dyDescent="0.25">
      <c r="A186" s="65">
        <v>46056</v>
      </c>
      <c r="B186" s="10" t="s">
        <v>272</v>
      </c>
      <c r="C186" s="10"/>
      <c r="D186" s="10"/>
      <c r="E186" s="10" t="s">
        <v>80</v>
      </c>
      <c r="F186" s="10">
        <v>22.8</v>
      </c>
      <c r="G186" s="10" t="s">
        <v>36</v>
      </c>
      <c r="H186" s="10">
        <v>43000</v>
      </c>
      <c r="I186" s="10">
        <f t="shared" si="14"/>
        <v>980400</v>
      </c>
      <c r="J186" s="86" t="s">
        <v>113</v>
      </c>
      <c r="K186" s="10"/>
      <c r="L186" s="10"/>
      <c r="M186" s="12">
        <f t="shared" si="15"/>
        <v>980400</v>
      </c>
      <c r="N186" s="12">
        <v>980400</v>
      </c>
      <c r="O186" s="12"/>
      <c r="P186" s="12">
        <f t="shared" si="16"/>
        <v>0</v>
      </c>
      <c r="Q186" s="12"/>
      <c r="R186" s="12"/>
      <c r="S186" s="12">
        <f t="shared" si="17"/>
        <v>0</v>
      </c>
      <c r="T186" s="12"/>
      <c r="U186" s="12"/>
      <c r="V186" s="12">
        <f t="shared" si="18"/>
        <v>0</v>
      </c>
      <c r="W186" s="12"/>
      <c r="X186" s="12"/>
      <c r="Y186" s="12">
        <f t="shared" si="19"/>
        <v>0</v>
      </c>
      <c r="Z186" s="12"/>
      <c r="AA186" s="12"/>
      <c r="AB186" s="13">
        <f t="shared" si="20"/>
        <v>0</v>
      </c>
      <c r="AC186" s="14">
        <v>46084</v>
      </c>
    </row>
    <row r="187" spans="1:29" s="148" customFormat="1" ht="16.5" thickBot="1" x14ac:dyDescent="0.3">
      <c r="A187" s="28">
        <v>46056</v>
      </c>
      <c r="B187" s="10" t="s">
        <v>272</v>
      </c>
      <c r="C187" s="10"/>
      <c r="D187" s="10"/>
      <c r="E187" s="10" t="s">
        <v>304</v>
      </c>
      <c r="F187" s="10">
        <v>37.200000000000003</v>
      </c>
      <c r="G187" s="10" t="s">
        <v>36</v>
      </c>
      <c r="H187" s="10">
        <v>90000</v>
      </c>
      <c r="I187" s="10">
        <f t="shared" si="14"/>
        <v>3348000.0000000005</v>
      </c>
      <c r="J187" s="86" t="s">
        <v>113</v>
      </c>
      <c r="K187" s="10"/>
      <c r="L187" s="10"/>
      <c r="M187" s="12">
        <f t="shared" si="15"/>
        <v>3348000</v>
      </c>
      <c r="N187" s="12">
        <v>3348000</v>
      </c>
      <c r="O187" s="12"/>
      <c r="P187" s="12">
        <f t="shared" si="16"/>
        <v>0</v>
      </c>
      <c r="Q187" s="12"/>
      <c r="R187" s="12"/>
      <c r="S187" s="12">
        <f t="shared" si="17"/>
        <v>0</v>
      </c>
      <c r="T187" s="12"/>
      <c r="U187" s="12"/>
      <c r="V187" s="12">
        <f t="shared" si="18"/>
        <v>0</v>
      </c>
      <c r="W187" s="12"/>
      <c r="X187" s="12"/>
      <c r="Y187" s="12">
        <f t="shared" si="19"/>
        <v>0</v>
      </c>
      <c r="Z187" s="12"/>
      <c r="AA187" s="12"/>
      <c r="AB187" s="13">
        <f t="shared" si="20"/>
        <v>4.6566128730773926E-10</v>
      </c>
      <c r="AC187" s="14">
        <v>46084</v>
      </c>
    </row>
    <row r="188" spans="1:29" ht="15.75" x14ac:dyDescent="0.25">
      <c r="A188" s="28">
        <v>46057</v>
      </c>
      <c r="B188" s="10" t="s">
        <v>272</v>
      </c>
      <c r="C188" s="10"/>
      <c r="D188" s="10"/>
      <c r="E188" s="10" t="s">
        <v>80</v>
      </c>
      <c r="F188" s="10">
        <v>45</v>
      </c>
      <c r="G188" s="10" t="s">
        <v>36</v>
      </c>
      <c r="H188" s="10">
        <v>43000</v>
      </c>
      <c r="I188" s="10">
        <f t="shared" si="14"/>
        <v>1935000</v>
      </c>
      <c r="J188" s="86" t="s">
        <v>113</v>
      </c>
      <c r="K188" s="10"/>
      <c r="L188" s="10"/>
      <c r="M188" s="12">
        <f t="shared" si="15"/>
        <v>1935000</v>
      </c>
      <c r="N188" s="12">
        <v>1935000</v>
      </c>
      <c r="O188" s="12"/>
      <c r="P188" s="12">
        <f t="shared" si="16"/>
        <v>0</v>
      </c>
      <c r="Q188" s="12"/>
      <c r="R188" s="12"/>
      <c r="S188" s="12">
        <f t="shared" si="17"/>
        <v>0</v>
      </c>
      <c r="T188" s="12"/>
      <c r="U188" s="12"/>
      <c r="V188" s="12">
        <f t="shared" si="18"/>
        <v>0</v>
      </c>
      <c r="W188" s="12"/>
      <c r="X188" s="12"/>
      <c r="Y188" s="12">
        <f t="shared" si="19"/>
        <v>0</v>
      </c>
      <c r="Z188" s="12"/>
      <c r="AA188" s="12"/>
      <c r="AB188" s="13">
        <f t="shared" si="20"/>
        <v>0</v>
      </c>
      <c r="AC188" s="14">
        <v>46084</v>
      </c>
    </row>
    <row r="189" spans="1:29" ht="15.75" x14ac:dyDescent="0.25">
      <c r="A189" s="28">
        <v>46057</v>
      </c>
      <c r="B189" s="10" t="s">
        <v>272</v>
      </c>
      <c r="C189" s="10"/>
      <c r="D189" s="10"/>
      <c r="E189" s="10" t="s">
        <v>92</v>
      </c>
      <c r="F189" s="10">
        <v>68.599999999999994</v>
      </c>
      <c r="G189" s="10" t="s">
        <v>36</v>
      </c>
      <c r="H189" s="10">
        <v>43000</v>
      </c>
      <c r="I189" s="10">
        <f t="shared" si="14"/>
        <v>2949799.9999999995</v>
      </c>
      <c r="J189" s="86" t="s">
        <v>113</v>
      </c>
      <c r="K189" s="10"/>
      <c r="L189" s="10"/>
      <c r="M189" s="12">
        <f t="shared" si="15"/>
        <v>2949800</v>
      </c>
      <c r="N189" s="12">
        <v>2949800</v>
      </c>
      <c r="O189" s="12"/>
      <c r="P189" s="12">
        <f t="shared" si="16"/>
        <v>0</v>
      </c>
      <c r="Q189" s="12"/>
      <c r="R189" s="12"/>
      <c r="S189" s="12">
        <f t="shared" si="17"/>
        <v>0</v>
      </c>
      <c r="T189" s="12"/>
      <c r="U189" s="12"/>
      <c r="V189" s="12">
        <f t="shared" si="18"/>
        <v>0</v>
      </c>
      <c r="W189" s="12"/>
      <c r="X189" s="12"/>
      <c r="Y189" s="12">
        <f t="shared" si="19"/>
        <v>0</v>
      </c>
      <c r="Z189" s="12"/>
      <c r="AA189" s="12"/>
      <c r="AB189" s="13">
        <f t="shared" si="20"/>
        <v>-4.6566128730773926E-10</v>
      </c>
      <c r="AC189" s="14">
        <v>46084</v>
      </c>
    </row>
    <row r="190" spans="1:29" s="148" customFormat="1" ht="16.5" thickBot="1" x14ac:dyDescent="0.3">
      <c r="A190" s="28">
        <v>46057</v>
      </c>
      <c r="B190" s="10" t="s">
        <v>272</v>
      </c>
      <c r="C190" s="10"/>
      <c r="D190" s="10"/>
      <c r="E190" s="10" t="s">
        <v>168</v>
      </c>
      <c r="F190" s="10">
        <v>157.6</v>
      </c>
      <c r="G190" s="10" t="s">
        <v>36</v>
      </c>
      <c r="H190" s="10">
        <v>43000</v>
      </c>
      <c r="I190" s="10">
        <f t="shared" si="14"/>
        <v>6776800</v>
      </c>
      <c r="J190" s="115" t="s">
        <v>90</v>
      </c>
      <c r="K190" s="10"/>
      <c r="L190" s="10"/>
      <c r="M190" s="12">
        <f t="shared" si="15"/>
        <v>0</v>
      </c>
      <c r="N190" s="12"/>
      <c r="O190" s="12"/>
      <c r="P190" s="12">
        <f t="shared" si="16"/>
        <v>0</v>
      </c>
      <c r="Q190" s="12"/>
      <c r="R190" s="12"/>
      <c r="S190" s="12">
        <f t="shared" si="17"/>
        <v>0</v>
      </c>
      <c r="T190" s="12"/>
      <c r="U190" s="12"/>
      <c r="V190" s="12">
        <f t="shared" si="18"/>
        <v>0</v>
      </c>
      <c r="W190" s="12"/>
      <c r="X190" s="12"/>
      <c r="Y190" s="12">
        <f t="shared" si="19"/>
        <v>0</v>
      </c>
      <c r="Z190" s="12"/>
      <c r="AA190" s="12"/>
      <c r="AB190" s="13">
        <f t="shared" si="20"/>
        <v>6776800</v>
      </c>
      <c r="AC190" s="14"/>
    </row>
    <row r="191" spans="1:29" ht="15.75" x14ac:dyDescent="0.25">
      <c r="A191" s="28">
        <v>46058</v>
      </c>
      <c r="B191" s="10" t="s">
        <v>74</v>
      </c>
      <c r="C191" s="10"/>
      <c r="D191" s="10" t="s">
        <v>383</v>
      </c>
      <c r="E191" s="10" t="s">
        <v>88</v>
      </c>
      <c r="F191" s="10">
        <v>25</v>
      </c>
      <c r="G191" s="10" t="s">
        <v>36</v>
      </c>
      <c r="H191" s="10">
        <v>95400</v>
      </c>
      <c r="I191" s="10">
        <f t="shared" si="14"/>
        <v>2385000</v>
      </c>
      <c r="J191" s="29" t="s">
        <v>113</v>
      </c>
      <c r="K191" s="95" t="s">
        <v>457</v>
      </c>
      <c r="L191" s="10"/>
      <c r="M191" s="12">
        <f t="shared" si="15"/>
        <v>0</v>
      </c>
      <c r="N191" s="12"/>
      <c r="O191" s="12"/>
      <c r="P191" s="12">
        <f t="shared" si="16"/>
        <v>0</v>
      </c>
      <c r="Q191" s="12"/>
      <c r="R191" s="12"/>
      <c r="S191" s="12">
        <f t="shared" si="17"/>
        <v>0</v>
      </c>
      <c r="T191" s="12"/>
      <c r="U191" s="12"/>
      <c r="V191" s="12">
        <f t="shared" si="18"/>
        <v>2385000</v>
      </c>
      <c r="W191" s="12">
        <v>2385000</v>
      </c>
      <c r="X191" s="12"/>
      <c r="Y191" s="12">
        <f t="shared" si="19"/>
        <v>0</v>
      </c>
      <c r="Z191" s="12"/>
      <c r="AA191" s="12"/>
      <c r="AB191" s="13">
        <f t="shared" si="20"/>
        <v>0</v>
      </c>
      <c r="AC191" s="14">
        <v>46085</v>
      </c>
    </row>
    <row r="192" spans="1:29" ht="15.75" x14ac:dyDescent="0.25">
      <c r="A192" s="28">
        <v>46058</v>
      </c>
      <c r="B192" s="10" t="s">
        <v>272</v>
      </c>
      <c r="C192" s="10"/>
      <c r="D192" s="10"/>
      <c r="E192" s="10" t="s">
        <v>46</v>
      </c>
      <c r="F192" s="10">
        <v>52.2</v>
      </c>
      <c r="G192" s="10" t="s">
        <v>36</v>
      </c>
      <c r="H192" s="10">
        <v>90000</v>
      </c>
      <c r="I192" s="10">
        <f t="shared" si="14"/>
        <v>4698000</v>
      </c>
      <c r="J192" s="86" t="s">
        <v>113</v>
      </c>
      <c r="K192" s="10"/>
      <c r="L192" s="10"/>
      <c r="M192" s="12">
        <f t="shared" si="15"/>
        <v>4698000</v>
      </c>
      <c r="N192" s="12">
        <v>4698000</v>
      </c>
      <c r="O192" s="12"/>
      <c r="P192" s="12">
        <f t="shared" si="16"/>
        <v>0</v>
      </c>
      <c r="Q192" s="12"/>
      <c r="R192" s="12"/>
      <c r="S192" s="12">
        <f t="shared" si="17"/>
        <v>0</v>
      </c>
      <c r="T192" s="12"/>
      <c r="U192" s="12"/>
      <c r="V192" s="12">
        <f t="shared" si="18"/>
        <v>0</v>
      </c>
      <c r="W192" s="12"/>
      <c r="X192" s="12"/>
      <c r="Y192" s="12">
        <f t="shared" si="19"/>
        <v>0</v>
      </c>
      <c r="Z192" s="12"/>
      <c r="AA192" s="12"/>
      <c r="AB192" s="13">
        <f t="shared" si="20"/>
        <v>0</v>
      </c>
      <c r="AC192" s="14">
        <v>46084</v>
      </c>
    </row>
    <row r="193" spans="1:29" ht="15.75" x14ac:dyDescent="0.25">
      <c r="A193" s="28">
        <v>46058</v>
      </c>
      <c r="B193" s="10" t="s">
        <v>272</v>
      </c>
      <c r="C193" s="10"/>
      <c r="D193" s="10"/>
      <c r="E193" s="10" t="s">
        <v>168</v>
      </c>
      <c r="F193" s="10">
        <v>31.6</v>
      </c>
      <c r="G193" s="10" t="s">
        <v>36</v>
      </c>
      <c r="H193" s="10">
        <v>43000</v>
      </c>
      <c r="I193" s="10">
        <f t="shared" si="14"/>
        <v>1358800</v>
      </c>
      <c r="J193" s="115" t="s">
        <v>90</v>
      </c>
      <c r="K193" s="10"/>
      <c r="L193" s="10"/>
      <c r="M193" s="12">
        <f t="shared" si="15"/>
        <v>0</v>
      </c>
      <c r="N193" s="12"/>
      <c r="O193" s="12"/>
      <c r="P193" s="12">
        <f t="shared" si="16"/>
        <v>0</v>
      </c>
      <c r="Q193" s="12"/>
      <c r="R193" s="12"/>
      <c r="S193" s="12">
        <f t="shared" si="17"/>
        <v>0</v>
      </c>
      <c r="T193" s="12"/>
      <c r="U193" s="12"/>
      <c r="V193" s="12">
        <f t="shared" si="18"/>
        <v>0</v>
      </c>
      <c r="W193" s="12"/>
      <c r="X193" s="12"/>
      <c r="Y193" s="12">
        <f t="shared" si="19"/>
        <v>0</v>
      </c>
      <c r="Z193" s="12"/>
      <c r="AA193" s="12"/>
      <c r="AB193" s="13">
        <f t="shared" si="20"/>
        <v>1358800</v>
      </c>
      <c r="AC193" s="14"/>
    </row>
    <row r="194" spans="1:29" s="148" customFormat="1" ht="16.5" thickBot="1" x14ac:dyDescent="0.3">
      <c r="A194" s="28">
        <v>46058</v>
      </c>
      <c r="B194" s="10" t="s">
        <v>272</v>
      </c>
      <c r="C194" s="10"/>
      <c r="D194" s="10"/>
      <c r="E194" s="10" t="s">
        <v>265</v>
      </c>
      <c r="F194" s="10">
        <v>22.1</v>
      </c>
      <c r="G194" s="10" t="s">
        <v>36</v>
      </c>
      <c r="H194" s="10">
        <v>43000</v>
      </c>
      <c r="I194" s="10">
        <f t="shared" si="14"/>
        <v>950300.00000000012</v>
      </c>
      <c r="J194" s="115" t="s">
        <v>90</v>
      </c>
      <c r="K194" s="10"/>
      <c r="L194" s="10"/>
      <c r="M194" s="12">
        <f t="shared" si="15"/>
        <v>0</v>
      </c>
      <c r="N194" s="12"/>
      <c r="O194" s="12"/>
      <c r="P194" s="12">
        <f t="shared" si="16"/>
        <v>0</v>
      </c>
      <c r="Q194" s="12"/>
      <c r="R194" s="12"/>
      <c r="S194" s="12">
        <f t="shared" si="17"/>
        <v>0</v>
      </c>
      <c r="T194" s="12"/>
      <c r="U194" s="12"/>
      <c r="V194" s="12">
        <f t="shared" si="18"/>
        <v>0</v>
      </c>
      <c r="W194" s="12"/>
      <c r="X194" s="12"/>
      <c r="Y194" s="12">
        <f t="shared" si="19"/>
        <v>0</v>
      </c>
      <c r="Z194" s="12"/>
      <c r="AA194" s="12"/>
      <c r="AB194" s="13">
        <f t="shared" si="20"/>
        <v>950300.00000000012</v>
      </c>
      <c r="AC194" s="14"/>
    </row>
    <row r="195" spans="1:29" ht="15.75" x14ac:dyDescent="0.25">
      <c r="A195" s="28">
        <v>46059</v>
      </c>
      <c r="B195" s="10" t="s">
        <v>122</v>
      </c>
      <c r="C195" s="10"/>
      <c r="D195" s="10" t="s">
        <v>383</v>
      </c>
      <c r="E195" s="10" t="s">
        <v>88</v>
      </c>
      <c r="F195" s="60">
        <v>75</v>
      </c>
      <c r="G195" s="10" t="s">
        <v>36</v>
      </c>
      <c r="H195" s="60">
        <v>125000</v>
      </c>
      <c r="I195" s="10">
        <f t="shared" si="14"/>
        <v>9375000</v>
      </c>
      <c r="J195" s="29" t="s">
        <v>113</v>
      </c>
      <c r="K195" s="60" t="s">
        <v>435</v>
      </c>
      <c r="L195" s="10"/>
      <c r="M195" s="12">
        <f t="shared" si="15"/>
        <v>9375000</v>
      </c>
      <c r="N195" s="12">
        <v>9375000</v>
      </c>
      <c r="O195" s="12"/>
      <c r="P195" s="12">
        <f t="shared" si="16"/>
        <v>0</v>
      </c>
      <c r="Q195" s="12"/>
      <c r="R195" s="12"/>
      <c r="S195" s="12">
        <f t="shared" si="17"/>
        <v>0</v>
      </c>
      <c r="T195" s="12"/>
      <c r="U195" s="12"/>
      <c r="V195" s="12">
        <f t="shared" si="18"/>
        <v>0</v>
      </c>
      <c r="W195" s="12"/>
      <c r="X195" s="12"/>
      <c r="Y195" s="12">
        <f t="shared" si="19"/>
        <v>0</v>
      </c>
      <c r="Z195" s="12"/>
      <c r="AA195" s="12"/>
      <c r="AB195" s="13">
        <f t="shared" si="20"/>
        <v>0</v>
      </c>
      <c r="AC195" s="14">
        <v>46086</v>
      </c>
    </row>
    <row r="196" spans="1:29" ht="15.75" x14ac:dyDescent="0.25">
      <c r="A196" s="28">
        <v>46059</v>
      </c>
      <c r="B196" s="10" t="s">
        <v>122</v>
      </c>
      <c r="C196" s="10"/>
      <c r="D196" s="10" t="s">
        <v>383</v>
      </c>
      <c r="E196" s="10" t="s">
        <v>138</v>
      </c>
      <c r="F196" s="60">
        <v>16</v>
      </c>
      <c r="G196" s="10" t="s">
        <v>61</v>
      </c>
      <c r="H196" s="60">
        <v>300000</v>
      </c>
      <c r="I196" s="10">
        <f t="shared" si="14"/>
        <v>4800000</v>
      </c>
      <c r="J196" s="29" t="s">
        <v>113</v>
      </c>
      <c r="K196" s="60" t="s">
        <v>435</v>
      </c>
      <c r="L196" s="10"/>
      <c r="M196" s="12">
        <f t="shared" si="15"/>
        <v>4800000</v>
      </c>
      <c r="N196" s="12">
        <v>4800000</v>
      </c>
      <c r="O196" s="12"/>
      <c r="P196" s="12">
        <f t="shared" si="16"/>
        <v>0</v>
      </c>
      <c r="Q196" s="12"/>
      <c r="R196" s="12"/>
      <c r="S196" s="12">
        <f t="shared" si="17"/>
        <v>0</v>
      </c>
      <c r="T196" s="12"/>
      <c r="U196" s="12"/>
      <c r="V196" s="12">
        <f t="shared" si="18"/>
        <v>0</v>
      </c>
      <c r="W196" s="12"/>
      <c r="X196" s="12"/>
      <c r="Y196" s="12">
        <f t="shared" si="19"/>
        <v>0</v>
      </c>
      <c r="Z196" s="12"/>
      <c r="AA196" s="12"/>
      <c r="AB196" s="13">
        <f t="shared" si="20"/>
        <v>0</v>
      </c>
      <c r="AC196" s="14">
        <v>46086</v>
      </c>
    </row>
    <row r="197" spans="1:29" ht="15.75" x14ac:dyDescent="0.25">
      <c r="A197" s="28">
        <v>46059</v>
      </c>
      <c r="B197" s="10" t="s">
        <v>122</v>
      </c>
      <c r="C197" s="10"/>
      <c r="D197" s="10" t="s">
        <v>383</v>
      </c>
      <c r="E197" s="10" t="s">
        <v>118</v>
      </c>
      <c r="F197" s="60">
        <v>10</v>
      </c>
      <c r="G197" s="10" t="s">
        <v>22</v>
      </c>
      <c r="H197" s="60">
        <v>400000</v>
      </c>
      <c r="I197" s="10">
        <f t="shared" ref="I197:I260" si="21">F197*H197</f>
        <v>4000000</v>
      </c>
      <c r="J197" s="29" t="s">
        <v>113</v>
      </c>
      <c r="K197" s="60" t="s">
        <v>435</v>
      </c>
      <c r="L197" s="10"/>
      <c r="M197" s="12">
        <f t="shared" ref="M197:M260" si="22">N197+O197</f>
        <v>4000000</v>
      </c>
      <c r="N197" s="12">
        <v>4000000</v>
      </c>
      <c r="O197" s="12"/>
      <c r="P197" s="12">
        <f t="shared" ref="P197:P260" si="23">Q197+R197</f>
        <v>0</v>
      </c>
      <c r="Q197" s="12"/>
      <c r="R197" s="12"/>
      <c r="S197" s="12">
        <f t="shared" ref="S197:S260" si="24">T197+U197</f>
        <v>0</v>
      </c>
      <c r="T197" s="12"/>
      <c r="U197" s="12"/>
      <c r="V197" s="12">
        <f t="shared" ref="V197:V260" si="25">W197+X197</f>
        <v>0</v>
      </c>
      <c r="W197" s="12"/>
      <c r="X197" s="12"/>
      <c r="Y197" s="12">
        <f t="shared" ref="Y197:Y260" si="26">Z197+AA197</f>
        <v>0</v>
      </c>
      <c r="Z197" s="12"/>
      <c r="AA197" s="12"/>
      <c r="AB197" s="13">
        <f t="shared" ref="AB197:AB260" si="27">C197+I197-M197-P197-V197-Y197-S197</f>
        <v>0</v>
      </c>
      <c r="AC197" s="14">
        <v>46086</v>
      </c>
    </row>
    <row r="198" spans="1:29" ht="15.75" x14ac:dyDescent="0.25">
      <c r="A198" s="28">
        <v>46059</v>
      </c>
      <c r="B198" s="10" t="s">
        <v>272</v>
      </c>
      <c r="C198" s="10"/>
      <c r="D198" s="10"/>
      <c r="E198" s="10" t="s">
        <v>265</v>
      </c>
      <c r="F198" s="10">
        <v>23.2</v>
      </c>
      <c r="G198" s="10" t="s">
        <v>36</v>
      </c>
      <c r="H198" s="10">
        <v>43000</v>
      </c>
      <c r="I198" s="10">
        <f t="shared" si="21"/>
        <v>997600</v>
      </c>
      <c r="J198" s="115" t="s">
        <v>90</v>
      </c>
      <c r="K198" s="60"/>
      <c r="L198" s="10"/>
      <c r="M198" s="12">
        <f t="shared" si="22"/>
        <v>0</v>
      </c>
      <c r="N198" s="12"/>
      <c r="O198" s="12"/>
      <c r="P198" s="12">
        <f t="shared" si="23"/>
        <v>0</v>
      </c>
      <c r="Q198" s="12"/>
      <c r="R198" s="12"/>
      <c r="S198" s="12">
        <f t="shared" si="24"/>
        <v>0</v>
      </c>
      <c r="T198" s="12"/>
      <c r="U198" s="12"/>
      <c r="V198" s="12">
        <f t="shared" si="25"/>
        <v>0</v>
      </c>
      <c r="W198" s="12"/>
      <c r="X198" s="12"/>
      <c r="Y198" s="12">
        <f t="shared" si="26"/>
        <v>0</v>
      </c>
      <c r="Z198" s="12"/>
      <c r="AA198" s="12"/>
      <c r="AB198" s="13">
        <f t="shared" si="27"/>
        <v>997600</v>
      </c>
      <c r="AC198" s="14"/>
    </row>
    <row r="199" spans="1:29" ht="15.75" x14ac:dyDescent="0.25">
      <c r="A199" s="28">
        <v>46059</v>
      </c>
      <c r="B199" s="10" t="s">
        <v>272</v>
      </c>
      <c r="C199" s="10"/>
      <c r="D199" s="10"/>
      <c r="E199" s="10" t="s">
        <v>306</v>
      </c>
      <c r="F199" s="10">
        <v>55.3</v>
      </c>
      <c r="G199" s="10" t="s">
        <v>36</v>
      </c>
      <c r="H199" s="10">
        <v>43000</v>
      </c>
      <c r="I199" s="10">
        <f t="shared" si="21"/>
        <v>2377900</v>
      </c>
      <c r="J199" s="115" t="s">
        <v>90</v>
      </c>
      <c r="K199" s="60"/>
      <c r="L199" s="10"/>
      <c r="M199" s="12">
        <f t="shared" si="22"/>
        <v>0</v>
      </c>
      <c r="N199" s="12"/>
      <c r="O199" s="12"/>
      <c r="P199" s="12">
        <f t="shared" si="23"/>
        <v>0</v>
      </c>
      <c r="Q199" s="12"/>
      <c r="R199" s="12"/>
      <c r="S199" s="12">
        <f t="shared" si="24"/>
        <v>0</v>
      </c>
      <c r="T199" s="12"/>
      <c r="U199" s="12"/>
      <c r="V199" s="12">
        <f t="shared" si="25"/>
        <v>0</v>
      </c>
      <c r="W199" s="12"/>
      <c r="X199" s="12"/>
      <c r="Y199" s="12">
        <f t="shared" si="26"/>
        <v>0</v>
      </c>
      <c r="Z199" s="12"/>
      <c r="AA199" s="12"/>
      <c r="AB199" s="13">
        <f t="shared" si="27"/>
        <v>2377900</v>
      </c>
      <c r="AC199" s="14"/>
    </row>
    <row r="200" spans="1:29" ht="15.75" x14ac:dyDescent="0.25">
      <c r="A200" s="28">
        <v>46059</v>
      </c>
      <c r="B200" s="10" t="s">
        <v>272</v>
      </c>
      <c r="C200" s="10"/>
      <c r="D200" s="10"/>
      <c r="E200" s="10" t="s">
        <v>463</v>
      </c>
      <c r="F200" s="10">
        <v>39.4</v>
      </c>
      <c r="G200" s="10" t="s">
        <v>36</v>
      </c>
      <c r="H200" s="10">
        <v>43000</v>
      </c>
      <c r="I200" s="10">
        <f t="shared" si="21"/>
        <v>1694200</v>
      </c>
      <c r="J200" s="115" t="s">
        <v>90</v>
      </c>
      <c r="K200" s="60"/>
      <c r="L200" s="10"/>
      <c r="M200" s="12">
        <f t="shared" si="22"/>
        <v>0</v>
      </c>
      <c r="N200" s="12"/>
      <c r="O200" s="12"/>
      <c r="P200" s="12">
        <f t="shared" si="23"/>
        <v>0</v>
      </c>
      <c r="Q200" s="12"/>
      <c r="R200" s="12"/>
      <c r="S200" s="12">
        <f t="shared" si="24"/>
        <v>0</v>
      </c>
      <c r="T200" s="12"/>
      <c r="U200" s="12"/>
      <c r="V200" s="12">
        <f t="shared" si="25"/>
        <v>0</v>
      </c>
      <c r="W200" s="12"/>
      <c r="X200" s="12"/>
      <c r="Y200" s="12">
        <f t="shared" si="26"/>
        <v>0</v>
      </c>
      <c r="Z200" s="12"/>
      <c r="AA200" s="12"/>
      <c r="AB200" s="13">
        <f t="shared" si="27"/>
        <v>1694200</v>
      </c>
      <c r="AC200" s="14"/>
    </row>
    <row r="201" spans="1:29" ht="15.75" x14ac:dyDescent="0.25">
      <c r="A201" s="28">
        <v>46059</v>
      </c>
      <c r="B201" s="10" t="s">
        <v>272</v>
      </c>
      <c r="C201" s="10"/>
      <c r="D201" s="10"/>
      <c r="E201" s="10" t="s">
        <v>136</v>
      </c>
      <c r="F201" s="10">
        <v>46.9</v>
      </c>
      <c r="G201" s="10" t="s">
        <v>36</v>
      </c>
      <c r="H201" s="10">
        <v>43000</v>
      </c>
      <c r="I201" s="10">
        <f t="shared" si="21"/>
        <v>2016700</v>
      </c>
      <c r="J201" s="86" t="s">
        <v>113</v>
      </c>
      <c r="K201" s="82"/>
      <c r="L201" s="10"/>
      <c r="M201" s="12">
        <f t="shared" si="22"/>
        <v>2016700</v>
      </c>
      <c r="N201" s="12">
        <v>2016700</v>
      </c>
      <c r="O201" s="12"/>
      <c r="P201" s="12">
        <f t="shared" si="23"/>
        <v>0</v>
      </c>
      <c r="Q201" s="12"/>
      <c r="R201" s="12"/>
      <c r="S201" s="12">
        <f t="shared" si="24"/>
        <v>0</v>
      </c>
      <c r="T201" s="12"/>
      <c r="U201" s="12"/>
      <c r="V201" s="12">
        <f t="shared" si="25"/>
        <v>0</v>
      </c>
      <c r="W201" s="12"/>
      <c r="X201" s="12"/>
      <c r="Y201" s="12">
        <f t="shared" si="26"/>
        <v>0</v>
      </c>
      <c r="Z201" s="12"/>
      <c r="AA201" s="12"/>
      <c r="AB201" s="13">
        <f t="shared" si="27"/>
        <v>0</v>
      </c>
      <c r="AC201" s="14">
        <v>46084</v>
      </c>
    </row>
    <row r="202" spans="1:29" ht="15.75" x14ac:dyDescent="0.25">
      <c r="A202" s="28">
        <v>46059</v>
      </c>
      <c r="B202" s="10" t="s">
        <v>272</v>
      </c>
      <c r="C202" s="10"/>
      <c r="D202" s="10"/>
      <c r="E202" s="10" t="s">
        <v>229</v>
      </c>
      <c r="F202" s="10">
        <v>14.4</v>
      </c>
      <c r="G202" s="10" t="s">
        <v>36</v>
      </c>
      <c r="H202" s="10">
        <v>43000</v>
      </c>
      <c r="I202" s="10">
        <f t="shared" si="21"/>
        <v>619200</v>
      </c>
      <c r="J202" s="86" t="s">
        <v>113</v>
      </c>
      <c r="K202" s="82"/>
      <c r="L202" s="10"/>
      <c r="M202" s="12">
        <f t="shared" si="22"/>
        <v>619200</v>
      </c>
      <c r="N202" s="12">
        <v>619200</v>
      </c>
      <c r="O202" s="12"/>
      <c r="P202" s="12">
        <f t="shared" si="23"/>
        <v>0</v>
      </c>
      <c r="Q202" s="12"/>
      <c r="R202" s="12"/>
      <c r="S202" s="12">
        <f t="shared" si="24"/>
        <v>0</v>
      </c>
      <c r="T202" s="12"/>
      <c r="U202" s="12"/>
      <c r="V202" s="12">
        <f t="shared" si="25"/>
        <v>0</v>
      </c>
      <c r="W202" s="12"/>
      <c r="X202" s="12"/>
      <c r="Y202" s="12">
        <f t="shared" si="26"/>
        <v>0</v>
      </c>
      <c r="Z202" s="12"/>
      <c r="AA202" s="12"/>
      <c r="AB202" s="13">
        <f t="shared" si="27"/>
        <v>0</v>
      </c>
      <c r="AC202" s="14">
        <v>46084</v>
      </c>
    </row>
    <row r="203" spans="1:29" s="148" customFormat="1" ht="16.5" thickBot="1" x14ac:dyDescent="0.3">
      <c r="A203" s="28">
        <v>46059</v>
      </c>
      <c r="B203" s="10" t="s">
        <v>272</v>
      </c>
      <c r="C203" s="10"/>
      <c r="D203" s="10"/>
      <c r="E203" s="10" t="s">
        <v>92</v>
      </c>
      <c r="F203" s="10">
        <v>68.7</v>
      </c>
      <c r="G203" s="10" t="s">
        <v>36</v>
      </c>
      <c r="H203" s="10">
        <v>43000</v>
      </c>
      <c r="I203" s="10">
        <f t="shared" si="21"/>
        <v>2954100</v>
      </c>
      <c r="J203" s="115" t="s">
        <v>90</v>
      </c>
      <c r="K203" s="82"/>
      <c r="L203" s="10"/>
      <c r="M203" s="12">
        <f t="shared" si="22"/>
        <v>0</v>
      </c>
      <c r="N203" s="12"/>
      <c r="O203" s="12"/>
      <c r="P203" s="12">
        <f t="shared" si="23"/>
        <v>0</v>
      </c>
      <c r="Q203" s="12"/>
      <c r="R203" s="12"/>
      <c r="S203" s="12">
        <f t="shared" si="24"/>
        <v>0</v>
      </c>
      <c r="T203" s="12"/>
      <c r="U203" s="12"/>
      <c r="V203" s="12">
        <f t="shared" si="25"/>
        <v>0</v>
      </c>
      <c r="W203" s="12"/>
      <c r="X203" s="12"/>
      <c r="Y203" s="12">
        <f t="shared" si="26"/>
        <v>0</v>
      </c>
      <c r="Z203" s="12"/>
      <c r="AA203" s="12"/>
      <c r="AB203" s="13">
        <f t="shared" si="27"/>
        <v>2954100</v>
      </c>
      <c r="AC203" s="14"/>
    </row>
    <row r="204" spans="1:29" ht="15.75" x14ac:dyDescent="0.25">
      <c r="A204" s="28">
        <v>46060</v>
      </c>
      <c r="B204" s="10" t="s">
        <v>464</v>
      </c>
      <c r="C204" s="10"/>
      <c r="D204" s="10" t="s">
        <v>383</v>
      </c>
      <c r="E204" s="10" t="s">
        <v>271</v>
      </c>
      <c r="F204" s="10">
        <v>1</v>
      </c>
      <c r="G204" s="10" t="s">
        <v>36</v>
      </c>
      <c r="H204" s="10">
        <v>170000</v>
      </c>
      <c r="I204" s="10">
        <f t="shared" si="21"/>
        <v>170000</v>
      </c>
      <c r="J204" s="52" t="s">
        <v>90</v>
      </c>
      <c r="K204" s="119" t="s">
        <v>457</v>
      </c>
      <c r="L204" s="10"/>
      <c r="M204" s="12">
        <f t="shared" si="22"/>
        <v>0</v>
      </c>
      <c r="N204" s="12"/>
      <c r="O204" s="12"/>
      <c r="P204" s="12">
        <f t="shared" si="23"/>
        <v>0</v>
      </c>
      <c r="Q204" s="12"/>
      <c r="R204" s="12"/>
      <c r="S204" s="12">
        <f t="shared" si="24"/>
        <v>0</v>
      </c>
      <c r="T204" s="12"/>
      <c r="U204" s="12"/>
      <c r="V204" s="12">
        <f t="shared" si="25"/>
        <v>0</v>
      </c>
      <c r="W204" s="12"/>
      <c r="X204" s="12"/>
      <c r="Y204" s="12">
        <f t="shared" si="26"/>
        <v>0</v>
      </c>
      <c r="Z204" s="12"/>
      <c r="AA204" s="12"/>
      <c r="AB204" s="13">
        <f t="shared" si="27"/>
        <v>170000</v>
      </c>
      <c r="AC204" s="14"/>
    </row>
    <row r="205" spans="1:29" ht="15.75" x14ac:dyDescent="0.25">
      <c r="A205" s="28">
        <v>46060</v>
      </c>
      <c r="B205" s="10" t="s">
        <v>272</v>
      </c>
      <c r="C205" s="10"/>
      <c r="D205" s="10"/>
      <c r="E205" s="10" t="s">
        <v>338</v>
      </c>
      <c r="F205" s="10">
        <v>55.6</v>
      </c>
      <c r="G205" s="10" t="s">
        <v>36</v>
      </c>
      <c r="H205" s="10">
        <v>43000</v>
      </c>
      <c r="I205" s="10">
        <f t="shared" si="21"/>
        <v>2390800</v>
      </c>
      <c r="J205" s="86" t="s">
        <v>113</v>
      </c>
      <c r="K205" s="60"/>
      <c r="L205" s="10"/>
      <c r="M205" s="12">
        <f t="shared" si="22"/>
        <v>2390800</v>
      </c>
      <c r="N205" s="12">
        <v>2390800</v>
      </c>
      <c r="O205" s="12"/>
      <c r="P205" s="12">
        <f t="shared" si="23"/>
        <v>0</v>
      </c>
      <c r="Q205" s="12"/>
      <c r="R205" s="12"/>
      <c r="S205" s="12">
        <f t="shared" si="24"/>
        <v>0</v>
      </c>
      <c r="T205" s="12"/>
      <c r="U205" s="12"/>
      <c r="V205" s="12">
        <f t="shared" si="25"/>
        <v>0</v>
      </c>
      <c r="W205" s="12"/>
      <c r="X205" s="12"/>
      <c r="Y205" s="12">
        <f t="shared" si="26"/>
        <v>0</v>
      </c>
      <c r="Z205" s="12"/>
      <c r="AA205" s="12"/>
      <c r="AB205" s="13">
        <f t="shared" si="27"/>
        <v>0</v>
      </c>
      <c r="AC205" s="14">
        <v>46084</v>
      </c>
    </row>
    <row r="206" spans="1:29" ht="15.75" x14ac:dyDescent="0.25">
      <c r="A206" s="28">
        <v>46060</v>
      </c>
      <c r="B206" s="10" t="s">
        <v>272</v>
      </c>
      <c r="C206" s="10"/>
      <c r="D206" s="10"/>
      <c r="E206" s="10" t="s">
        <v>198</v>
      </c>
      <c r="F206" s="10">
        <v>66.5</v>
      </c>
      <c r="G206" s="10" t="s">
        <v>36</v>
      </c>
      <c r="H206" s="10">
        <v>43000</v>
      </c>
      <c r="I206" s="10">
        <f t="shared" si="21"/>
        <v>2859500</v>
      </c>
      <c r="J206" s="86" t="s">
        <v>113</v>
      </c>
      <c r="K206" s="60"/>
      <c r="L206" s="10"/>
      <c r="M206" s="12">
        <f t="shared" si="22"/>
        <v>2859500</v>
      </c>
      <c r="N206" s="12">
        <v>2859500</v>
      </c>
      <c r="O206" s="12"/>
      <c r="P206" s="12">
        <f t="shared" si="23"/>
        <v>0</v>
      </c>
      <c r="Q206" s="12"/>
      <c r="R206" s="12"/>
      <c r="S206" s="12">
        <f t="shared" si="24"/>
        <v>0</v>
      </c>
      <c r="T206" s="12"/>
      <c r="U206" s="12"/>
      <c r="V206" s="12">
        <f t="shared" si="25"/>
        <v>0</v>
      </c>
      <c r="W206" s="12"/>
      <c r="X206" s="12"/>
      <c r="Y206" s="12">
        <f t="shared" si="26"/>
        <v>0</v>
      </c>
      <c r="Z206" s="12"/>
      <c r="AA206" s="12"/>
      <c r="AB206" s="13">
        <f t="shared" si="27"/>
        <v>0</v>
      </c>
      <c r="AC206" s="14">
        <v>46084</v>
      </c>
    </row>
    <row r="207" spans="1:29" s="148" customFormat="1" ht="16.5" thickBot="1" x14ac:dyDescent="0.3">
      <c r="A207" s="28">
        <v>46060</v>
      </c>
      <c r="B207" s="10" t="s">
        <v>272</v>
      </c>
      <c r="C207" s="10"/>
      <c r="D207" s="10"/>
      <c r="E207" s="10" t="s">
        <v>315</v>
      </c>
      <c r="F207" s="10">
        <v>26.8</v>
      </c>
      <c r="G207" s="10" t="s">
        <v>36</v>
      </c>
      <c r="H207" s="10">
        <v>43000</v>
      </c>
      <c r="I207" s="10">
        <f t="shared" si="21"/>
        <v>1152400</v>
      </c>
      <c r="J207" s="115" t="s">
        <v>90</v>
      </c>
      <c r="K207" s="10"/>
      <c r="L207" s="10"/>
      <c r="M207" s="12">
        <f t="shared" si="22"/>
        <v>0</v>
      </c>
      <c r="N207" s="12"/>
      <c r="O207" s="12"/>
      <c r="P207" s="12">
        <f t="shared" si="23"/>
        <v>0</v>
      </c>
      <c r="Q207" s="12"/>
      <c r="R207" s="12"/>
      <c r="S207" s="12">
        <f t="shared" si="24"/>
        <v>0</v>
      </c>
      <c r="T207" s="12"/>
      <c r="U207" s="12"/>
      <c r="V207" s="12">
        <f t="shared" si="25"/>
        <v>0</v>
      </c>
      <c r="W207" s="12"/>
      <c r="X207" s="12"/>
      <c r="Y207" s="12">
        <f t="shared" si="26"/>
        <v>0</v>
      </c>
      <c r="Z207" s="12"/>
      <c r="AA207" s="12"/>
      <c r="AB207" s="13">
        <f t="shared" si="27"/>
        <v>1152400</v>
      </c>
      <c r="AC207" s="14"/>
    </row>
    <row r="208" spans="1:29" ht="15.75" x14ac:dyDescent="0.25">
      <c r="A208" s="28">
        <v>46062</v>
      </c>
      <c r="B208" s="10" t="s">
        <v>176</v>
      </c>
      <c r="C208" s="10"/>
      <c r="D208" s="10" t="s">
        <v>383</v>
      </c>
      <c r="E208" s="10" t="s">
        <v>114</v>
      </c>
      <c r="F208" s="10">
        <v>10</v>
      </c>
      <c r="G208" s="10" t="s">
        <v>67</v>
      </c>
      <c r="H208" s="10">
        <v>50000</v>
      </c>
      <c r="I208" s="10">
        <f t="shared" si="21"/>
        <v>500000</v>
      </c>
      <c r="J208" s="52" t="s">
        <v>30</v>
      </c>
      <c r="K208" s="88" t="s">
        <v>466</v>
      </c>
      <c r="L208" s="10"/>
      <c r="M208" s="12">
        <f t="shared" si="22"/>
        <v>0</v>
      </c>
      <c r="N208" s="12"/>
      <c r="O208" s="12"/>
      <c r="P208" s="12">
        <f t="shared" si="23"/>
        <v>0</v>
      </c>
      <c r="Q208" s="12"/>
      <c r="R208" s="12"/>
      <c r="S208" s="12">
        <f t="shared" si="24"/>
        <v>0</v>
      </c>
      <c r="T208" s="12"/>
      <c r="U208" s="12"/>
      <c r="V208" s="12">
        <f t="shared" si="25"/>
        <v>0</v>
      </c>
      <c r="W208" s="12"/>
      <c r="X208" s="12"/>
      <c r="Y208" s="12">
        <f t="shared" si="26"/>
        <v>0</v>
      </c>
      <c r="Z208" s="12"/>
      <c r="AA208" s="12"/>
      <c r="AB208" s="13">
        <f t="shared" si="27"/>
        <v>500000</v>
      </c>
      <c r="AC208" s="14"/>
    </row>
    <row r="209" spans="1:29" ht="15.75" x14ac:dyDescent="0.25">
      <c r="A209" s="28">
        <v>46062</v>
      </c>
      <c r="B209" s="10" t="s">
        <v>176</v>
      </c>
      <c r="C209" s="10"/>
      <c r="D209" s="10" t="s">
        <v>383</v>
      </c>
      <c r="E209" s="10" t="s">
        <v>60</v>
      </c>
      <c r="F209" s="10">
        <v>10</v>
      </c>
      <c r="G209" s="10" t="s">
        <v>61</v>
      </c>
      <c r="H209" s="10">
        <v>150000</v>
      </c>
      <c r="I209" s="10">
        <f t="shared" si="21"/>
        <v>1500000</v>
      </c>
      <c r="J209" s="52" t="s">
        <v>30</v>
      </c>
      <c r="K209" s="88" t="s">
        <v>466</v>
      </c>
      <c r="L209" s="10"/>
      <c r="M209" s="12">
        <f t="shared" si="22"/>
        <v>0</v>
      </c>
      <c r="N209" s="12"/>
      <c r="O209" s="12"/>
      <c r="P209" s="12">
        <f t="shared" si="23"/>
        <v>0</v>
      </c>
      <c r="Q209" s="12"/>
      <c r="R209" s="12"/>
      <c r="S209" s="12">
        <f t="shared" si="24"/>
        <v>0</v>
      </c>
      <c r="T209" s="12"/>
      <c r="U209" s="12"/>
      <c r="V209" s="12">
        <f t="shared" si="25"/>
        <v>0</v>
      </c>
      <c r="W209" s="12"/>
      <c r="X209" s="12"/>
      <c r="Y209" s="12">
        <f t="shared" si="26"/>
        <v>0</v>
      </c>
      <c r="Z209" s="12"/>
      <c r="AA209" s="12"/>
      <c r="AB209" s="13">
        <f t="shared" si="27"/>
        <v>1500000</v>
      </c>
      <c r="AC209" s="14"/>
    </row>
    <row r="210" spans="1:29" ht="15.75" x14ac:dyDescent="0.25">
      <c r="A210" s="28">
        <v>46062</v>
      </c>
      <c r="B210" s="10" t="s">
        <v>176</v>
      </c>
      <c r="C210" s="10"/>
      <c r="D210" s="10" t="s">
        <v>383</v>
      </c>
      <c r="E210" s="10" t="s">
        <v>175</v>
      </c>
      <c r="F210" s="10">
        <v>5000</v>
      </c>
      <c r="G210" s="10" t="s">
        <v>26</v>
      </c>
      <c r="H210" s="10">
        <v>875</v>
      </c>
      <c r="I210" s="10">
        <f t="shared" si="21"/>
        <v>4375000</v>
      </c>
      <c r="J210" s="52" t="s">
        <v>30</v>
      </c>
      <c r="K210" s="88" t="s">
        <v>466</v>
      </c>
      <c r="L210" s="10"/>
      <c r="M210" s="12">
        <f t="shared" si="22"/>
        <v>0</v>
      </c>
      <c r="N210" s="12"/>
      <c r="O210" s="12"/>
      <c r="P210" s="12">
        <f t="shared" si="23"/>
        <v>0</v>
      </c>
      <c r="Q210" s="12"/>
      <c r="R210" s="12"/>
      <c r="S210" s="12">
        <f t="shared" si="24"/>
        <v>0</v>
      </c>
      <c r="T210" s="12"/>
      <c r="U210" s="12"/>
      <c r="V210" s="12">
        <f t="shared" si="25"/>
        <v>0</v>
      </c>
      <c r="W210" s="12"/>
      <c r="X210" s="12"/>
      <c r="Y210" s="12">
        <f t="shared" si="26"/>
        <v>0</v>
      </c>
      <c r="Z210" s="12"/>
      <c r="AA210" s="12"/>
      <c r="AB210" s="13">
        <f t="shared" si="27"/>
        <v>4375000</v>
      </c>
      <c r="AC210" s="14"/>
    </row>
    <row r="211" spans="1:29" ht="15.75" x14ac:dyDescent="0.25">
      <c r="A211" s="65">
        <v>46062</v>
      </c>
      <c r="B211" s="66" t="s">
        <v>176</v>
      </c>
      <c r="C211" s="10"/>
      <c r="D211" s="66" t="s">
        <v>383</v>
      </c>
      <c r="E211" s="10" t="s">
        <v>344</v>
      </c>
      <c r="F211" s="10">
        <v>13.6</v>
      </c>
      <c r="G211" s="10" t="s">
        <v>36</v>
      </c>
      <c r="H211" s="10">
        <v>43000</v>
      </c>
      <c r="I211" s="10">
        <f t="shared" si="21"/>
        <v>584800</v>
      </c>
      <c r="J211" s="114" t="s">
        <v>30</v>
      </c>
      <c r="K211" s="102" t="s">
        <v>466</v>
      </c>
      <c r="L211" s="10"/>
      <c r="M211" s="12">
        <f t="shared" si="22"/>
        <v>0</v>
      </c>
      <c r="N211" s="12"/>
      <c r="O211" s="12"/>
      <c r="P211" s="12">
        <f t="shared" si="23"/>
        <v>0</v>
      </c>
      <c r="Q211" s="12"/>
      <c r="R211" s="12"/>
      <c r="S211" s="12">
        <f t="shared" si="24"/>
        <v>0</v>
      </c>
      <c r="T211" s="12"/>
      <c r="U211" s="12"/>
      <c r="V211" s="12">
        <f t="shared" si="25"/>
        <v>0</v>
      </c>
      <c r="W211" s="12"/>
      <c r="X211" s="12"/>
      <c r="Y211" s="12">
        <f t="shared" si="26"/>
        <v>0</v>
      </c>
      <c r="Z211" s="12"/>
      <c r="AA211" s="12"/>
      <c r="AB211" s="13">
        <f t="shared" si="27"/>
        <v>584800</v>
      </c>
      <c r="AC211" s="14"/>
    </row>
    <row r="212" spans="1:29" ht="15.75" x14ac:dyDescent="0.25">
      <c r="A212" s="65">
        <v>46062</v>
      </c>
      <c r="B212" s="10" t="s">
        <v>297</v>
      </c>
      <c r="C212" s="10"/>
      <c r="D212" s="10" t="s">
        <v>383</v>
      </c>
      <c r="E212" s="10" t="s">
        <v>119</v>
      </c>
      <c r="F212" s="10">
        <v>25</v>
      </c>
      <c r="G212" s="10" t="s">
        <v>36</v>
      </c>
      <c r="H212" s="10">
        <v>180000</v>
      </c>
      <c r="I212" s="10">
        <f t="shared" si="21"/>
        <v>4500000</v>
      </c>
      <c r="J212" s="29" t="s">
        <v>113</v>
      </c>
      <c r="K212" s="95" t="s">
        <v>469</v>
      </c>
      <c r="L212" s="10"/>
      <c r="M212" s="12">
        <f t="shared" si="22"/>
        <v>4455000</v>
      </c>
      <c r="N212" s="12">
        <v>4455000</v>
      </c>
      <c r="O212" s="12"/>
      <c r="P212" s="12">
        <f t="shared" si="23"/>
        <v>0</v>
      </c>
      <c r="Q212" s="12"/>
      <c r="R212" s="12"/>
      <c r="S212" s="12">
        <f t="shared" si="24"/>
        <v>0</v>
      </c>
      <c r="T212" s="12"/>
      <c r="U212" s="12"/>
      <c r="V212" s="12">
        <f t="shared" si="25"/>
        <v>45000</v>
      </c>
      <c r="W212" s="12">
        <v>45000</v>
      </c>
      <c r="X212" s="12"/>
      <c r="Y212" s="12">
        <f t="shared" si="26"/>
        <v>0</v>
      </c>
      <c r="Z212" s="12"/>
      <c r="AA212" s="12"/>
      <c r="AB212" s="13">
        <f t="shared" si="27"/>
        <v>0</v>
      </c>
      <c r="AC212" s="14">
        <v>46062</v>
      </c>
    </row>
    <row r="213" spans="1:29" ht="15.75" x14ac:dyDescent="0.25">
      <c r="A213" s="65">
        <v>46062</v>
      </c>
      <c r="B213" s="10" t="s">
        <v>256</v>
      </c>
      <c r="C213" s="10"/>
      <c r="D213" s="10" t="s">
        <v>383</v>
      </c>
      <c r="E213" s="10" t="s">
        <v>371</v>
      </c>
      <c r="F213" s="10">
        <v>60</v>
      </c>
      <c r="G213" s="10" t="s">
        <v>67</v>
      </c>
      <c r="H213" s="10">
        <v>50000</v>
      </c>
      <c r="I213" s="10">
        <f t="shared" si="21"/>
        <v>3000000</v>
      </c>
      <c r="J213" s="52" t="s">
        <v>30</v>
      </c>
      <c r="K213" s="87" t="s">
        <v>311</v>
      </c>
      <c r="L213" s="10"/>
      <c r="M213" s="12">
        <f t="shared" si="22"/>
        <v>0</v>
      </c>
      <c r="N213" s="12"/>
      <c r="O213" s="12"/>
      <c r="P213" s="12">
        <f t="shared" si="23"/>
        <v>0</v>
      </c>
      <c r="Q213" s="12"/>
      <c r="R213" s="12"/>
      <c r="S213" s="12">
        <f t="shared" si="24"/>
        <v>0</v>
      </c>
      <c r="T213" s="12"/>
      <c r="U213" s="12"/>
      <c r="V213" s="12">
        <f t="shared" si="25"/>
        <v>0</v>
      </c>
      <c r="W213" s="12"/>
      <c r="X213" s="12"/>
      <c r="Y213" s="12">
        <f t="shared" si="26"/>
        <v>0</v>
      </c>
      <c r="Z213" s="12"/>
      <c r="AA213" s="12"/>
      <c r="AB213" s="13">
        <f t="shared" si="27"/>
        <v>3000000</v>
      </c>
      <c r="AC213" s="14"/>
    </row>
    <row r="214" spans="1:29" ht="15.75" x14ac:dyDescent="0.25">
      <c r="A214" s="28">
        <v>46062</v>
      </c>
      <c r="B214" s="10" t="s">
        <v>122</v>
      </c>
      <c r="C214" s="10"/>
      <c r="D214" s="10" t="s">
        <v>383</v>
      </c>
      <c r="E214" s="10" t="s">
        <v>116</v>
      </c>
      <c r="F214" s="10">
        <v>12</v>
      </c>
      <c r="G214" s="10" t="s">
        <v>67</v>
      </c>
      <c r="H214" s="10">
        <v>65000</v>
      </c>
      <c r="I214" s="10">
        <f t="shared" si="21"/>
        <v>780000</v>
      </c>
      <c r="J214" s="29" t="s">
        <v>113</v>
      </c>
      <c r="K214" s="60" t="s">
        <v>435</v>
      </c>
      <c r="L214" s="10"/>
      <c r="M214" s="12">
        <f t="shared" si="22"/>
        <v>780000</v>
      </c>
      <c r="N214" s="12">
        <v>780000</v>
      </c>
      <c r="O214" s="12"/>
      <c r="P214" s="12">
        <f t="shared" si="23"/>
        <v>0</v>
      </c>
      <c r="Q214" s="12"/>
      <c r="R214" s="12"/>
      <c r="S214" s="12">
        <f t="shared" si="24"/>
        <v>0</v>
      </c>
      <c r="T214" s="12"/>
      <c r="U214" s="12"/>
      <c r="V214" s="12">
        <f t="shared" si="25"/>
        <v>0</v>
      </c>
      <c r="W214" s="12"/>
      <c r="X214" s="12"/>
      <c r="Y214" s="12">
        <f t="shared" si="26"/>
        <v>0</v>
      </c>
      <c r="Z214" s="12"/>
      <c r="AA214" s="12"/>
      <c r="AB214" s="13">
        <f t="shared" si="27"/>
        <v>0</v>
      </c>
      <c r="AC214" s="14">
        <v>46086</v>
      </c>
    </row>
    <row r="215" spans="1:29" ht="15.75" x14ac:dyDescent="0.25">
      <c r="A215" s="28">
        <v>46062</v>
      </c>
      <c r="B215" s="10" t="s">
        <v>272</v>
      </c>
      <c r="C215" s="10"/>
      <c r="D215" s="10"/>
      <c r="E215" s="10" t="s">
        <v>443</v>
      </c>
      <c r="F215" s="10">
        <v>28.6</v>
      </c>
      <c r="G215" s="10" t="s">
        <v>36</v>
      </c>
      <c r="H215" s="10">
        <v>43000</v>
      </c>
      <c r="I215" s="10">
        <f t="shared" si="21"/>
        <v>1229800</v>
      </c>
      <c r="J215" s="115" t="s">
        <v>90</v>
      </c>
      <c r="K215" s="10"/>
      <c r="L215" s="10"/>
      <c r="M215" s="12">
        <f t="shared" si="22"/>
        <v>0</v>
      </c>
      <c r="N215" s="12"/>
      <c r="O215" s="12"/>
      <c r="P215" s="12">
        <f t="shared" si="23"/>
        <v>0</v>
      </c>
      <c r="Q215" s="12"/>
      <c r="R215" s="12"/>
      <c r="S215" s="12">
        <f t="shared" si="24"/>
        <v>0</v>
      </c>
      <c r="T215" s="12"/>
      <c r="U215" s="12"/>
      <c r="V215" s="12">
        <f t="shared" si="25"/>
        <v>0</v>
      </c>
      <c r="W215" s="12"/>
      <c r="X215" s="12"/>
      <c r="Y215" s="12">
        <f t="shared" si="26"/>
        <v>0</v>
      </c>
      <c r="Z215" s="12"/>
      <c r="AA215" s="12"/>
      <c r="AB215" s="13">
        <f t="shared" si="27"/>
        <v>1229800</v>
      </c>
      <c r="AC215" s="14"/>
    </row>
    <row r="216" spans="1:29" ht="15.75" x14ac:dyDescent="0.25">
      <c r="A216" s="28">
        <v>46062</v>
      </c>
      <c r="B216" s="10" t="s">
        <v>272</v>
      </c>
      <c r="C216" s="10"/>
      <c r="D216" s="10"/>
      <c r="E216" s="10" t="s">
        <v>306</v>
      </c>
      <c r="F216" s="10">
        <v>57.3</v>
      </c>
      <c r="G216" s="10" t="s">
        <v>36</v>
      </c>
      <c r="H216" s="10">
        <v>43000</v>
      </c>
      <c r="I216" s="10">
        <f t="shared" si="21"/>
        <v>2463900</v>
      </c>
      <c r="J216" s="86" t="s">
        <v>113</v>
      </c>
      <c r="K216" s="10"/>
      <c r="L216" s="10"/>
      <c r="M216" s="12">
        <f t="shared" si="22"/>
        <v>2463900</v>
      </c>
      <c r="N216" s="12">
        <v>2463900</v>
      </c>
      <c r="O216" s="12"/>
      <c r="P216" s="12">
        <f t="shared" si="23"/>
        <v>0</v>
      </c>
      <c r="Q216" s="12"/>
      <c r="R216" s="12"/>
      <c r="S216" s="12">
        <f t="shared" si="24"/>
        <v>0</v>
      </c>
      <c r="T216" s="12"/>
      <c r="U216" s="12"/>
      <c r="V216" s="12">
        <f t="shared" si="25"/>
        <v>0</v>
      </c>
      <c r="W216" s="12"/>
      <c r="X216" s="12"/>
      <c r="Y216" s="12">
        <f t="shared" si="26"/>
        <v>0</v>
      </c>
      <c r="Z216" s="12"/>
      <c r="AA216" s="12"/>
      <c r="AB216" s="13">
        <f t="shared" si="27"/>
        <v>0</v>
      </c>
      <c r="AC216" s="14">
        <v>46084</v>
      </c>
    </row>
    <row r="217" spans="1:29" ht="15.75" x14ac:dyDescent="0.25">
      <c r="A217" s="28">
        <v>46062</v>
      </c>
      <c r="B217" s="10" t="s">
        <v>272</v>
      </c>
      <c r="C217" s="10"/>
      <c r="D217" s="10"/>
      <c r="E217" s="10" t="s">
        <v>92</v>
      </c>
      <c r="F217" s="10">
        <v>33.799999999999997</v>
      </c>
      <c r="G217" s="10" t="s">
        <v>36</v>
      </c>
      <c r="H217" s="10">
        <v>43000</v>
      </c>
      <c r="I217" s="10">
        <f t="shared" si="21"/>
        <v>1453399.9999999998</v>
      </c>
      <c r="J217" s="86" t="s">
        <v>113</v>
      </c>
      <c r="K217" s="10"/>
      <c r="L217" s="10"/>
      <c r="M217" s="12">
        <f t="shared" si="22"/>
        <v>1453400</v>
      </c>
      <c r="N217" s="12">
        <v>1453400</v>
      </c>
      <c r="O217" s="12"/>
      <c r="P217" s="12">
        <f t="shared" si="23"/>
        <v>0</v>
      </c>
      <c r="Q217" s="12"/>
      <c r="R217" s="12"/>
      <c r="S217" s="12">
        <f t="shared" si="24"/>
        <v>0</v>
      </c>
      <c r="T217" s="12"/>
      <c r="U217" s="12"/>
      <c r="V217" s="12">
        <f t="shared" si="25"/>
        <v>0</v>
      </c>
      <c r="W217" s="12"/>
      <c r="X217" s="12"/>
      <c r="Y217" s="12">
        <f t="shared" si="26"/>
        <v>0</v>
      </c>
      <c r="Z217" s="12"/>
      <c r="AA217" s="12"/>
      <c r="AB217" s="13">
        <f t="shared" si="27"/>
        <v>-2.3283064365386963E-10</v>
      </c>
      <c r="AC217" s="14">
        <v>46084</v>
      </c>
    </row>
    <row r="218" spans="1:29" s="148" customFormat="1" ht="16.5" thickBot="1" x14ac:dyDescent="0.3">
      <c r="A218" s="28">
        <v>46062</v>
      </c>
      <c r="B218" s="10" t="s">
        <v>272</v>
      </c>
      <c r="C218" s="10"/>
      <c r="D218" s="10"/>
      <c r="E218" s="10" t="s">
        <v>229</v>
      </c>
      <c r="F218" s="10">
        <v>14.3</v>
      </c>
      <c r="G218" s="10" t="s">
        <v>36</v>
      </c>
      <c r="H218" s="10">
        <v>43000</v>
      </c>
      <c r="I218" s="10">
        <f t="shared" si="21"/>
        <v>614900</v>
      </c>
      <c r="J218" s="115" t="s">
        <v>90</v>
      </c>
      <c r="K218" s="10"/>
      <c r="L218" s="10"/>
      <c r="M218" s="12">
        <f t="shared" si="22"/>
        <v>0</v>
      </c>
      <c r="N218" s="12"/>
      <c r="O218" s="12"/>
      <c r="P218" s="12">
        <f t="shared" si="23"/>
        <v>0</v>
      </c>
      <c r="Q218" s="12"/>
      <c r="R218" s="12"/>
      <c r="S218" s="12">
        <f t="shared" si="24"/>
        <v>0</v>
      </c>
      <c r="T218" s="12"/>
      <c r="U218" s="12"/>
      <c r="V218" s="12">
        <f t="shared" si="25"/>
        <v>0</v>
      </c>
      <c r="W218" s="12"/>
      <c r="X218" s="12"/>
      <c r="Y218" s="12">
        <f t="shared" si="26"/>
        <v>0</v>
      </c>
      <c r="Z218" s="12"/>
      <c r="AA218" s="12"/>
      <c r="AB218" s="13">
        <f t="shared" si="27"/>
        <v>614900</v>
      </c>
      <c r="AC218" s="14"/>
    </row>
    <row r="219" spans="1:29" ht="15.75" x14ac:dyDescent="0.25">
      <c r="A219" s="65">
        <v>46063</v>
      </c>
      <c r="B219" s="66" t="s">
        <v>232</v>
      </c>
      <c r="C219" s="66"/>
      <c r="D219" s="66" t="s">
        <v>383</v>
      </c>
      <c r="E219" s="66" t="s">
        <v>78</v>
      </c>
      <c r="F219" s="66">
        <v>10</v>
      </c>
      <c r="G219" s="66" t="s">
        <v>61</v>
      </c>
      <c r="H219" s="66">
        <v>230000</v>
      </c>
      <c r="I219" s="66">
        <f t="shared" si="21"/>
        <v>2300000</v>
      </c>
      <c r="J219" s="114" t="s">
        <v>30</v>
      </c>
      <c r="K219" s="102" t="s">
        <v>435</v>
      </c>
      <c r="L219" s="66"/>
      <c r="M219" s="67">
        <f t="shared" si="22"/>
        <v>0</v>
      </c>
      <c r="N219" s="67"/>
      <c r="O219" s="67"/>
      <c r="P219" s="67">
        <f t="shared" si="23"/>
        <v>0</v>
      </c>
      <c r="Q219" s="67"/>
      <c r="R219" s="67"/>
      <c r="S219" s="67">
        <f t="shared" si="24"/>
        <v>0</v>
      </c>
      <c r="T219" s="67"/>
      <c r="U219" s="67"/>
      <c r="V219" s="67">
        <f t="shared" si="25"/>
        <v>0</v>
      </c>
      <c r="W219" s="67"/>
      <c r="X219" s="67"/>
      <c r="Y219" s="67">
        <f t="shared" si="26"/>
        <v>0</v>
      </c>
      <c r="Z219" s="67"/>
      <c r="AA219" s="67"/>
      <c r="AB219" s="68">
        <f t="shared" si="27"/>
        <v>2300000</v>
      </c>
      <c r="AC219" s="69"/>
    </row>
    <row r="220" spans="1:29" ht="15.75" x14ac:dyDescent="0.25">
      <c r="A220" s="65">
        <v>46063</v>
      </c>
      <c r="B220" s="10" t="s">
        <v>232</v>
      </c>
      <c r="C220" s="10"/>
      <c r="D220" s="10" t="s">
        <v>383</v>
      </c>
      <c r="E220" s="10" t="s">
        <v>117</v>
      </c>
      <c r="F220" s="10">
        <v>1</v>
      </c>
      <c r="G220" s="10" t="s">
        <v>36</v>
      </c>
      <c r="H220" s="10">
        <v>70000</v>
      </c>
      <c r="I220" s="10">
        <f t="shared" si="21"/>
        <v>70000</v>
      </c>
      <c r="J220" s="52" t="s">
        <v>30</v>
      </c>
      <c r="K220" s="88" t="s">
        <v>435</v>
      </c>
      <c r="L220" s="10"/>
      <c r="M220" s="12">
        <f t="shared" si="22"/>
        <v>0</v>
      </c>
      <c r="N220" s="12"/>
      <c r="O220" s="12"/>
      <c r="P220" s="12">
        <f t="shared" si="23"/>
        <v>0</v>
      </c>
      <c r="Q220" s="12"/>
      <c r="R220" s="12"/>
      <c r="S220" s="12">
        <f t="shared" si="24"/>
        <v>0</v>
      </c>
      <c r="T220" s="12"/>
      <c r="U220" s="12"/>
      <c r="V220" s="12">
        <f t="shared" si="25"/>
        <v>0</v>
      </c>
      <c r="W220" s="12"/>
      <c r="X220" s="12"/>
      <c r="Y220" s="12">
        <f t="shared" si="26"/>
        <v>0</v>
      </c>
      <c r="Z220" s="12"/>
      <c r="AA220" s="12"/>
      <c r="AB220" s="13">
        <f t="shared" si="27"/>
        <v>70000</v>
      </c>
      <c r="AC220" s="14"/>
    </row>
    <row r="221" spans="1:29" ht="15.75" x14ac:dyDescent="0.25">
      <c r="A221" s="65">
        <v>46063</v>
      </c>
      <c r="B221" s="10" t="s">
        <v>272</v>
      </c>
      <c r="C221" s="10"/>
      <c r="D221" s="10"/>
      <c r="E221" s="10" t="s">
        <v>315</v>
      </c>
      <c r="F221" s="10">
        <v>107.3</v>
      </c>
      <c r="G221" s="10" t="s">
        <v>36</v>
      </c>
      <c r="H221" s="10">
        <v>43000</v>
      </c>
      <c r="I221" s="10">
        <f t="shared" si="21"/>
        <v>4613900</v>
      </c>
      <c r="J221" s="115" t="s">
        <v>90</v>
      </c>
      <c r="K221" s="10"/>
      <c r="L221" s="10"/>
      <c r="M221" s="12">
        <f t="shared" si="22"/>
        <v>0</v>
      </c>
      <c r="N221" s="12"/>
      <c r="O221" s="12"/>
      <c r="P221" s="12">
        <f t="shared" si="23"/>
        <v>0</v>
      </c>
      <c r="Q221" s="12"/>
      <c r="R221" s="12"/>
      <c r="S221" s="12">
        <f t="shared" si="24"/>
        <v>0</v>
      </c>
      <c r="T221" s="12"/>
      <c r="U221" s="12"/>
      <c r="V221" s="12">
        <f t="shared" si="25"/>
        <v>0</v>
      </c>
      <c r="W221" s="12"/>
      <c r="X221" s="12"/>
      <c r="Y221" s="12">
        <f t="shared" si="26"/>
        <v>0</v>
      </c>
      <c r="Z221" s="12"/>
      <c r="AA221" s="12"/>
      <c r="AB221" s="13">
        <f t="shared" si="27"/>
        <v>4613900</v>
      </c>
      <c r="AC221" s="14"/>
    </row>
    <row r="222" spans="1:29" ht="15.75" x14ac:dyDescent="0.25">
      <c r="A222" s="65">
        <v>46063</v>
      </c>
      <c r="B222" s="10" t="s">
        <v>272</v>
      </c>
      <c r="C222" s="10"/>
      <c r="D222" s="10"/>
      <c r="E222" s="10" t="s">
        <v>306</v>
      </c>
      <c r="F222" s="10">
        <v>56</v>
      </c>
      <c r="G222" s="10" t="s">
        <v>36</v>
      </c>
      <c r="H222" s="10">
        <v>43000</v>
      </c>
      <c r="I222" s="10">
        <f t="shared" si="21"/>
        <v>2408000</v>
      </c>
      <c r="J222" s="115" t="s">
        <v>90</v>
      </c>
      <c r="K222" s="10"/>
      <c r="L222" s="10"/>
      <c r="M222" s="12">
        <f t="shared" si="22"/>
        <v>0</v>
      </c>
      <c r="N222" s="12"/>
      <c r="O222" s="12"/>
      <c r="P222" s="12">
        <f t="shared" si="23"/>
        <v>0</v>
      </c>
      <c r="Q222" s="12"/>
      <c r="R222" s="12"/>
      <c r="S222" s="12">
        <f t="shared" si="24"/>
        <v>0</v>
      </c>
      <c r="T222" s="12"/>
      <c r="U222" s="12"/>
      <c r="V222" s="12">
        <f t="shared" si="25"/>
        <v>0</v>
      </c>
      <c r="W222" s="12"/>
      <c r="X222" s="12"/>
      <c r="Y222" s="12">
        <f t="shared" si="26"/>
        <v>0</v>
      </c>
      <c r="Z222" s="12"/>
      <c r="AA222" s="12"/>
      <c r="AB222" s="13">
        <f t="shared" si="27"/>
        <v>2408000</v>
      </c>
      <c r="AC222" s="14"/>
    </row>
    <row r="223" spans="1:29" ht="15.75" x14ac:dyDescent="0.25">
      <c r="A223" s="28">
        <v>46063</v>
      </c>
      <c r="B223" s="10" t="s">
        <v>272</v>
      </c>
      <c r="C223" s="10"/>
      <c r="D223" s="10"/>
      <c r="E223" s="10" t="s">
        <v>80</v>
      </c>
      <c r="F223" s="10">
        <v>22.9</v>
      </c>
      <c r="G223" s="10" t="s">
        <v>36</v>
      </c>
      <c r="H223" s="10">
        <v>43000</v>
      </c>
      <c r="I223" s="10">
        <f t="shared" si="21"/>
        <v>984699.99999999988</v>
      </c>
      <c r="J223" s="115" t="s">
        <v>90</v>
      </c>
      <c r="K223" s="10"/>
      <c r="L223" s="10"/>
      <c r="M223" s="12">
        <f t="shared" si="22"/>
        <v>0</v>
      </c>
      <c r="N223" s="12"/>
      <c r="O223" s="12"/>
      <c r="P223" s="12">
        <f t="shared" si="23"/>
        <v>0</v>
      </c>
      <c r="Q223" s="12"/>
      <c r="R223" s="12"/>
      <c r="S223" s="12">
        <f t="shared" si="24"/>
        <v>0</v>
      </c>
      <c r="T223" s="12"/>
      <c r="U223" s="12"/>
      <c r="V223" s="12">
        <f t="shared" si="25"/>
        <v>0</v>
      </c>
      <c r="W223" s="12"/>
      <c r="X223" s="12"/>
      <c r="Y223" s="12">
        <f t="shared" si="26"/>
        <v>0</v>
      </c>
      <c r="Z223" s="12"/>
      <c r="AA223" s="12"/>
      <c r="AB223" s="13">
        <f t="shared" si="27"/>
        <v>984699.99999999988</v>
      </c>
      <c r="AC223" s="14"/>
    </row>
    <row r="224" spans="1:29" s="148" customFormat="1" ht="16.5" thickBot="1" x14ac:dyDescent="0.3">
      <c r="A224" s="28">
        <v>46063</v>
      </c>
      <c r="B224" s="10" t="s">
        <v>272</v>
      </c>
      <c r="C224" s="10"/>
      <c r="D224" s="10"/>
      <c r="E224" s="10" t="s">
        <v>139</v>
      </c>
      <c r="F224" s="10">
        <v>17.899999999999999</v>
      </c>
      <c r="G224" s="10" t="s">
        <v>36</v>
      </c>
      <c r="H224" s="10">
        <v>43000</v>
      </c>
      <c r="I224" s="10">
        <f t="shared" si="21"/>
        <v>769699.99999999988</v>
      </c>
      <c r="J224" s="86" t="s">
        <v>113</v>
      </c>
      <c r="K224" s="10"/>
      <c r="L224" s="10"/>
      <c r="M224" s="12">
        <f t="shared" si="22"/>
        <v>769700</v>
      </c>
      <c r="N224" s="12">
        <v>769700</v>
      </c>
      <c r="O224" s="12"/>
      <c r="P224" s="12">
        <f t="shared" si="23"/>
        <v>0</v>
      </c>
      <c r="Q224" s="12"/>
      <c r="R224" s="12"/>
      <c r="S224" s="12">
        <f t="shared" si="24"/>
        <v>0</v>
      </c>
      <c r="T224" s="12"/>
      <c r="U224" s="12"/>
      <c r="V224" s="12">
        <f t="shared" si="25"/>
        <v>0</v>
      </c>
      <c r="W224" s="12"/>
      <c r="X224" s="12"/>
      <c r="Y224" s="12">
        <f t="shared" si="26"/>
        <v>0</v>
      </c>
      <c r="Z224" s="12"/>
      <c r="AA224" s="12"/>
      <c r="AB224" s="13">
        <f t="shared" si="27"/>
        <v>-1.1641532182693481E-10</v>
      </c>
      <c r="AC224" s="14">
        <v>46084</v>
      </c>
    </row>
    <row r="225" spans="1:29" ht="15.75" x14ac:dyDescent="0.25">
      <c r="A225" s="28">
        <v>46064</v>
      </c>
      <c r="B225" s="10" t="s">
        <v>272</v>
      </c>
      <c r="C225" s="10"/>
      <c r="D225" s="10"/>
      <c r="E225" s="10" t="s">
        <v>304</v>
      </c>
      <c r="F225" s="10">
        <v>37.5</v>
      </c>
      <c r="G225" s="10" t="s">
        <v>36</v>
      </c>
      <c r="H225" s="10">
        <v>90000</v>
      </c>
      <c r="I225" s="10">
        <f t="shared" si="21"/>
        <v>3375000</v>
      </c>
      <c r="J225" s="86" t="s">
        <v>30</v>
      </c>
      <c r="K225" s="10"/>
      <c r="L225" s="10"/>
      <c r="M225" s="12">
        <f t="shared" si="22"/>
        <v>808100</v>
      </c>
      <c r="N225" s="12">
        <v>808100</v>
      </c>
      <c r="O225" s="12"/>
      <c r="P225" s="12">
        <f t="shared" si="23"/>
        <v>0</v>
      </c>
      <c r="Q225" s="12"/>
      <c r="R225" s="12"/>
      <c r="S225" s="12">
        <f t="shared" si="24"/>
        <v>0</v>
      </c>
      <c r="T225" s="12"/>
      <c r="U225" s="12"/>
      <c r="V225" s="12">
        <f t="shared" si="25"/>
        <v>0</v>
      </c>
      <c r="W225" s="12"/>
      <c r="X225" s="12"/>
      <c r="Y225" s="12">
        <f t="shared" si="26"/>
        <v>0</v>
      </c>
      <c r="Z225" s="12"/>
      <c r="AA225" s="12"/>
      <c r="AB225" s="13">
        <f t="shared" si="27"/>
        <v>2566900</v>
      </c>
      <c r="AC225" s="14"/>
    </row>
    <row r="226" spans="1:29" ht="15.75" x14ac:dyDescent="0.25">
      <c r="A226" s="28">
        <v>46064</v>
      </c>
      <c r="B226" s="10" t="s">
        <v>272</v>
      </c>
      <c r="C226" s="10"/>
      <c r="D226" s="10"/>
      <c r="E226" s="10" t="s">
        <v>139</v>
      </c>
      <c r="F226" s="10">
        <v>38.5</v>
      </c>
      <c r="G226" s="10" t="s">
        <v>36</v>
      </c>
      <c r="H226" s="10">
        <v>43000</v>
      </c>
      <c r="I226" s="10">
        <f t="shared" si="21"/>
        <v>1655500</v>
      </c>
      <c r="J226" s="115" t="s">
        <v>90</v>
      </c>
      <c r="K226" s="10"/>
      <c r="L226" s="10"/>
      <c r="M226" s="12">
        <f t="shared" si="22"/>
        <v>0</v>
      </c>
      <c r="N226" s="12"/>
      <c r="O226" s="12"/>
      <c r="P226" s="12">
        <f t="shared" si="23"/>
        <v>0</v>
      </c>
      <c r="Q226" s="12"/>
      <c r="R226" s="12"/>
      <c r="S226" s="12">
        <f t="shared" si="24"/>
        <v>0</v>
      </c>
      <c r="T226" s="12"/>
      <c r="U226" s="12"/>
      <c r="V226" s="12">
        <f t="shared" si="25"/>
        <v>0</v>
      </c>
      <c r="W226" s="12"/>
      <c r="X226" s="12"/>
      <c r="Y226" s="12">
        <f t="shared" si="26"/>
        <v>0</v>
      </c>
      <c r="Z226" s="12"/>
      <c r="AA226" s="12"/>
      <c r="AB226" s="13">
        <f t="shared" si="27"/>
        <v>1655500</v>
      </c>
      <c r="AC226" s="14"/>
    </row>
    <row r="227" spans="1:29" s="148" customFormat="1" ht="16.5" thickBot="1" x14ac:dyDescent="0.3">
      <c r="A227" s="28">
        <v>46064</v>
      </c>
      <c r="B227" s="10" t="s">
        <v>272</v>
      </c>
      <c r="C227" s="10"/>
      <c r="D227" s="10"/>
      <c r="E227" s="10" t="s">
        <v>136</v>
      </c>
      <c r="F227" s="10">
        <v>96.7</v>
      </c>
      <c r="G227" s="10" t="s">
        <v>36</v>
      </c>
      <c r="H227" s="10">
        <v>43000</v>
      </c>
      <c r="I227" s="10">
        <f t="shared" si="21"/>
        <v>4158100</v>
      </c>
      <c r="J227" s="115" t="s">
        <v>90</v>
      </c>
      <c r="K227" s="10"/>
      <c r="L227" s="10"/>
      <c r="M227" s="12">
        <f t="shared" si="22"/>
        <v>0</v>
      </c>
      <c r="N227" s="12"/>
      <c r="O227" s="12"/>
      <c r="P227" s="12">
        <f t="shared" si="23"/>
        <v>0</v>
      </c>
      <c r="Q227" s="12"/>
      <c r="R227" s="12"/>
      <c r="S227" s="12">
        <f t="shared" si="24"/>
        <v>0</v>
      </c>
      <c r="T227" s="12"/>
      <c r="U227" s="12"/>
      <c r="V227" s="12">
        <f t="shared" si="25"/>
        <v>0</v>
      </c>
      <c r="W227" s="12"/>
      <c r="X227" s="12"/>
      <c r="Y227" s="12">
        <f t="shared" si="26"/>
        <v>0</v>
      </c>
      <c r="Z227" s="12"/>
      <c r="AA227" s="12"/>
      <c r="AB227" s="13">
        <f t="shared" si="27"/>
        <v>4158100</v>
      </c>
      <c r="AC227" s="14"/>
    </row>
    <row r="228" spans="1:29" ht="15.75" x14ac:dyDescent="0.25">
      <c r="A228" s="28">
        <v>46065</v>
      </c>
      <c r="B228" s="10" t="s">
        <v>149</v>
      </c>
      <c r="C228" s="10"/>
      <c r="D228" s="10" t="s">
        <v>383</v>
      </c>
      <c r="E228" s="10" t="s">
        <v>107</v>
      </c>
      <c r="F228" s="10">
        <v>300</v>
      </c>
      <c r="G228" s="10" t="s">
        <v>36</v>
      </c>
      <c r="H228" s="10">
        <v>62500</v>
      </c>
      <c r="I228" s="10">
        <f t="shared" si="21"/>
        <v>18750000</v>
      </c>
      <c r="J228" s="52" t="s">
        <v>90</v>
      </c>
      <c r="K228" s="88" t="s">
        <v>479</v>
      </c>
      <c r="L228" s="10"/>
      <c r="M228" s="12">
        <f t="shared" si="22"/>
        <v>0</v>
      </c>
      <c r="N228" s="12"/>
      <c r="O228" s="12"/>
      <c r="P228" s="12">
        <f t="shared" si="23"/>
        <v>0</v>
      </c>
      <c r="Q228" s="12"/>
      <c r="R228" s="12"/>
      <c r="S228" s="12">
        <f t="shared" si="24"/>
        <v>0</v>
      </c>
      <c r="T228" s="12"/>
      <c r="U228" s="12"/>
      <c r="V228" s="12">
        <f t="shared" si="25"/>
        <v>0</v>
      </c>
      <c r="W228" s="12"/>
      <c r="X228" s="12"/>
      <c r="Y228" s="12">
        <f t="shared" si="26"/>
        <v>0</v>
      </c>
      <c r="Z228" s="12"/>
      <c r="AA228" s="12"/>
      <c r="AB228" s="13">
        <f t="shared" si="27"/>
        <v>18750000</v>
      </c>
      <c r="AC228" s="14"/>
    </row>
    <row r="229" spans="1:29" ht="15.75" x14ac:dyDescent="0.25">
      <c r="A229" s="28">
        <v>46065</v>
      </c>
      <c r="B229" s="10" t="s">
        <v>272</v>
      </c>
      <c r="C229" s="10"/>
      <c r="D229" s="10"/>
      <c r="E229" s="10" t="s">
        <v>436</v>
      </c>
      <c r="F229" s="10">
        <v>33.299999999999997</v>
      </c>
      <c r="G229" s="10" t="s">
        <v>36</v>
      </c>
      <c r="H229" s="10">
        <v>43000</v>
      </c>
      <c r="I229" s="10">
        <f t="shared" si="21"/>
        <v>1431899.9999999998</v>
      </c>
      <c r="J229" s="86" t="s">
        <v>30</v>
      </c>
      <c r="K229" s="10"/>
      <c r="L229" s="10"/>
      <c r="M229" s="12">
        <f t="shared" si="22"/>
        <v>0</v>
      </c>
      <c r="N229" s="12"/>
      <c r="O229" s="12"/>
      <c r="P229" s="12">
        <f t="shared" si="23"/>
        <v>0</v>
      </c>
      <c r="Q229" s="12"/>
      <c r="R229" s="12"/>
      <c r="S229" s="12">
        <f t="shared" si="24"/>
        <v>0</v>
      </c>
      <c r="T229" s="12"/>
      <c r="U229" s="12"/>
      <c r="V229" s="12">
        <f t="shared" si="25"/>
        <v>0</v>
      </c>
      <c r="W229" s="12"/>
      <c r="X229" s="12"/>
      <c r="Y229" s="12">
        <f t="shared" si="26"/>
        <v>0</v>
      </c>
      <c r="Z229" s="12"/>
      <c r="AA229" s="12"/>
      <c r="AB229" s="13">
        <f t="shared" si="27"/>
        <v>1431899.9999999998</v>
      </c>
      <c r="AC229" s="14"/>
    </row>
    <row r="230" spans="1:29" ht="15.75" x14ac:dyDescent="0.25">
      <c r="A230" s="28">
        <v>46065</v>
      </c>
      <c r="B230" s="10" t="s">
        <v>272</v>
      </c>
      <c r="C230" s="10"/>
      <c r="D230" s="10"/>
      <c r="E230" s="10" t="s">
        <v>136</v>
      </c>
      <c r="F230" s="10">
        <v>24</v>
      </c>
      <c r="G230" s="10" t="s">
        <v>36</v>
      </c>
      <c r="H230" s="10">
        <v>43000</v>
      </c>
      <c r="I230" s="10">
        <f t="shared" si="21"/>
        <v>1032000</v>
      </c>
      <c r="J230" s="115" t="s">
        <v>90</v>
      </c>
      <c r="K230" s="10"/>
      <c r="L230" s="10"/>
      <c r="M230" s="12">
        <f t="shared" si="22"/>
        <v>0</v>
      </c>
      <c r="N230" s="12"/>
      <c r="O230" s="12"/>
      <c r="P230" s="12">
        <f t="shared" si="23"/>
        <v>0</v>
      </c>
      <c r="Q230" s="12"/>
      <c r="R230" s="12"/>
      <c r="S230" s="12">
        <f t="shared" si="24"/>
        <v>0</v>
      </c>
      <c r="T230" s="12"/>
      <c r="U230" s="12"/>
      <c r="V230" s="12">
        <f t="shared" si="25"/>
        <v>0</v>
      </c>
      <c r="W230" s="12"/>
      <c r="X230" s="12"/>
      <c r="Y230" s="12">
        <f t="shared" si="26"/>
        <v>0</v>
      </c>
      <c r="Z230" s="12"/>
      <c r="AA230" s="12"/>
      <c r="AB230" s="13">
        <f t="shared" si="27"/>
        <v>1032000</v>
      </c>
      <c r="AC230" s="14"/>
    </row>
    <row r="231" spans="1:29" ht="15.75" x14ac:dyDescent="0.25">
      <c r="A231" s="28">
        <v>46065</v>
      </c>
      <c r="B231" s="10" t="s">
        <v>272</v>
      </c>
      <c r="C231" s="10"/>
      <c r="D231" s="10"/>
      <c r="E231" s="10" t="s">
        <v>136</v>
      </c>
      <c r="F231" s="10">
        <v>22.2</v>
      </c>
      <c r="G231" s="10" t="s">
        <v>36</v>
      </c>
      <c r="H231" s="10">
        <v>43000</v>
      </c>
      <c r="I231" s="10">
        <f t="shared" si="21"/>
        <v>954600</v>
      </c>
      <c r="J231" s="115" t="s">
        <v>90</v>
      </c>
      <c r="K231" s="10"/>
      <c r="L231" s="10"/>
      <c r="M231" s="12">
        <f t="shared" si="22"/>
        <v>0</v>
      </c>
      <c r="N231" s="12"/>
      <c r="O231" s="12"/>
      <c r="P231" s="12">
        <f t="shared" si="23"/>
        <v>0</v>
      </c>
      <c r="Q231" s="12"/>
      <c r="R231" s="12"/>
      <c r="S231" s="12">
        <f t="shared" si="24"/>
        <v>0</v>
      </c>
      <c r="T231" s="12"/>
      <c r="U231" s="12"/>
      <c r="V231" s="12">
        <f t="shared" si="25"/>
        <v>0</v>
      </c>
      <c r="W231" s="12"/>
      <c r="X231" s="12"/>
      <c r="Y231" s="12">
        <f t="shared" si="26"/>
        <v>0</v>
      </c>
      <c r="Z231" s="12"/>
      <c r="AA231" s="12"/>
      <c r="AB231" s="13">
        <f t="shared" si="27"/>
        <v>954600</v>
      </c>
      <c r="AC231" s="14"/>
    </row>
    <row r="232" spans="1:29" s="148" customFormat="1" ht="16.5" thickBot="1" x14ac:dyDescent="0.3">
      <c r="A232" s="28">
        <v>46065</v>
      </c>
      <c r="B232" s="10" t="s">
        <v>272</v>
      </c>
      <c r="C232" s="10"/>
      <c r="D232" s="10"/>
      <c r="E232" s="10" t="s">
        <v>377</v>
      </c>
      <c r="F232" s="10">
        <v>31.2</v>
      </c>
      <c r="G232" s="10" t="s">
        <v>36</v>
      </c>
      <c r="H232" s="10">
        <v>43000</v>
      </c>
      <c r="I232" s="10">
        <f t="shared" si="21"/>
        <v>1341600</v>
      </c>
      <c r="J232" s="86" t="s">
        <v>30</v>
      </c>
      <c r="K232" s="10"/>
      <c r="L232" s="10"/>
      <c r="M232" s="12">
        <f t="shared" si="22"/>
        <v>0</v>
      </c>
      <c r="N232" s="12"/>
      <c r="O232" s="12"/>
      <c r="P232" s="12">
        <f t="shared" si="23"/>
        <v>0</v>
      </c>
      <c r="Q232" s="12"/>
      <c r="R232" s="12"/>
      <c r="S232" s="12">
        <f t="shared" si="24"/>
        <v>0</v>
      </c>
      <c r="T232" s="12"/>
      <c r="U232" s="12"/>
      <c r="V232" s="12">
        <f t="shared" si="25"/>
        <v>0</v>
      </c>
      <c r="W232" s="12"/>
      <c r="X232" s="12"/>
      <c r="Y232" s="12">
        <f t="shared" si="26"/>
        <v>0</v>
      </c>
      <c r="Z232" s="12"/>
      <c r="AA232" s="12"/>
      <c r="AB232" s="13">
        <f t="shared" si="27"/>
        <v>1341600</v>
      </c>
      <c r="AC232" s="14"/>
    </row>
    <row r="233" spans="1:29" ht="15.75" x14ac:dyDescent="0.25">
      <c r="A233" s="65">
        <v>46066</v>
      </c>
      <c r="B233" s="66" t="s">
        <v>233</v>
      </c>
      <c r="C233" s="66"/>
      <c r="D233" s="66" t="s">
        <v>383</v>
      </c>
      <c r="E233" s="66" t="s">
        <v>412</v>
      </c>
      <c r="F233" s="66">
        <v>10</v>
      </c>
      <c r="G233" s="66" t="s">
        <v>67</v>
      </c>
      <c r="H233" s="66">
        <v>50000</v>
      </c>
      <c r="I233" s="66">
        <f t="shared" si="21"/>
        <v>500000</v>
      </c>
      <c r="J233" s="114" t="s">
        <v>76</v>
      </c>
      <c r="K233" s="66"/>
      <c r="L233" s="66"/>
      <c r="M233" s="67">
        <f t="shared" si="22"/>
        <v>0</v>
      </c>
      <c r="N233" s="67"/>
      <c r="O233" s="67"/>
      <c r="P233" s="67">
        <f t="shared" si="23"/>
        <v>0</v>
      </c>
      <c r="Q233" s="67"/>
      <c r="R233" s="67"/>
      <c r="S233" s="67">
        <f t="shared" si="24"/>
        <v>0</v>
      </c>
      <c r="T233" s="67"/>
      <c r="U233" s="67"/>
      <c r="V233" s="67">
        <f t="shared" si="25"/>
        <v>0</v>
      </c>
      <c r="W233" s="67"/>
      <c r="X233" s="67"/>
      <c r="Y233" s="67">
        <f t="shared" si="26"/>
        <v>0</v>
      </c>
      <c r="Z233" s="67"/>
      <c r="AA233" s="67"/>
      <c r="AB233" s="68">
        <f t="shared" si="27"/>
        <v>500000</v>
      </c>
      <c r="AC233" s="69"/>
    </row>
    <row r="234" spans="1:29" ht="15.75" x14ac:dyDescent="0.25">
      <c r="A234" s="65">
        <v>46066</v>
      </c>
      <c r="B234" s="10" t="s">
        <v>273</v>
      </c>
      <c r="C234" s="10"/>
      <c r="D234" s="10"/>
      <c r="E234" s="10" t="s">
        <v>119</v>
      </c>
      <c r="F234" s="10">
        <v>25</v>
      </c>
      <c r="G234" s="10" t="s">
        <v>36</v>
      </c>
      <c r="H234" s="10">
        <v>105000</v>
      </c>
      <c r="I234" s="10">
        <f t="shared" si="21"/>
        <v>2625000</v>
      </c>
      <c r="J234" s="115" t="s">
        <v>90</v>
      </c>
      <c r="K234" s="10"/>
      <c r="L234" s="10"/>
      <c r="M234" s="12">
        <f t="shared" si="22"/>
        <v>0</v>
      </c>
      <c r="N234" s="12"/>
      <c r="O234" s="12"/>
      <c r="P234" s="12">
        <f t="shared" si="23"/>
        <v>0</v>
      </c>
      <c r="Q234" s="12"/>
      <c r="R234" s="12"/>
      <c r="S234" s="12">
        <f t="shared" si="24"/>
        <v>0</v>
      </c>
      <c r="T234" s="12"/>
      <c r="U234" s="12"/>
      <c r="V234" s="12">
        <f t="shared" si="25"/>
        <v>0</v>
      </c>
      <c r="W234" s="12"/>
      <c r="X234" s="12"/>
      <c r="Y234" s="12">
        <f t="shared" si="26"/>
        <v>0</v>
      </c>
      <c r="Z234" s="12"/>
      <c r="AA234" s="12"/>
      <c r="AB234" s="13">
        <f t="shared" si="27"/>
        <v>2625000</v>
      </c>
      <c r="AC234" s="14"/>
    </row>
    <row r="235" spans="1:29" ht="15.75" x14ac:dyDescent="0.25">
      <c r="A235" s="65">
        <v>46066</v>
      </c>
      <c r="B235" s="10" t="s">
        <v>122</v>
      </c>
      <c r="C235" s="10"/>
      <c r="D235" s="10" t="s">
        <v>383</v>
      </c>
      <c r="E235" s="10" t="s">
        <v>65</v>
      </c>
      <c r="F235" s="94">
        <v>10400</v>
      </c>
      <c r="G235" s="10" t="s">
        <v>26</v>
      </c>
      <c r="H235" s="10">
        <v>3800</v>
      </c>
      <c r="I235" s="10">
        <f t="shared" si="21"/>
        <v>39520000</v>
      </c>
      <c r="J235" s="52" t="s">
        <v>30</v>
      </c>
      <c r="K235" s="88" t="s">
        <v>479</v>
      </c>
      <c r="L235" s="10"/>
      <c r="M235" s="12">
        <f t="shared" si="22"/>
        <v>35032700</v>
      </c>
      <c r="N235" s="12">
        <v>35032700</v>
      </c>
      <c r="O235" s="12"/>
      <c r="P235" s="12">
        <f t="shared" si="23"/>
        <v>0</v>
      </c>
      <c r="Q235" s="12"/>
      <c r="R235" s="12"/>
      <c r="S235" s="12">
        <f t="shared" si="24"/>
        <v>0</v>
      </c>
      <c r="T235" s="12"/>
      <c r="U235" s="12"/>
      <c r="V235" s="12">
        <f t="shared" si="25"/>
        <v>0</v>
      </c>
      <c r="W235" s="12"/>
      <c r="X235" s="12"/>
      <c r="Y235" s="12">
        <f t="shared" si="26"/>
        <v>0</v>
      </c>
      <c r="Z235" s="12"/>
      <c r="AA235" s="12"/>
      <c r="AB235" s="13">
        <f t="shared" si="27"/>
        <v>4487300</v>
      </c>
      <c r="AC235" s="14">
        <v>46086</v>
      </c>
    </row>
    <row r="236" spans="1:29" ht="15.75" x14ac:dyDescent="0.25">
      <c r="A236" s="65">
        <v>46066</v>
      </c>
      <c r="B236" s="10" t="s">
        <v>122</v>
      </c>
      <c r="C236" s="10"/>
      <c r="D236" s="10" t="s">
        <v>383</v>
      </c>
      <c r="E236" s="10" t="s">
        <v>80</v>
      </c>
      <c r="F236" s="10">
        <v>225.3</v>
      </c>
      <c r="G236" s="10" t="s">
        <v>36</v>
      </c>
      <c r="H236" s="10">
        <v>43000</v>
      </c>
      <c r="I236" s="10">
        <f t="shared" si="21"/>
        <v>9687900</v>
      </c>
      <c r="J236" s="52" t="s">
        <v>30</v>
      </c>
      <c r="K236" s="88" t="s">
        <v>479</v>
      </c>
      <c r="L236" s="10"/>
      <c r="M236" s="12">
        <f t="shared" si="22"/>
        <v>0</v>
      </c>
      <c r="N236" s="12"/>
      <c r="O236" s="12"/>
      <c r="P236" s="12">
        <f t="shared" si="23"/>
        <v>0</v>
      </c>
      <c r="Q236" s="12"/>
      <c r="R236" s="12"/>
      <c r="S236" s="12">
        <f t="shared" si="24"/>
        <v>0</v>
      </c>
      <c r="T236" s="12"/>
      <c r="U236" s="12"/>
      <c r="V236" s="12">
        <f t="shared" si="25"/>
        <v>0</v>
      </c>
      <c r="W236" s="12"/>
      <c r="X236" s="12"/>
      <c r="Y236" s="12">
        <f t="shared" si="26"/>
        <v>0</v>
      </c>
      <c r="Z236" s="12"/>
      <c r="AA236" s="12"/>
      <c r="AB236" s="13">
        <f t="shared" si="27"/>
        <v>9687900</v>
      </c>
      <c r="AC236" s="14"/>
    </row>
    <row r="237" spans="1:29" ht="15.75" x14ac:dyDescent="0.25">
      <c r="A237" s="65">
        <v>46066</v>
      </c>
      <c r="B237" s="10" t="s">
        <v>122</v>
      </c>
      <c r="C237" s="10"/>
      <c r="D237" s="10" t="s">
        <v>383</v>
      </c>
      <c r="E237" s="10" t="s">
        <v>198</v>
      </c>
      <c r="F237" s="10">
        <v>64.599999999999994</v>
      </c>
      <c r="G237" s="10" t="s">
        <v>36</v>
      </c>
      <c r="H237" s="10">
        <v>43000</v>
      </c>
      <c r="I237" s="10">
        <f t="shared" si="21"/>
        <v>2777799.9999999995</v>
      </c>
      <c r="J237" s="52" t="s">
        <v>30</v>
      </c>
      <c r="K237" s="88" t="s">
        <v>479</v>
      </c>
      <c r="L237" s="10"/>
      <c r="M237" s="12">
        <f t="shared" si="22"/>
        <v>0</v>
      </c>
      <c r="N237" s="12"/>
      <c r="O237" s="12"/>
      <c r="P237" s="12">
        <f t="shared" si="23"/>
        <v>0</v>
      </c>
      <c r="Q237" s="12"/>
      <c r="R237" s="12"/>
      <c r="S237" s="12">
        <f t="shared" si="24"/>
        <v>0</v>
      </c>
      <c r="T237" s="12"/>
      <c r="U237" s="12"/>
      <c r="V237" s="12">
        <f t="shared" si="25"/>
        <v>0</v>
      </c>
      <c r="W237" s="12"/>
      <c r="X237" s="12"/>
      <c r="Y237" s="12">
        <f t="shared" si="26"/>
        <v>0</v>
      </c>
      <c r="Z237" s="12"/>
      <c r="AA237" s="12"/>
      <c r="AB237" s="13">
        <f t="shared" si="27"/>
        <v>2777799.9999999995</v>
      </c>
      <c r="AC237" s="14"/>
    </row>
    <row r="238" spans="1:29" ht="15.75" x14ac:dyDescent="0.25">
      <c r="A238" s="65">
        <v>46066</v>
      </c>
      <c r="B238" s="10" t="s">
        <v>122</v>
      </c>
      <c r="C238" s="10"/>
      <c r="D238" s="10" t="s">
        <v>383</v>
      </c>
      <c r="E238" s="10" t="s">
        <v>137</v>
      </c>
      <c r="F238" s="10">
        <v>50</v>
      </c>
      <c r="G238" s="10" t="s">
        <v>36</v>
      </c>
      <c r="H238" s="10">
        <v>200000</v>
      </c>
      <c r="I238" s="10">
        <f t="shared" si="21"/>
        <v>10000000</v>
      </c>
      <c r="J238" s="52" t="s">
        <v>30</v>
      </c>
      <c r="K238" s="88" t="s">
        <v>479</v>
      </c>
      <c r="L238" s="10"/>
      <c r="M238" s="12">
        <f t="shared" si="22"/>
        <v>0</v>
      </c>
      <c r="N238" s="12"/>
      <c r="O238" s="12"/>
      <c r="P238" s="12">
        <f t="shared" si="23"/>
        <v>0</v>
      </c>
      <c r="Q238" s="12"/>
      <c r="R238" s="12"/>
      <c r="S238" s="12">
        <f t="shared" si="24"/>
        <v>0</v>
      </c>
      <c r="T238" s="12"/>
      <c r="U238" s="12"/>
      <c r="V238" s="12">
        <f t="shared" si="25"/>
        <v>0</v>
      </c>
      <c r="W238" s="12"/>
      <c r="X238" s="12"/>
      <c r="Y238" s="12">
        <f t="shared" si="26"/>
        <v>0</v>
      </c>
      <c r="Z238" s="12"/>
      <c r="AA238" s="12"/>
      <c r="AB238" s="13">
        <f t="shared" si="27"/>
        <v>10000000</v>
      </c>
      <c r="AC238" s="14"/>
    </row>
    <row r="239" spans="1:29" ht="15.75" x14ac:dyDescent="0.25">
      <c r="A239" s="28">
        <v>46066</v>
      </c>
      <c r="B239" s="10" t="s">
        <v>272</v>
      </c>
      <c r="C239" s="10"/>
      <c r="D239" s="10"/>
      <c r="E239" s="10" t="s">
        <v>92</v>
      </c>
      <c r="F239" s="10">
        <v>33.9</v>
      </c>
      <c r="G239" s="10" t="s">
        <v>36</v>
      </c>
      <c r="H239" s="10">
        <v>43000</v>
      </c>
      <c r="I239" s="10">
        <f t="shared" si="21"/>
        <v>1457700</v>
      </c>
      <c r="J239" s="115" t="s">
        <v>90</v>
      </c>
      <c r="K239" s="10"/>
      <c r="L239" s="10"/>
      <c r="M239" s="12">
        <f t="shared" si="22"/>
        <v>0</v>
      </c>
      <c r="N239" s="12"/>
      <c r="O239" s="12"/>
      <c r="P239" s="12">
        <f t="shared" si="23"/>
        <v>0</v>
      </c>
      <c r="Q239" s="12"/>
      <c r="R239" s="12"/>
      <c r="S239" s="12">
        <f t="shared" si="24"/>
        <v>0</v>
      </c>
      <c r="T239" s="12"/>
      <c r="U239" s="12"/>
      <c r="V239" s="12">
        <f t="shared" si="25"/>
        <v>0</v>
      </c>
      <c r="W239" s="12"/>
      <c r="X239" s="12"/>
      <c r="Y239" s="12">
        <f t="shared" si="26"/>
        <v>0</v>
      </c>
      <c r="Z239" s="12"/>
      <c r="AA239" s="12"/>
      <c r="AB239" s="13">
        <f t="shared" si="27"/>
        <v>1457700</v>
      </c>
      <c r="AC239" s="14"/>
    </row>
    <row r="240" spans="1:29" ht="15.75" x14ac:dyDescent="0.25">
      <c r="A240" s="65">
        <v>46066</v>
      </c>
      <c r="B240" s="10" t="s">
        <v>272</v>
      </c>
      <c r="C240" s="10"/>
      <c r="D240" s="10"/>
      <c r="E240" s="10" t="s">
        <v>306</v>
      </c>
      <c r="F240" s="10">
        <v>56.1</v>
      </c>
      <c r="G240" s="10" t="s">
        <v>36</v>
      </c>
      <c r="H240" s="10">
        <v>43000</v>
      </c>
      <c r="I240" s="10">
        <f t="shared" si="21"/>
        <v>2412300</v>
      </c>
      <c r="J240" s="115" t="s">
        <v>90</v>
      </c>
      <c r="K240" s="10"/>
      <c r="L240" s="10"/>
      <c r="M240" s="12">
        <f t="shared" si="22"/>
        <v>0</v>
      </c>
      <c r="N240" s="12"/>
      <c r="O240" s="12"/>
      <c r="P240" s="12">
        <f t="shared" si="23"/>
        <v>0</v>
      </c>
      <c r="Q240" s="12"/>
      <c r="R240" s="12"/>
      <c r="S240" s="12">
        <f t="shared" si="24"/>
        <v>0</v>
      </c>
      <c r="T240" s="12"/>
      <c r="U240" s="12"/>
      <c r="V240" s="12">
        <f t="shared" si="25"/>
        <v>0</v>
      </c>
      <c r="W240" s="12"/>
      <c r="X240" s="12"/>
      <c r="Y240" s="12">
        <f t="shared" si="26"/>
        <v>0</v>
      </c>
      <c r="Z240" s="12"/>
      <c r="AA240" s="12"/>
      <c r="AB240" s="13">
        <f t="shared" si="27"/>
        <v>2412300</v>
      </c>
      <c r="AC240" s="14"/>
    </row>
    <row r="241" spans="1:29" s="148" customFormat="1" ht="16.5" thickBot="1" x14ac:dyDescent="0.3">
      <c r="A241" s="65">
        <v>46066</v>
      </c>
      <c r="B241" s="10" t="s">
        <v>272</v>
      </c>
      <c r="C241" s="10"/>
      <c r="D241" s="10"/>
      <c r="E241" s="10" t="s">
        <v>307</v>
      </c>
      <c r="F241" s="10">
        <v>27.3</v>
      </c>
      <c r="G241" s="10" t="s">
        <v>36</v>
      </c>
      <c r="H241" s="10">
        <v>43000</v>
      </c>
      <c r="I241" s="10">
        <f t="shared" si="21"/>
        <v>1173900</v>
      </c>
      <c r="J241" s="86" t="s">
        <v>30</v>
      </c>
      <c r="K241" s="10"/>
      <c r="L241" s="10"/>
      <c r="M241" s="12">
        <f t="shared" si="22"/>
        <v>0</v>
      </c>
      <c r="N241" s="12"/>
      <c r="O241" s="12"/>
      <c r="P241" s="12">
        <f t="shared" si="23"/>
        <v>0</v>
      </c>
      <c r="Q241" s="12"/>
      <c r="R241" s="12"/>
      <c r="S241" s="12">
        <f t="shared" si="24"/>
        <v>0</v>
      </c>
      <c r="T241" s="12"/>
      <c r="U241" s="12"/>
      <c r="V241" s="12">
        <f t="shared" si="25"/>
        <v>0</v>
      </c>
      <c r="W241" s="12"/>
      <c r="X241" s="12"/>
      <c r="Y241" s="12">
        <f t="shared" si="26"/>
        <v>0</v>
      </c>
      <c r="Z241" s="12"/>
      <c r="AA241" s="12"/>
      <c r="AB241" s="13">
        <f t="shared" si="27"/>
        <v>1173900</v>
      </c>
      <c r="AC241" s="14"/>
    </row>
    <row r="242" spans="1:29" ht="15.75" x14ac:dyDescent="0.25">
      <c r="A242" s="65">
        <v>46067</v>
      </c>
      <c r="B242" s="66" t="s">
        <v>106</v>
      </c>
      <c r="C242" s="66"/>
      <c r="D242" s="66" t="s">
        <v>383</v>
      </c>
      <c r="E242" s="66" t="s">
        <v>482</v>
      </c>
      <c r="F242" s="66">
        <v>3000</v>
      </c>
      <c r="G242" s="66" t="s">
        <v>26</v>
      </c>
      <c r="H242" s="66">
        <v>1120</v>
      </c>
      <c r="I242" s="66">
        <f t="shared" si="21"/>
        <v>3360000</v>
      </c>
      <c r="J242" s="84" t="s">
        <v>110</v>
      </c>
      <c r="K242" s="117" t="s">
        <v>375</v>
      </c>
      <c r="L242" s="66" t="s">
        <v>620</v>
      </c>
      <c r="M242" s="67">
        <f t="shared" si="22"/>
        <v>0</v>
      </c>
      <c r="N242" s="67"/>
      <c r="O242" s="67"/>
      <c r="P242" s="67">
        <f t="shared" si="23"/>
        <v>3360000</v>
      </c>
      <c r="Q242" s="67">
        <v>3360000</v>
      </c>
      <c r="R242" s="67"/>
      <c r="S242" s="67">
        <f t="shared" si="24"/>
        <v>0</v>
      </c>
      <c r="T242" s="67"/>
      <c r="U242" s="67"/>
      <c r="V242" s="67">
        <f t="shared" si="25"/>
        <v>0</v>
      </c>
      <c r="W242" s="67"/>
      <c r="X242" s="67"/>
      <c r="Y242" s="67">
        <f t="shared" si="26"/>
        <v>0</v>
      </c>
      <c r="Z242" s="67"/>
      <c r="AA242" s="67"/>
      <c r="AB242" s="68">
        <f t="shared" si="27"/>
        <v>0</v>
      </c>
      <c r="AC242" s="69">
        <v>46092</v>
      </c>
    </row>
    <row r="243" spans="1:29" ht="15.75" x14ac:dyDescent="0.25">
      <c r="A243" s="65">
        <v>46067</v>
      </c>
      <c r="B243" s="10" t="s">
        <v>176</v>
      </c>
      <c r="C243" s="10"/>
      <c r="D243" s="66" t="s">
        <v>383</v>
      </c>
      <c r="E243" s="10" t="s">
        <v>60</v>
      </c>
      <c r="F243" s="10">
        <v>10</v>
      </c>
      <c r="G243" s="10" t="s">
        <v>61</v>
      </c>
      <c r="H243" s="10">
        <v>150000</v>
      </c>
      <c r="I243" s="10">
        <f t="shared" si="21"/>
        <v>1500000</v>
      </c>
      <c r="J243" s="52" t="s">
        <v>30</v>
      </c>
      <c r="K243" s="88" t="s">
        <v>435</v>
      </c>
      <c r="L243" s="10"/>
      <c r="M243" s="12">
        <f t="shared" si="22"/>
        <v>0</v>
      </c>
      <c r="N243" s="12"/>
      <c r="O243" s="12"/>
      <c r="P243" s="12">
        <f t="shared" si="23"/>
        <v>0</v>
      </c>
      <c r="Q243" s="12"/>
      <c r="R243" s="12"/>
      <c r="S243" s="12">
        <f t="shared" si="24"/>
        <v>0</v>
      </c>
      <c r="T243" s="12"/>
      <c r="U243" s="12"/>
      <c r="V243" s="12">
        <f t="shared" si="25"/>
        <v>0</v>
      </c>
      <c r="W243" s="12"/>
      <c r="X243" s="12"/>
      <c r="Y243" s="12">
        <f t="shared" si="26"/>
        <v>0</v>
      </c>
      <c r="Z243" s="12"/>
      <c r="AA243" s="12"/>
      <c r="AB243" s="13">
        <f t="shared" si="27"/>
        <v>1500000</v>
      </c>
      <c r="AC243" s="14"/>
    </row>
    <row r="244" spans="1:29" ht="15.75" x14ac:dyDescent="0.25">
      <c r="A244" s="65">
        <v>46067</v>
      </c>
      <c r="B244" s="10" t="s">
        <v>176</v>
      </c>
      <c r="C244" s="10"/>
      <c r="D244" s="66" t="s">
        <v>383</v>
      </c>
      <c r="E244" s="10" t="s">
        <v>483</v>
      </c>
      <c r="F244" s="10">
        <v>2</v>
      </c>
      <c r="G244" s="10" t="s">
        <v>61</v>
      </c>
      <c r="H244" s="10">
        <v>230000</v>
      </c>
      <c r="I244" s="10">
        <f t="shared" si="21"/>
        <v>460000</v>
      </c>
      <c r="J244" s="52" t="s">
        <v>30</v>
      </c>
      <c r="K244" s="88" t="s">
        <v>435</v>
      </c>
      <c r="L244" s="10"/>
      <c r="M244" s="12">
        <f t="shared" si="22"/>
        <v>0</v>
      </c>
      <c r="N244" s="12"/>
      <c r="O244" s="12"/>
      <c r="P244" s="12">
        <f t="shared" si="23"/>
        <v>0</v>
      </c>
      <c r="Q244" s="12"/>
      <c r="R244" s="12"/>
      <c r="S244" s="12">
        <f t="shared" si="24"/>
        <v>0</v>
      </c>
      <c r="T244" s="12"/>
      <c r="U244" s="12"/>
      <c r="V244" s="12">
        <f t="shared" si="25"/>
        <v>0</v>
      </c>
      <c r="W244" s="12"/>
      <c r="X244" s="12"/>
      <c r="Y244" s="12">
        <f t="shared" si="26"/>
        <v>0</v>
      </c>
      <c r="Z244" s="12"/>
      <c r="AA244" s="12"/>
      <c r="AB244" s="13">
        <f t="shared" si="27"/>
        <v>460000</v>
      </c>
      <c r="AC244" s="14"/>
    </row>
    <row r="245" spans="1:29" ht="15.75" x14ac:dyDescent="0.25">
      <c r="A245" s="28">
        <v>46067</v>
      </c>
      <c r="B245" s="10" t="s">
        <v>151</v>
      </c>
      <c r="C245" s="10"/>
      <c r="D245" s="10" t="s">
        <v>383</v>
      </c>
      <c r="E245" s="10" t="s">
        <v>65</v>
      </c>
      <c r="F245" s="10">
        <v>5200</v>
      </c>
      <c r="G245" s="10" t="s">
        <v>26</v>
      </c>
      <c r="H245" s="10">
        <v>4000</v>
      </c>
      <c r="I245" s="10">
        <f t="shared" si="21"/>
        <v>20800000</v>
      </c>
      <c r="J245" s="29" t="s">
        <v>40</v>
      </c>
      <c r="K245" s="10"/>
      <c r="L245" s="10"/>
      <c r="M245" s="12">
        <f t="shared" si="22"/>
        <v>0</v>
      </c>
      <c r="N245" s="12"/>
      <c r="O245" s="12"/>
      <c r="P245" s="12">
        <f t="shared" si="23"/>
        <v>88448000</v>
      </c>
      <c r="Q245" s="12">
        <v>88448000</v>
      </c>
      <c r="R245" s="12"/>
      <c r="S245" s="12">
        <f t="shared" si="24"/>
        <v>0</v>
      </c>
      <c r="T245" s="12"/>
      <c r="U245" s="12"/>
      <c r="V245" s="12">
        <f t="shared" si="25"/>
        <v>0</v>
      </c>
      <c r="W245" s="12"/>
      <c r="X245" s="12"/>
      <c r="Y245" s="12">
        <f t="shared" si="26"/>
        <v>0</v>
      </c>
      <c r="Z245" s="12"/>
      <c r="AA245" s="12"/>
      <c r="AB245" s="13">
        <f t="shared" si="27"/>
        <v>-67648000</v>
      </c>
      <c r="AC245" s="14">
        <v>45978</v>
      </c>
    </row>
    <row r="246" spans="1:29" ht="15.75" x14ac:dyDescent="0.25">
      <c r="A246" s="65">
        <v>46067</v>
      </c>
      <c r="B246" s="10" t="s">
        <v>272</v>
      </c>
      <c r="C246" s="10"/>
      <c r="D246" s="10"/>
      <c r="E246" s="10" t="s">
        <v>198</v>
      </c>
      <c r="F246" s="10">
        <v>32.1</v>
      </c>
      <c r="G246" s="96" t="s">
        <v>36</v>
      </c>
      <c r="H246" s="10">
        <v>43000</v>
      </c>
      <c r="I246" s="10">
        <f t="shared" si="21"/>
        <v>1380300</v>
      </c>
      <c r="J246" s="115" t="s">
        <v>90</v>
      </c>
      <c r="K246" s="10"/>
      <c r="L246" s="10"/>
      <c r="M246" s="12">
        <f t="shared" si="22"/>
        <v>0</v>
      </c>
      <c r="N246" s="12"/>
      <c r="O246" s="12"/>
      <c r="P246" s="12">
        <f t="shared" si="23"/>
        <v>0</v>
      </c>
      <c r="Q246" s="12"/>
      <c r="R246" s="12"/>
      <c r="S246" s="12">
        <f t="shared" si="24"/>
        <v>0</v>
      </c>
      <c r="T246" s="12"/>
      <c r="U246" s="12"/>
      <c r="V246" s="12">
        <f t="shared" si="25"/>
        <v>0</v>
      </c>
      <c r="W246" s="12"/>
      <c r="X246" s="12"/>
      <c r="Y246" s="12">
        <f t="shared" si="26"/>
        <v>0</v>
      </c>
      <c r="Z246" s="12"/>
      <c r="AA246" s="12"/>
      <c r="AB246" s="13">
        <f t="shared" si="27"/>
        <v>1380300</v>
      </c>
      <c r="AC246" s="14"/>
    </row>
    <row r="247" spans="1:29" s="148" customFormat="1" ht="16.5" thickBot="1" x14ac:dyDescent="0.3">
      <c r="A247" s="28">
        <v>46067</v>
      </c>
      <c r="B247" s="10" t="s">
        <v>272</v>
      </c>
      <c r="C247" s="10"/>
      <c r="D247" s="10"/>
      <c r="E247" s="10" t="s">
        <v>80</v>
      </c>
      <c r="F247" s="10">
        <v>22.5</v>
      </c>
      <c r="G247" s="96" t="s">
        <v>36</v>
      </c>
      <c r="H247" s="10">
        <v>43000</v>
      </c>
      <c r="I247" s="10">
        <f t="shared" si="21"/>
        <v>967500</v>
      </c>
      <c r="J247" s="86" t="s">
        <v>30</v>
      </c>
      <c r="K247" s="10"/>
      <c r="L247" s="10"/>
      <c r="M247" s="12">
        <f t="shared" si="22"/>
        <v>0</v>
      </c>
      <c r="N247" s="12"/>
      <c r="O247" s="12"/>
      <c r="P247" s="12">
        <f t="shared" si="23"/>
        <v>0</v>
      </c>
      <c r="Q247" s="12"/>
      <c r="R247" s="12"/>
      <c r="S247" s="12">
        <f t="shared" si="24"/>
        <v>0</v>
      </c>
      <c r="T247" s="12"/>
      <c r="U247" s="12"/>
      <c r="V247" s="12">
        <f t="shared" si="25"/>
        <v>0</v>
      </c>
      <c r="W247" s="12"/>
      <c r="X247" s="12"/>
      <c r="Y247" s="12">
        <f t="shared" si="26"/>
        <v>0</v>
      </c>
      <c r="Z247" s="12"/>
      <c r="AA247" s="12"/>
      <c r="AB247" s="13">
        <f t="shared" si="27"/>
        <v>967500</v>
      </c>
      <c r="AC247" s="14"/>
    </row>
    <row r="248" spans="1:29" ht="15.75" x14ac:dyDescent="0.25">
      <c r="A248" s="65">
        <v>46069</v>
      </c>
      <c r="B248" s="10" t="s">
        <v>272</v>
      </c>
      <c r="C248" s="10"/>
      <c r="D248" s="10"/>
      <c r="E248" s="10" t="s">
        <v>265</v>
      </c>
      <c r="F248" s="10">
        <v>23.6</v>
      </c>
      <c r="G248" s="10" t="s">
        <v>36</v>
      </c>
      <c r="H248" s="10">
        <v>43000</v>
      </c>
      <c r="I248" s="10">
        <f t="shared" si="21"/>
        <v>1014800.0000000001</v>
      </c>
      <c r="J248" s="115" t="s">
        <v>90</v>
      </c>
      <c r="K248" s="10"/>
      <c r="L248" s="10"/>
      <c r="M248" s="12">
        <f t="shared" si="22"/>
        <v>0</v>
      </c>
      <c r="N248" s="12"/>
      <c r="O248" s="12"/>
      <c r="P248" s="12">
        <f t="shared" si="23"/>
        <v>0</v>
      </c>
      <c r="Q248" s="12"/>
      <c r="R248" s="12"/>
      <c r="S248" s="12">
        <f t="shared" si="24"/>
        <v>0</v>
      </c>
      <c r="T248" s="12"/>
      <c r="U248" s="12"/>
      <c r="V248" s="12">
        <f t="shared" si="25"/>
        <v>0</v>
      </c>
      <c r="W248" s="12"/>
      <c r="X248" s="12"/>
      <c r="Y248" s="12">
        <f t="shared" si="26"/>
        <v>0</v>
      </c>
      <c r="Z248" s="12"/>
      <c r="AA248" s="12"/>
      <c r="AB248" s="13">
        <f t="shared" si="27"/>
        <v>1014800.0000000001</v>
      </c>
      <c r="AC248" s="14"/>
    </row>
    <row r="249" spans="1:29" s="148" customFormat="1" ht="16.5" thickBot="1" x14ac:dyDescent="0.3">
      <c r="A249" s="65">
        <v>46069</v>
      </c>
      <c r="B249" s="10" t="s">
        <v>272</v>
      </c>
      <c r="C249" s="10"/>
      <c r="D249" s="10"/>
      <c r="E249" s="10" t="s">
        <v>92</v>
      </c>
      <c r="F249" s="10">
        <v>68.2</v>
      </c>
      <c r="G249" s="10" t="s">
        <v>36</v>
      </c>
      <c r="H249" s="10">
        <v>43000</v>
      </c>
      <c r="I249" s="10">
        <f t="shared" si="21"/>
        <v>2932600</v>
      </c>
      <c r="J249" s="115" t="s">
        <v>90</v>
      </c>
      <c r="K249" s="10"/>
      <c r="L249" s="10"/>
      <c r="M249" s="12">
        <f t="shared" si="22"/>
        <v>0</v>
      </c>
      <c r="N249" s="12"/>
      <c r="O249" s="12"/>
      <c r="P249" s="12">
        <f t="shared" si="23"/>
        <v>0</v>
      </c>
      <c r="Q249" s="12"/>
      <c r="R249" s="12"/>
      <c r="S249" s="12">
        <f t="shared" si="24"/>
        <v>0</v>
      </c>
      <c r="T249" s="12"/>
      <c r="U249" s="12"/>
      <c r="V249" s="12">
        <f t="shared" si="25"/>
        <v>0</v>
      </c>
      <c r="W249" s="12"/>
      <c r="X249" s="12"/>
      <c r="Y249" s="12">
        <f t="shared" si="26"/>
        <v>0</v>
      </c>
      <c r="Z249" s="12"/>
      <c r="AA249" s="12"/>
      <c r="AB249" s="13">
        <f t="shared" si="27"/>
        <v>2932600</v>
      </c>
      <c r="AC249" s="14"/>
    </row>
    <row r="250" spans="1:29" ht="15.75" x14ac:dyDescent="0.25">
      <c r="A250" s="65">
        <v>46070</v>
      </c>
      <c r="B250" s="66" t="s">
        <v>283</v>
      </c>
      <c r="C250" s="66"/>
      <c r="D250" s="66" t="s">
        <v>383</v>
      </c>
      <c r="E250" s="66" t="s">
        <v>141</v>
      </c>
      <c r="F250" s="66">
        <v>7800</v>
      </c>
      <c r="G250" s="66" t="s">
        <v>26</v>
      </c>
      <c r="H250" s="66">
        <v>2000</v>
      </c>
      <c r="I250" s="66">
        <f t="shared" si="21"/>
        <v>15600000</v>
      </c>
      <c r="J250" s="114" t="s">
        <v>90</v>
      </c>
      <c r="K250" s="102" t="s">
        <v>491</v>
      </c>
      <c r="L250" s="66"/>
      <c r="M250" s="67">
        <f t="shared" si="22"/>
        <v>0</v>
      </c>
      <c r="N250" s="67"/>
      <c r="O250" s="67"/>
      <c r="P250" s="67">
        <f t="shared" si="23"/>
        <v>9000000</v>
      </c>
      <c r="Q250" s="67">
        <v>9000000</v>
      </c>
      <c r="R250" s="67"/>
      <c r="S250" s="67">
        <f t="shared" si="24"/>
        <v>0</v>
      </c>
      <c r="T250" s="67"/>
      <c r="U250" s="67"/>
      <c r="V250" s="67">
        <f t="shared" si="25"/>
        <v>0</v>
      </c>
      <c r="W250" s="67"/>
      <c r="X250" s="67"/>
      <c r="Y250" s="67">
        <f t="shared" si="26"/>
        <v>0</v>
      </c>
      <c r="Z250" s="67"/>
      <c r="AA250" s="67"/>
      <c r="AB250" s="68">
        <f t="shared" si="27"/>
        <v>6600000</v>
      </c>
      <c r="AC250" s="69">
        <v>46079</v>
      </c>
    </row>
    <row r="251" spans="1:29" ht="15.75" x14ac:dyDescent="0.25">
      <c r="A251" s="65">
        <v>46070</v>
      </c>
      <c r="B251" s="10" t="s">
        <v>430</v>
      </c>
      <c r="C251" s="10"/>
      <c r="D251" s="10" t="s">
        <v>383</v>
      </c>
      <c r="E251" s="10" t="s">
        <v>250</v>
      </c>
      <c r="F251" s="10">
        <v>136</v>
      </c>
      <c r="G251" s="10" t="s">
        <v>36</v>
      </c>
      <c r="H251" s="10">
        <v>100000</v>
      </c>
      <c r="I251" s="10">
        <f t="shared" si="21"/>
        <v>13600000</v>
      </c>
      <c r="J251" s="29" t="s">
        <v>40</v>
      </c>
      <c r="K251" s="10"/>
      <c r="L251" s="10"/>
      <c r="M251" s="12">
        <f t="shared" si="22"/>
        <v>0</v>
      </c>
      <c r="N251" s="12"/>
      <c r="O251" s="12"/>
      <c r="P251" s="12">
        <f t="shared" si="23"/>
        <v>14590000</v>
      </c>
      <c r="Q251" s="12">
        <v>14590000</v>
      </c>
      <c r="R251" s="12"/>
      <c r="S251" s="12">
        <f t="shared" si="24"/>
        <v>0</v>
      </c>
      <c r="T251" s="12"/>
      <c r="U251" s="12"/>
      <c r="V251" s="12">
        <f t="shared" si="25"/>
        <v>0</v>
      </c>
      <c r="W251" s="12"/>
      <c r="X251" s="12"/>
      <c r="Y251" s="12">
        <f t="shared" si="26"/>
        <v>0</v>
      </c>
      <c r="Z251" s="12"/>
      <c r="AA251" s="12"/>
      <c r="AB251" s="13">
        <f t="shared" si="27"/>
        <v>-990000</v>
      </c>
      <c r="AC251" s="14">
        <v>46066</v>
      </c>
    </row>
    <row r="252" spans="1:29" ht="15.75" x14ac:dyDescent="0.25">
      <c r="A252" s="65">
        <v>46070</v>
      </c>
      <c r="B252" s="10" t="s">
        <v>169</v>
      </c>
      <c r="C252" s="10"/>
      <c r="D252" s="10" t="s">
        <v>383</v>
      </c>
      <c r="E252" s="10" t="s">
        <v>205</v>
      </c>
      <c r="F252" s="10">
        <v>200</v>
      </c>
      <c r="G252" s="10" t="s">
        <v>36</v>
      </c>
      <c r="H252" s="10">
        <v>60000</v>
      </c>
      <c r="I252" s="10">
        <f t="shared" si="21"/>
        <v>12000000</v>
      </c>
      <c r="J252" s="29" t="s">
        <v>110</v>
      </c>
      <c r="K252" s="95" t="s">
        <v>491</v>
      </c>
      <c r="L252" s="10" t="s">
        <v>625</v>
      </c>
      <c r="M252" s="12">
        <f t="shared" si="22"/>
        <v>0</v>
      </c>
      <c r="N252" s="12"/>
      <c r="O252" s="12"/>
      <c r="P252" s="12">
        <f t="shared" si="23"/>
        <v>12000000</v>
      </c>
      <c r="Q252" s="12">
        <v>12000000</v>
      </c>
      <c r="R252" s="12"/>
      <c r="S252" s="12">
        <f t="shared" si="24"/>
        <v>0</v>
      </c>
      <c r="T252" s="12"/>
      <c r="U252" s="12"/>
      <c r="V252" s="12">
        <f t="shared" si="25"/>
        <v>0</v>
      </c>
      <c r="W252" s="12"/>
      <c r="X252" s="12"/>
      <c r="Y252" s="12">
        <f t="shared" si="26"/>
        <v>0</v>
      </c>
      <c r="Z252" s="12"/>
      <c r="AA252" s="12"/>
      <c r="AB252" s="13">
        <f t="shared" si="27"/>
        <v>0</v>
      </c>
      <c r="AC252" s="14">
        <v>46093</v>
      </c>
    </row>
    <row r="253" spans="1:29" ht="15.75" x14ac:dyDescent="0.25">
      <c r="A253" s="65">
        <v>46070</v>
      </c>
      <c r="B253" s="10" t="s">
        <v>257</v>
      </c>
      <c r="C253" s="10"/>
      <c r="D253" s="10" t="s">
        <v>383</v>
      </c>
      <c r="E253" s="10" t="s">
        <v>25</v>
      </c>
      <c r="F253" s="10">
        <v>200</v>
      </c>
      <c r="G253" s="10" t="s">
        <v>26</v>
      </c>
      <c r="H253" s="10">
        <v>2700</v>
      </c>
      <c r="I253" s="10">
        <f t="shared" si="21"/>
        <v>540000</v>
      </c>
      <c r="J253" s="29" t="s">
        <v>40</v>
      </c>
      <c r="K253" s="10"/>
      <c r="L253" s="10"/>
      <c r="M253" s="12">
        <f t="shared" si="22"/>
        <v>0</v>
      </c>
      <c r="N253" s="12"/>
      <c r="O253" s="12"/>
      <c r="P253" s="12">
        <f t="shared" si="23"/>
        <v>0</v>
      </c>
      <c r="Q253" s="12"/>
      <c r="R253" s="12"/>
      <c r="S253" s="12">
        <f t="shared" si="24"/>
        <v>560000</v>
      </c>
      <c r="T253" s="12">
        <v>560000</v>
      </c>
      <c r="U253" s="12"/>
      <c r="V253" s="12">
        <f t="shared" si="25"/>
        <v>0</v>
      </c>
      <c r="W253" s="12"/>
      <c r="X253" s="12"/>
      <c r="Y253" s="12">
        <f t="shared" si="26"/>
        <v>0</v>
      </c>
      <c r="Z253" s="12"/>
      <c r="AA253" s="12"/>
      <c r="AB253" s="13">
        <f t="shared" si="27"/>
        <v>-20000</v>
      </c>
      <c r="AC253" s="14">
        <v>46070</v>
      </c>
    </row>
    <row r="254" spans="1:29" ht="15.75" x14ac:dyDescent="0.25">
      <c r="A254" s="65">
        <v>46070</v>
      </c>
      <c r="B254" s="10" t="s">
        <v>53</v>
      </c>
      <c r="C254" s="10"/>
      <c r="D254" s="10" t="s">
        <v>383</v>
      </c>
      <c r="E254" s="10" t="s">
        <v>168</v>
      </c>
      <c r="F254" s="10">
        <v>317.3</v>
      </c>
      <c r="G254" s="10" t="s">
        <v>36</v>
      </c>
      <c r="H254" s="10">
        <v>43000</v>
      </c>
      <c r="I254" s="10">
        <f t="shared" si="21"/>
        <v>13643900</v>
      </c>
      <c r="J254" s="52" t="s">
        <v>90</v>
      </c>
      <c r="K254" s="10" t="s">
        <v>492</v>
      </c>
      <c r="L254" s="10"/>
      <c r="M254" s="12">
        <f t="shared" si="22"/>
        <v>0</v>
      </c>
      <c r="N254" s="12"/>
      <c r="O254" s="12"/>
      <c r="P254" s="12">
        <f t="shared" si="23"/>
        <v>4581100</v>
      </c>
      <c r="Q254" s="12"/>
      <c r="R254" s="12">
        <v>4581100</v>
      </c>
      <c r="S254" s="12">
        <f t="shared" si="24"/>
        <v>0</v>
      </c>
      <c r="T254" s="12"/>
      <c r="U254" s="12"/>
      <c r="V254" s="12">
        <f t="shared" si="25"/>
        <v>0</v>
      </c>
      <c r="W254" s="12"/>
      <c r="X254" s="12"/>
      <c r="Y254" s="12">
        <f t="shared" si="26"/>
        <v>0</v>
      </c>
      <c r="Z254" s="12"/>
      <c r="AA254" s="12"/>
      <c r="AB254" s="13">
        <f t="shared" si="27"/>
        <v>9062800</v>
      </c>
      <c r="AC254" s="14">
        <v>46092</v>
      </c>
    </row>
    <row r="255" spans="1:29" ht="15.75" x14ac:dyDescent="0.25">
      <c r="A255" s="65">
        <v>46070</v>
      </c>
      <c r="B255" s="10" t="s">
        <v>272</v>
      </c>
      <c r="C255" s="10"/>
      <c r="D255" s="10"/>
      <c r="E255" s="10" t="s">
        <v>92</v>
      </c>
      <c r="F255" s="10">
        <v>33.799999999999997</v>
      </c>
      <c r="G255" s="10" t="s">
        <v>36</v>
      </c>
      <c r="H255" s="10">
        <v>43000</v>
      </c>
      <c r="I255" s="10">
        <f t="shared" si="21"/>
        <v>1453399.9999999998</v>
      </c>
      <c r="J255" s="115" t="s">
        <v>90</v>
      </c>
      <c r="K255" s="10"/>
      <c r="L255" s="10"/>
      <c r="M255" s="12">
        <f t="shared" si="22"/>
        <v>0</v>
      </c>
      <c r="N255" s="12"/>
      <c r="O255" s="12"/>
      <c r="P255" s="12">
        <f t="shared" si="23"/>
        <v>0</v>
      </c>
      <c r="Q255" s="12"/>
      <c r="R255" s="12"/>
      <c r="S255" s="12">
        <f t="shared" si="24"/>
        <v>0</v>
      </c>
      <c r="T255" s="12"/>
      <c r="U255" s="12"/>
      <c r="V255" s="12">
        <f t="shared" si="25"/>
        <v>0</v>
      </c>
      <c r="W255" s="12"/>
      <c r="X255" s="12"/>
      <c r="Y255" s="12">
        <f t="shared" si="26"/>
        <v>0</v>
      </c>
      <c r="Z255" s="12"/>
      <c r="AA255" s="12"/>
      <c r="AB255" s="13">
        <f t="shared" si="27"/>
        <v>1453399.9999999998</v>
      </c>
      <c r="AC255" s="14"/>
    </row>
    <row r="256" spans="1:29" ht="15.75" x14ac:dyDescent="0.25">
      <c r="A256" s="65">
        <v>46070</v>
      </c>
      <c r="B256" s="10" t="s">
        <v>272</v>
      </c>
      <c r="C256" s="10"/>
      <c r="D256" s="10"/>
      <c r="E256" s="10" t="s">
        <v>315</v>
      </c>
      <c r="F256" s="10">
        <v>26.9</v>
      </c>
      <c r="G256" s="10" t="s">
        <v>36</v>
      </c>
      <c r="H256" s="10">
        <v>43000</v>
      </c>
      <c r="I256" s="10">
        <f t="shared" si="21"/>
        <v>1156700</v>
      </c>
      <c r="J256" s="115" t="s">
        <v>90</v>
      </c>
      <c r="K256" s="10"/>
      <c r="L256" s="10"/>
      <c r="M256" s="12">
        <f t="shared" si="22"/>
        <v>0</v>
      </c>
      <c r="N256" s="12"/>
      <c r="O256" s="12"/>
      <c r="P256" s="12">
        <f t="shared" si="23"/>
        <v>0</v>
      </c>
      <c r="Q256" s="12"/>
      <c r="R256" s="12"/>
      <c r="S256" s="12">
        <f t="shared" si="24"/>
        <v>0</v>
      </c>
      <c r="T256" s="12"/>
      <c r="U256" s="12"/>
      <c r="V256" s="12">
        <f t="shared" si="25"/>
        <v>0</v>
      </c>
      <c r="W256" s="12"/>
      <c r="X256" s="12"/>
      <c r="Y256" s="12">
        <f t="shared" si="26"/>
        <v>0</v>
      </c>
      <c r="Z256" s="12"/>
      <c r="AA256" s="12"/>
      <c r="AB256" s="13">
        <f t="shared" si="27"/>
        <v>1156700</v>
      </c>
      <c r="AC256" s="14"/>
    </row>
    <row r="257" spans="1:29" s="148" customFormat="1" ht="16.5" thickBot="1" x14ac:dyDescent="0.3">
      <c r="A257" s="28">
        <v>46070</v>
      </c>
      <c r="B257" s="10" t="s">
        <v>272</v>
      </c>
      <c r="C257" s="10"/>
      <c r="D257" s="10"/>
      <c r="E257" s="10" t="s">
        <v>306</v>
      </c>
      <c r="F257" s="10">
        <v>26.5</v>
      </c>
      <c r="G257" s="10" t="s">
        <v>36</v>
      </c>
      <c r="H257" s="10">
        <v>43000</v>
      </c>
      <c r="I257" s="10">
        <f t="shared" si="21"/>
        <v>1139500</v>
      </c>
      <c r="J257" s="115" t="s">
        <v>90</v>
      </c>
      <c r="K257" s="10"/>
      <c r="L257" s="10"/>
      <c r="M257" s="12">
        <f t="shared" si="22"/>
        <v>0</v>
      </c>
      <c r="N257" s="12"/>
      <c r="O257" s="12"/>
      <c r="P257" s="12">
        <f t="shared" si="23"/>
        <v>0</v>
      </c>
      <c r="Q257" s="12"/>
      <c r="R257" s="12"/>
      <c r="S257" s="12">
        <f t="shared" si="24"/>
        <v>0</v>
      </c>
      <c r="T257" s="12"/>
      <c r="U257" s="12"/>
      <c r="V257" s="12">
        <f t="shared" si="25"/>
        <v>0</v>
      </c>
      <c r="W257" s="12"/>
      <c r="X257" s="12"/>
      <c r="Y257" s="12">
        <f t="shared" si="26"/>
        <v>0</v>
      </c>
      <c r="Z257" s="12"/>
      <c r="AA257" s="12"/>
      <c r="AB257" s="13">
        <f t="shared" si="27"/>
        <v>1139500</v>
      </c>
      <c r="AC257" s="14"/>
    </row>
    <row r="258" spans="1:29" ht="15.75" x14ac:dyDescent="0.25">
      <c r="A258" s="65">
        <v>46071</v>
      </c>
      <c r="B258" s="10" t="s">
        <v>230</v>
      </c>
      <c r="C258" s="10"/>
      <c r="D258" s="10" t="s">
        <v>383</v>
      </c>
      <c r="E258" s="10" t="s">
        <v>104</v>
      </c>
      <c r="F258" s="10">
        <v>2000</v>
      </c>
      <c r="G258" s="10" t="s">
        <v>26</v>
      </c>
      <c r="H258" s="10">
        <v>1900</v>
      </c>
      <c r="I258" s="10">
        <f t="shared" si="21"/>
        <v>3800000</v>
      </c>
      <c r="J258" s="52" t="s">
        <v>90</v>
      </c>
      <c r="K258" s="88" t="s">
        <v>496</v>
      </c>
      <c r="L258" s="10"/>
      <c r="M258" s="12">
        <f t="shared" si="22"/>
        <v>0</v>
      </c>
      <c r="N258" s="12"/>
      <c r="O258" s="12"/>
      <c r="P258" s="12">
        <f t="shared" si="23"/>
        <v>0</v>
      </c>
      <c r="Q258" s="12"/>
      <c r="R258" s="12"/>
      <c r="S258" s="12">
        <f t="shared" si="24"/>
        <v>0</v>
      </c>
      <c r="T258" s="12"/>
      <c r="U258" s="12"/>
      <c r="V258" s="12">
        <f t="shared" si="25"/>
        <v>0</v>
      </c>
      <c r="W258" s="12"/>
      <c r="X258" s="12"/>
      <c r="Y258" s="12">
        <f t="shared" si="26"/>
        <v>0</v>
      </c>
      <c r="Z258" s="12"/>
      <c r="AA258" s="12"/>
      <c r="AB258" s="13">
        <f t="shared" si="27"/>
        <v>3800000</v>
      </c>
      <c r="AC258" s="14"/>
    </row>
    <row r="259" spans="1:29" ht="15.75" x14ac:dyDescent="0.25">
      <c r="A259" s="65">
        <v>46071</v>
      </c>
      <c r="B259" s="10" t="s">
        <v>122</v>
      </c>
      <c r="C259" s="10"/>
      <c r="D259" s="10" t="s">
        <v>383</v>
      </c>
      <c r="E259" s="10" t="s">
        <v>65</v>
      </c>
      <c r="F259" s="10">
        <v>20800</v>
      </c>
      <c r="G259" s="10" t="s">
        <v>26</v>
      </c>
      <c r="H259" s="10">
        <v>4000</v>
      </c>
      <c r="I259" s="10">
        <f t="shared" si="21"/>
        <v>83200000</v>
      </c>
      <c r="J259" s="52" t="s">
        <v>30</v>
      </c>
      <c r="K259" s="10" t="s">
        <v>497</v>
      </c>
      <c r="L259" s="10"/>
      <c r="M259" s="12">
        <f t="shared" si="22"/>
        <v>31460000</v>
      </c>
      <c r="N259" s="12">
        <v>31460000</v>
      </c>
      <c r="O259" s="12"/>
      <c r="P259" s="12">
        <f t="shared" si="23"/>
        <v>0</v>
      </c>
      <c r="Q259" s="12"/>
      <c r="R259" s="12"/>
      <c r="S259" s="12">
        <f t="shared" si="24"/>
        <v>0</v>
      </c>
      <c r="T259" s="12"/>
      <c r="U259" s="12"/>
      <c r="V259" s="12">
        <f t="shared" si="25"/>
        <v>0</v>
      </c>
      <c r="W259" s="12"/>
      <c r="X259" s="12"/>
      <c r="Y259" s="12">
        <f t="shared" si="26"/>
        <v>0</v>
      </c>
      <c r="Z259" s="12"/>
      <c r="AA259" s="12"/>
      <c r="AB259" s="13">
        <f t="shared" si="27"/>
        <v>51740000</v>
      </c>
      <c r="AC259" s="14">
        <v>46071</v>
      </c>
    </row>
    <row r="260" spans="1:29" ht="15.75" x14ac:dyDescent="0.25">
      <c r="A260" s="65">
        <v>46071</v>
      </c>
      <c r="B260" s="10" t="s">
        <v>272</v>
      </c>
      <c r="C260" s="10"/>
      <c r="D260" s="10"/>
      <c r="E260" s="10" t="s">
        <v>443</v>
      </c>
      <c r="F260" s="10">
        <v>53.3</v>
      </c>
      <c r="G260" s="10" t="s">
        <v>36</v>
      </c>
      <c r="H260" s="10">
        <v>43000</v>
      </c>
      <c r="I260" s="10">
        <f t="shared" si="21"/>
        <v>2291900</v>
      </c>
      <c r="J260" s="115" t="s">
        <v>90</v>
      </c>
      <c r="K260" s="10"/>
      <c r="L260" s="10"/>
      <c r="M260" s="12">
        <f t="shared" si="22"/>
        <v>0</v>
      </c>
      <c r="N260" s="12"/>
      <c r="O260" s="12"/>
      <c r="P260" s="12">
        <f t="shared" si="23"/>
        <v>0</v>
      </c>
      <c r="Q260" s="12"/>
      <c r="R260" s="12"/>
      <c r="S260" s="12">
        <f t="shared" si="24"/>
        <v>0</v>
      </c>
      <c r="T260" s="12"/>
      <c r="U260" s="12"/>
      <c r="V260" s="12">
        <f t="shared" si="25"/>
        <v>0</v>
      </c>
      <c r="W260" s="12"/>
      <c r="X260" s="12"/>
      <c r="Y260" s="12">
        <f t="shared" si="26"/>
        <v>0</v>
      </c>
      <c r="Z260" s="12"/>
      <c r="AA260" s="12"/>
      <c r="AB260" s="13">
        <f t="shared" si="27"/>
        <v>2291900</v>
      </c>
      <c r="AC260" s="14"/>
    </row>
    <row r="261" spans="1:29" ht="15.75" x14ac:dyDescent="0.25">
      <c r="A261" s="65">
        <v>46071</v>
      </c>
      <c r="B261" s="10" t="s">
        <v>272</v>
      </c>
      <c r="C261" s="10"/>
      <c r="D261" s="10"/>
      <c r="E261" s="10" t="s">
        <v>139</v>
      </c>
      <c r="F261" s="10">
        <v>19.600000000000001</v>
      </c>
      <c r="G261" s="10" t="s">
        <v>36</v>
      </c>
      <c r="H261" s="10">
        <v>43000</v>
      </c>
      <c r="I261" s="10">
        <f t="shared" ref="I261:I324" si="28">F261*H261</f>
        <v>842800.00000000012</v>
      </c>
      <c r="J261" s="115" t="s">
        <v>90</v>
      </c>
      <c r="K261" s="10"/>
      <c r="L261" s="10"/>
      <c r="M261" s="12">
        <f t="shared" ref="M261:M324" si="29">N261+O261</f>
        <v>0</v>
      </c>
      <c r="N261" s="12"/>
      <c r="O261" s="12"/>
      <c r="P261" s="12">
        <f t="shared" ref="P261:P324" si="30">Q261+R261</f>
        <v>0</v>
      </c>
      <c r="Q261" s="12"/>
      <c r="R261" s="12"/>
      <c r="S261" s="12">
        <f t="shared" ref="S261:S324" si="31">T261+U261</f>
        <v>0</v>
      </c>
      <c r="T261" s="12"/>
      <c r="U261" s="12"/>
      <c r="V261" s="12">
        <f t="shared" ref="V261:V324" si="32">W261+X261</f>
        <v>0</v>
      </c>
      <c r="W261" s="12"/>
      <c r="X261" s="12"/>
      <c r="Y261" s="12">
        <f t="shared" ref="Y261:Y324" si="33">Z261+AA261</f>
        <v>0</v>
      </c>
      <c r="Z261" s="12"/>
      <c r="AA261" s="12"/>
      <c r="AB261" s="13">
        <f t="shared" ref="AB261:AB324" si="34">C261+I261-M261-P261-V261-Y261-S261</f>
        <v>842800.00000000012</v>
      </c>
      <c r="AC261" s="14"/>
    </row>
    <row r="262" spans="1:29" ht="15.75" x14ac:dyDescent="0.25">
      <c r="A262" s="65">
        <v>46071</v>
      </c>
      <c r="B262" s="10" t="s">
        <v>272</v>
      </c>
      <c r="C262" s="10"/>
      <c r="D262" s="10"/>
      <c r="E262" s="10" t="s">
        <v>377</v>
      </c>
      <c r="F262" s="10">
        <v>32.299999999999997</v>
      </c>
      <c r="G262" s="10" t="s">
        <v>36</v>
      </c>
      <c r="H262" s="10">
        <v>43000</v>
      </c>
      <c r="I262" s="10">
        <f t="shared" si="28"/>
        <v>1388899.9999999998</v>
      </c>
      <c r="J262" s="115" t="s">
        <v>90</v>
      </c>
      <c r="K262" s="10"/>
      <c r="L262" s="10"/>
      <c r="M262" s="12">
        <f t="shared" si="29"/>
        <v>0</v>
      </c>
      <c r="N262" s="12"/>
      <c r="O262" s="12"/>
      <c r="P262" s="12">
        <f t="shared" si="30"/>
        <v>0</v>
      </c>
      <c r="Q262" s="12"/>
      <c r="R262" s="12"/>
      <c r="S262" s="12">
        <f t="shared" si="31"/>
        <v>0</v>
      </c>
      <c r="T262" s="12"/>
      <c r="U262" s="12"/>
      <c r="V262" s="12">
        <f t="shared" si="32"/>
        <v>0</v>
      </c>
      <c r="W262" s="12"/>
      <c r="X262" s="12"/>
      <c r="Y262" s="12">
        <f t="shared" si="33"/>
        <v>0</v>
      </c>
      <c r="Z262" s="12"/>
      <c r="AA262" s="12"/>
      <c r="AB262" s="13">
        <f t="shared" si="34"/>
        <v>1388899.9999999998</v>
      </c>
      <c r="AC262" s="14"/>
    </row>
    <row r="263" spans="1:29" ht="15.75" x14ac:dyDescent="0.25">
      <c r="A263" s="65">
        <v>46071</v>
      </c>
      <c r="B263" s="10" t="s">
        <v>272</v>
      </c>
      <c r="C263" s="10"/>
      <c r="D263" s="10"/>
      <c r="E263" s="10" t="s">
        <v>92</v>
      </c>
      <c r="F263" s="10">
        <v>34.6</v>
      </c>
      <c r="G263" s="10" t="s">
        <v>36</v>
      </c>
      <c r="H263" s="10">
        <v>43000</v>
      </c>
      <c r="I263" s="10">
        <f t="shared" si="28"/>
        <v>1487800</v>
      </c>
      <c r="J263" s="115" t="s">
        <v>90</v>
      </c>
      <c r="K263" s="10"/>
      <c r="L263" s="10"/>
      <c r="M263" s="12">
        <f t="shared" si="29"/>
        <v>0</v>
      </c>
      <c r="N263" s="12"/>
      <c r="O263" s="12"/>
      <c r="P263" s="12">
        <f t="shared" si="30"/>
        <v>0</v>
      </c>
      <c r="Q263" s="12"/>
      <c r="R263" s="12"/>
      <c r="S263" s="12">
        <f t="shared" si="31"/>
        <v>0</v>
      </c>
      <c r="T263" s="12"/>
      <c r="U263" s="12"/>
      <c r="V263" s="12">
        <f t="shared" si="32"/>
        <v>0</v>
      </c>
      <c r="W263" s="12"/>
      <c r="X263" s="12"/>
      <c r="Y263" s="12">
        <f t="shared" si="33"/>
        <v>0</v>
      </c>
      <c r="Z263" s="12"/>
      <c r="AA263" s="12"/>
      <c r="AB263" s="13">
        <f t="shared" si="34"/>
        <v>1487800</v>
      </c>
      <c r="AC263" s="14"/>
    </row>
    <row r="264" spans="1:29" ht="15.75" x14ac:dyDescent="0.25">
      <c r="A264" s="65">
        <v>46071</v>
      </c>
      <c r="B264" s="10" t="s">
        <v>272</v>
      </c>
      <c r="C264" s="10"/>
      <c r="D264" s="10"/>
      <c r="E264" s="10" t="s">
        <v>86</v>
      </c>
      <c r="F264" s="10">
        <v>29.8</v>
      </c>
      <c r="G264" s="10" t="s">
        <v>36</v>
      </c>
      <c r="H264" s="10">
        <v>43000</v>
      </c>
      <c r="I264" s="10">
        <f t="shared" si="28"/>
        <v>1281400</v>
      </c>
      <c r="J264" s="115" t="s">
        <v>90</v>
      </c>
      <c r="K264" s="10"/>
      <c r="L264" s="10"/>
      <c r="M264" s="12">
        <f t="shared" si="29"/>
        <v>0</v>
      </c>
      <c r="N264" s="12"/>
      <c r="O264" s="12"/>
      <c r="P264" s="12">
        <f t="shared" si="30"/>
        <v>0</v>
      </c>
      <c r="Q264" s="12"/>
      <c r="R264" s="12"/>
      <c r="S264" s="12">
        <f t="shared" si="31"/>
        <v>0</v>
      </c>
      <c r="T264" s="12"/>
      <c r="U264" s="12"/>
      <c r="V264" s="12">
        <f t="shared" si="32"/>
        <v>0</v>
      </c>
      <c r="W264" s="12"/>
      <c r="X264" s="12"/>
      <c r="Y264" s="12">
        <f t="shared" si="33"/>
        <v>0</v>
      </c>
      <c r="Z264" s="12"/>
      <c r="AA264" s="12"/>
      <c r="AB264" s="13">
        <f t="shared" si="34"/>
        <v>1281400</v>
      </c>
      <c r="AC264" s="14"/>
    </row>
    <row r="265" spans="1:29" s="148" customFormat="1" ht="16.5" thickBot="1" x14ac:dyDescent="0.3">
      <c r="A265" s="65">
        <v>46071</v>
      </c>
      <c r="B265" s="10" t="s">
        <v>272</v>
      </c>
      <c r="C265" s="10"/>
      <c r="D265" s="10"/>
      <c r="E265" s="10" t="s">
        <v>80</v>
      </c>
      <c r="F265" s="10">
        <v>22.9</v>
      </c>
      <c r="G265" s="10" t="s">
        <v>36</v>
      </c>
      <c r="H265" s="10">
        <v>43000</v>
      </c>
      <c r="I265" s="10">
        <f t="shared" si="28"/>
        <v>984699.99999999988</v>
      </c>
      <c r="J265" s="115" t="s">
        <v>90</v>
      </c>
      <c r="K265" s="10"/>
      <c r="L265" s="10"/>
      <c r="M265" s="12">
        <f t="shared" si="29"/>
        <v>0</v>
      </c>
      <c r="N265" s="12"/>
      <c r="O265" s="12"/>
      <c r="P265" s="12">
        <f t="shared" si="30"/>
        <v>0</v>
      </c>
      <c r="Q265" s="12"/>
      <c r="R265" s="12"/>
      <c r="S265" s="12">
        <f t="shared" si="31"/>
        <v>0</v>
      </c>
      <c r="T265" s="12"/>
      <c r="U265" s="12"/>
      <c r="V265" s="12">
        <f t="shared" si="32"/>
        <v>0</v>
      </c>
      <c r="W265" s="12"/>
      <c r="X265" s="12"/>
      <c r="Y265" s="12">
        <f t="shared" si="33"/>
        <v>0</v>
      </c>
      <c r="Z265" s="12"/>
      <c r="AA265" s="12"/>
      <c r="AB265" s="13">
        <f t="shared" si="34"/>
        <v>984699.99999999988</v>
      </c>
      <c r="AC265" s="14"/>
    </row>
    <row r="266" spans="1:29" ht="15.75" x14ac:dyDescent="0.25">
      <c r="A266" s="65">
        <v>46071</v>
      </c>
      <c r="B266" s="10" t="s">
        <v>273</v>
      </c>
      <c r="C266" s="10"/>
      <c r="D266" s="10"/>
      <c r="E266" s="10" t="s">
        <v>424</v>
      </c>
      <c r="F266" s="10">
        <v>1</v>
      </c>
      <c r="G266" s="10" t="s">
        <v>22</v>
      </c>
      <c r="H266" s="10"/>
      <c r="I266" s="10">
        <f t="shared" si="28"/>
        <v>0</v>
      </c>
      <c r="J266" s="115" t="s">
        <v>90</v>
      </c>
      <c r="K266" s="10"/>
      <c r="L266" s="10"/>
      <c r="M266" s="12">
        <f t="shared" si="29"/>
        <v>0</v>
      </c>
      <c r="N266" s="12"/>
      <c r="O266" s="12"/>
      <c r="P266" s="12">
        <f t="shared" si="30"/>
        <v>0</v>
      </c>
      <c r="Q266" s="12"/>
      <c r="R266" s="12"/>
      <c r="S266" s="12">
        <f t="shared" si="31"/>
        <v>0</v>
      </c>
      <c r="T266" s="12"/>
      <c r="U266" s="12"/>
      <c r="V266" s="12">
        <f t="shared" si="32"/>
        <v>0</v>
      </c>
      <c r="W266" s="12"/>
      <c r="X266" s="12"/>
      <c r="Y266" s="12">
        <f t="shared" si="33"/>
        <v>0</v>
      </c>
      <c r="Z266" s="12"/>
      <c r="AA266" s="12"/>
      <c r="AB266" s="13">
        <f t="shared" si="34"/>
        <v>0</v>
      </c>
      <c r="AC266" s="14"/>
    </row>
    <row r="267" spans="1:29" ht="15.75" x14ac:dyDescent="0.25">
      <c r="A267" s="65">
        <v>46072</v>
      </c>
      <c r="B267" s="10" t="s">
        <v>234</v>
      </c>
      <c r="C267" s="10"/>
      <c r="D267" s="10" t="s">
        <v>383</v>
      </c>
      <c r="E267" s="10" t="s">
        <v>175</v>
      </c>
      <c r="F267" s="10">
        <v>41600</v>
      </c>
      <c r="G267" s="10" t="s">
        <v>26</v>
      </c>
      <c r="H267" s="10">
        <v>950</v>
      </c>
      <c r="I267" s="10">
        <f t="shared" si="28"/>
        <v>39520000</v>
      </c>
      <c r="J267" s="29" t="s">
        <v>110</v>
      </c>
      <c r="K267" s="10" t="s">
        <v>479</v>
      </c>
      <c r="L267" s="10" t="s">
        <v>504</v>
      </c>
      <c r="M267" s="12">
        <f t="shared" si="29"/>
        <v>0</v>
      </c>
      <c r="N267" s="12"/>
      <c r="O267" s="12"/>
      <c r="P267" s="12">
        <f t="shared" si="30"/>
        <v>39520000</v>
      </c>
      <c r="Q267" s="12">
        <v>1440000</v>
      </c>
      <c r="R267" s="12">
        <v>38080000</v>
      </c>
      <c r="S267" s="12">
        <f t="shared" si="31"/>
        <v>0</v>
      </c>
      <c r="T267" s="12"/>
      <c r="U267" s="12"/>
      <c r="V267" s="12">
        <f t="shared" si="32"/>
        <v>0</v>
      </c>
      <c r="W267" s="12"/>
      <c r="X267" s="12"/>
      <c r="Y267" s="12">
        <f t="shared" si="33"/>
        <v>0</v>
      </c>
      <c r="Z267" s="12"/>
      <c r="AA267" s="12"/>
      <c r="AB267" s="13">
        <f t="shared" si="34"/>
        <v>0</v>
      </c>
      <c r="AC267" s="14">
        <v>46065</v>
      </c>
    </row>
    <row r="268" spans="1:29" ht="15.75" x14ac:dyDescent="0.25">
      <c r="A268" s="28">
        <v>46072</v>
      </c>
      <c r="B268" s="10" t="s">
        <v>89</v>
      </c>
      <c r="C268" s="10"/>
      <c r="D268" s="10" t="s">
        <v>383</v>
      </c>
      <c r="E268" s="10" t="s">
        <v>265</v>
      </c>
      <c r="F268" s="10">
        <v>23.4</v>
      </c>
      <c r="G268" s="10" t="s">
        <v>36</v>
      </c>
      <c r="H268" s="10">
        <v>43000</v>
      </c>
      <c r="I268" s="10">
        <f t="shared" si="28"/>
        <v>1006199.9999999999</v>
      </c>
      <c r="J268" s="29" t="s">
        <v>40</v>
      </c>
      <c r="K268" s="10"/>
      <c r="L268" s="10"/>
      <c r="M268" s="12">
        <f t="shared" si="29"/>
        <v>0</v>
      </c>
      <c r="N268" s="12"/>
      <c r="O268" s="12"/>
      <c r="P268" s="12">
        <f t="shared" si="30"/>
        <v>1459000</v>
      </c>
      <c r="Q268" s="12">
        <v>1459000</v>
      </c>
      <c r="R268" s="12"/>
      <c r="S268" s="12">
        <f t="shared" si="31"/>
        <v>0</v>
      </c>
      <c r="T268" s="12"/>
      <c r="U268" s="12"/>
      <c r="V268" s="12">
        <f t="shared" si="32"/>
        <v>0</v>
      </c>
      <c r="W268" s="12"/>
      <c r="X268" s="12"/>
      <c r="Y268" s="12">
        <f t="shared" si="33"/>
        <v>0</v>
      </c>
      <c r="Z268" s="12"/>
      <c r="AA268" s="12"/>
      <c r="AB268" s="13">
        <f t="shared" si="34"/>
        <v>-452800.00000000012</v>
      </c>
      <c r="AC268" s="14">
        <v>46035</v>
      </c>
    </row>
    <row r="269" spans="1:29" ht="15.75" x14ac:dyDescent="0.25">
      <c r="A269" s="65">
        <v>46072</v>
      </c>
      <c r="B269" s="10" t="s">
        <v>272</v>
      </c>
      <c r="C269" s="10"/>
      <c r="D269" s="10"/>
      <c r="E269" s="10" t="s">
        <v>306</v>
      </c>
      <c r="F269" s="10">
        <v>56.2</v>
      </c>
      <c r="G269" s="10" t="s">
        <v>36</v>
      </c>
      <c r="H269" s="10">
        <v>43000</v>
      </c>
      <c r="I269" s="10">
        <f t="shared" si="28"/>
        <v>2416600</v>
      </c>
      <c r="J269" s="115" t="s">
        <v>90</v>
      </c>
      <c r="K269" s="10"/>
      <c r="L269" s="10"/>
      <c r="M269" s="12">
        <f t="shared" si="29"/>
        <v>0</v>
      </c>
      <c r="N269" s="12"/>
      <c r="O269" s="12"/>
      <c r="P269" s="12">
        <f t="shared" si="30"/>
        <v>0</v>
      </c>
      <c r="Q269" s="12"/>
      <c r="R269" s="12"/>
      <c r="S269" s="12">
        <f t="shared" si="31"/>
        <v>0</v>
      </c>
      <c r="T269" s="12"/>
      <c r="U269" s="12"/>
      <c r="V269" s="12">
        <f t="shared" si="32"/>
        <v>0</v>
      </c>
      <c r="W269" s="12"/>
      <c r="X269" s="12"/>
      <c r="Y269" s="12">
        <f t="shared" si="33"/>
        <v>0</v>
      </c>
      <c r="Z269" s="12"/>
      <c r="AA269" s="12"/>
      <c r="AB269" s="13">
        <f t="shared" si="34"/>
        <v>2416600</v>
      </c>
      <c r="AC269" s="14"/>
    </row>
    <row r="270" spans="1:29" ht="15.75" x14ac:dyDescent="0.25">
      <c r="A270" s="65">
        <v>46072</v>
      </c>
      <c r="B270" s="10" t="s">
        <v>272</v>
      </c>
      <c r="C270" s="10"/>
      <c r="D270" s="10"/>
      <c r="E270" s="10" t="s">
        <v>307</v>
      </c>
      <c r="F270" s="10">
        <v>27.1</v>
      </c>
      <c r="G270" s="10" t="s">
        <v>36</v>
      </c>
      <c r="H270" s="10">
        <v>43000</v>
      </c>
      <c r="I270" s="10">
        <f t="shared" si="28"/>
        <v>1165300</v>
      </c>
      <c r="J270" s="115" t="s">
        <v>90</v>
      </c>
      <c r="K270" s="10"/>
      <c r="L270" s="10"/>
      <c r="M270" s="12">
        <f t="shared" si="29"/>
        <v>0</v>
      </c>
      <c r="N270" s="12"/>
      <c r="O270" s="12"/>
      <c r="P270" s="12">
        <f t="shared" si="30"/>
        <v>0</v>
      </c>
      <c r="Q270" s="12"/>
      <c r="R270" s="12"/>
      <c r="S270" s="12">
        <f t="shared" si="31"/>
        <v>0</v>
      </c>
      <c r="T270" s="12"/>
      <c r="U270" s="12"/>
      <c r="V270" s="12">
        <f t="shared" si="32"/>
        <v>0</v>
      </c>
      <c r="W270" s="12"/>
      <c r="X270" s="12"/>
      <c r="Y270" s="12">
        <f t="shared" si="33"/>
        <v>0</v>
      </c>
      <c r="Z270" s="12"/>
      <c r="AA270" s="12"/>
      <c r="AB270" s="13">
        <f t="shared" si="34"/>
        <v>1165300</v>
      </c>
      <c r="AC270" s="14"/>
    </row>
    <row r="271" spans="1:29" ht="15.75" x14ac:dyDescent="0.25">
      <c r="A271" s="28">
        <v>46072</v>
      </c>
      <c r="B271" s="10" t="s">
        <v>272</v>
      </c>
      <c r="C271" s="10"/>
      <c r="D271" s="10"/>
      <c r="E271" s="10" t="s">
        <v>307</v>
      </c>
      <c r="F271" s="10">
        <v>27</v>
      </c>
      <c r="G271" s="10" t="s">
        <v>36</v>
      </c>
      <c r="H271" s="10">
        <v>43000</v>
      </c>
      <c r="I271" s="10">
        <f t="shared" si="28"/>
        <v>1161000</v>
      </c>
      <c r="J271" s="115" t="s">
        <v>90</v>
      </c>
      <c r="K271" s="10"/>
      <c r="L271" s="10"/>
      <c r="M271" s="12">
        <f t="shared" si="29"/>
        <v>0</v>
      </c>
      <c r="N271" s="12"/>
      <c r="O271" s="12"/>
      <c r="P271" s="12">
        <f t="shared" si="30"/>
        <v>0</v>
      </c>
      <c r="Q271" s="12"/>
      <c r="R271" s="12"/>
      <c r="S271" s="12">
        <f t="shared" si="31"/>
        <v>0</v>
      </c>
      <c r="T271" s="12"/>
      <c r="U271" s="12"/>
      <c r="V271" s="12">
        <f t="shared" si="32"/>
        <v>0</v>
      </c>
      <c r="W271" s="12"/>
      <c r="X271" s="12"/>
      <c r="Y271" s="12">
        <f t="shared" si="33"/>
        <v>0</v>
      </c>
      <c r="Z271" s="12"/>
      <c r="AA271" s="12"/>
      <c r="AB271" s="13">
        <f t="shared" si="34"/>
        <v>1161000</v>
      </c>
      <c r="AC271" s="14"/>
    </row>
    <row r="272" spans="1:29" ht="15.75" x14ac:dyDescent="0.25">
      <c r="A272" s="65">
        <v>46072</v>
      </c>
      <c r="B272" s="10" t="s">
        <v>272</v>
      </c>
      <c r="C272" s="10"/>
      <c r="D272" s="10"/>
      <c r="E272" s="10" t="s">
        <v>198</v>
      </c>
      <c r="F272" s="10">
        <v>32.5</v>
      </c>
      <c r="G272" s="10" t="s">
        <v>36</v>
      </c>
      <c r="H272" s="10">
        <v>43000</v>
      </c>
      <c r="I272" s="10">
        <f t="shared" si="28"/>
        <v>1397500</v>
      </c>
      <c r="J272" s="115" t="s">
        <v>90</v>
      </c>
      <c r="K272" s="10"/>
      <c r="L272" s="10"/>
      <c r="M272" s="12">
        <f t="shared" si="29"/>
        <v>0</v>
      </c>
      <c r="N272" s="12"/>
      <c r="O272" s="12"/>
      <c r="P272" s="12">
        <f t="shared" si="30"/>
        <v>0</v>
      </c>
      <c r="Q272" s="12"/>
      <c r="R272" s="12"/>
      <c r="S272" s="12">
        <f t="shared" si="31"/>
        <v>0</v>
      </c>
      <c r="T272" s="12"/>
      <c r="U272" s="12"/>
      <c r="V272" s="12">
        <f t="shared" si="32"/>
        <v>0</v>
      </c>
      <c r="W272" s="12"/>
      <c r="X272" s="12"/>
      <c r="Y272" s="12">
        <f t="shared" si="33"/>
        <v>0</v>
      </c>
      <c r="Z272" s="12"/>
      <c r="AA272" s="12"/>
      <c r="AB272" s="13">
        <f t="shared" si="34"/>
        <v>1397500</v>
      </c>
      <c r="AC272" s="14"/>
    </row>
    <row r="273" spans="1:29" s="148" customFormat="1" ht="16.5" thickBot="1" x14ac:dyDescent="0.3">
      <c r="A273" s="65">
        <v>46072</v>
      </c>
      <c r="B273" s="10" t="s">
        <v>272</v>
      </c>
      <c r="C273" s="10"/>
      <c r="D273" s="10"/>
      <c r="E273" s="10" t="s">
        <v>443</v>
      </c>
      <c r="F273" s="10">
        <v>27.2</v>
      </c>
      <c r="G273" s="10" t="s">
        <v>36</v>
      </c>
      <c r="H273" s="10">
        <v>43000</v>
      </c>
      <c r="I273" s="10">
        <f t="shared" si="28"/>
        <v>1169600</v>
      </c>
      <c r="J273" s="115" t="s">
        <v>90</v>
      </c>
      <c r="K273" s="10"/>
      <c r="L273" s="10"/>
      <c r="M273" s="12">
        <f t="shared" si="29"/>
        <v>0</v>
      </c>
      <c r="N273" s="12"/>
      <c r="O273" s="12"/>
      <c r="P273" s="12">
        <f t="shared" si="30"/>
        <v>0</v>
      </c>
      <c r="Q273" s="12"/>
      <c r="R273" s="12"/>
      <c r="S273" s="12">
        <f t="shared" si="31"/>
        <v>0</v>
      </c>
      <c r="T273" s="12"/>
      <c r="U273" s="12"/>
      <c r="V273" s="12">
        <f t="shared" si="32"/>
        <v>0</v>
      </c>
      <c r="W273" s="12"/>
      <c r="X273" s="12"/>
      <c r="Y273" s="12">
        <f t="shared" si="33"/>
        <v>0</v>
      </c>
      <c r="Z273" s="12"/>
      <c r="AA273" s="12"/>
      <c r="AB273" s="13">
        <f t="shared" si="34"/>
        <v>1169600</v>
      </c>
      <c r="AC273" s="14"/>
    </row>
    <row r="274" spans="1:29" ht="15.75" x14ac:dyDescent="0.25">
      <c r="A274" s="65">
        <v>46073</v>
      </c>
      <c r="B274" s="66" t="s">
        <v>272</v>
      </c>
      <c r="C274" s="66"/>
      <c r="D274" s="66"/>
      <c r="E274" s="66" t="s">
        <v>80</v>
      </c>
      <c r="F274" s="66">
        <v>22.6</v>
      </c>
      <c r="G274" s="66" t="s">
        <v>36</v>
      </c>
      <c r="H274" s="66">
        <v>43000</v>
      </c>
      <c r="I274" s="66">
        <f t="shared" si="28"/>
        <v>971800.00000000012</v>
      </c>
      <c r="J274" s="123" t="s">
        <v>90</v>
      </c>
      <c r="K274" s="66"/>
      <c r="L274" s="66"/>
      <c r="M274" s="67">
        <f t="shared" si="29"/>
        <v>0</v>
      </c>
      <c r="N274" s="67"/>
      <c r="O274" s="67"/>
      <c r="P274" s="67">
        <f t="shared" si="30"/>
        <v>0</v>
      </c>
      <c r="Q274" s="67"/>
      <c r="R274" s="67"/>
      <c r="S274" s="67">
        <f t="shared" si="31"/>
        <v>0</v>
      </c>
      <c r="T274" s="67"/>
      <c r="U274" s="67"/>
      <c r="V274" s="67">
        <f t="shared" si="32"/>
        <v>0</v>
      </c>
      <c r="W274" s="67"/>
      <c r="X274" s="67"/>
      <c r="Y274" s="67">
        <f t="shared" si="33"/>
        <v>0</v>
      </c>
      <c r="Z274" s="67"/>
      <c r="AA274" s="67"/>
      <c r="AB274" s="68">
        <f t="shared" si="34"/>
        <v>971800.00000000012</v>
      </c>
      <c r="AC274" s="69"/>
    </row>
    <row r="275" spans="1:29" s="148" customFormat="1" ht="16.5" thickBot="1" x14ac:dyDescent="0.3">
      <c r="A275" s="65">
        <v>46073</v>
      </c>
      <c r="B275" s="10" t="s">
        <v>272</v>
      </c>
      <c r="C275" s="10"/>
      <c r="D275" s="10"/>
      <c r="E275" s="10" t="s">
        <v>315</v>
      </c>
      <c r="F275" s="10">
        <v>26.9</v>
      </c>
      <c r="G275" s="10" t="s">
        <v>36</v>
      </c>
      <c r="H275" s="10">
        <v>43000</v>
      </c>
      <c r="I275" s="10">
        <f t="shared" si="28"/>
        <v>1156700</v>
      </c>
      <c r="J275" s="115" t="s">
        <v>90</v>
      </c>
      <c r="K275" s="10"/>
      <c r="L275" s="10"/>
      <c r="M275" s="12">
        <f t="shared" si="29"/>
        <v>0</v>
      </c>
      <c r="N275" s="12"/>
      <c r="O275" s="12"/>
      <c r="P275" s="12">
        <f t="shared" si="30"/>
        <v>0</v>
      </c>
      <c r="Q275" s="12"/>
      <c r="R275" s="12"/>
      <c r="S275" s="12">
        <f t="shared" si="31"/>
        <v>0</v>
      </c>
      <c r="T275" s="12"/>
      <c r="U275" s="12"/>
      <c r="V275" s="12">
        <f t="shared" si="32"/>
        <v>0</v>
      </c>
      <c r="W275" s="12"/>
      <c r="X275" s="12"/>
      <c r="Y275" s="12">
        <f t="shared" si="33"/>
        <v>0</v>
      </c>
      <c r="Z275" s="12"/>
      <c r="AA275" s="12"/>
      <c r="AB275" s="13">
        <f t="shared" si="34"/>
        <v>1156700</v>
      </c>
      <c r="AC275" s="14"/>
    </row>
    <row r="276" spans="1:29" ht="15.75" x14ac:dyDescent="0.25">
      <c r="A276" s="65">
        <v>46076</v>
      </c>
      <c r="B276" s="66" t="s">
        <v>272</v>
      </c>
      <c r="C276" s="66"/>
      <c r="D276" s="66"/>
      <c r="E276" s="66" t="s">
        <v>198</v>
      </c>
      <c r="F276" s="66">
        <v>32.5</v>
      </c>
      <c r="G276" s="66" t="s">
        <v>36</v>
      </c>
      <c r="H276" s="66">
        <v>43000</v>
      </c>
      <c r="I276" s="10">
        <f t="shared" si="28"/>
        <v>1397500</v>
      </c>
      <c r="J276" s="115" t="s">
        <v>90</v>
      </c>
      <c r="K276" s="66"/>
      <c r="L276" s="10"/>
      <c r="M276" s="12">
        <f t="shared" si="29"/>
        <v>0</v>
      </c>
      <c r="N276" s="12"/>
      <c r="O276" s="12"/>
      <c r="P276" s="12">
        <f t="shared" si="30"/>
        <v>0</v>
      </c>
      <c r="Q276" s="12"/>
      <c r="R276" s="12"/>
      <c r="S276" s="12">
        <f t="shared" si="31"/>
        <v>0</v>
      </c>
      <c r="T276" s="12"/>
      <c r="U276" s="12"/>
      <c r="V276" s="12">
        <f t="shared" si="32"/>
        <v>0</v>
      </c>
      <c r="W276" s="12"/>
      <c r="X276" s="12"/>
      <c r="Y276" s="12">
        <f t="shared" si="33"/>
        <v>0</v>
      </c>
      <c r="Z276" s="12"/>
      <c r="AA276" s="12"/>
      <c r="AB276" s="13">
        <f t="shared" si="34"/>
        <v>1397500</v>
      </c>
      <c r="AC276" s="14"/>
    </row>
    <row r="277" spans="1:29" ht="15.75" x14ac:dyDescent="0.25">
      <c r="A277" s="65">
        <v>46076</v>
      </c>
      <c r="B277" s="66" t="s">
        <v>272</v>
      </c>
      <c r="C277" s="10"/>
      <c r="D277" s="10"/>
      <c r="E277" s="10" t="s">
        <v>92</v>
      </c>
      <c r="F277" s="10">
        <v>103.7</v>
      </c>
      <c r="G277" s="10" t="s">
        <v>36</v>
      </c>
      <c r="H277" s="10">
        <v>43000</v>
      </c>
      <c r="I277" s="10">
        <f t="shared" si="28"/>
        <v>4459100</v>
      </c>
      <c r="J277" s="115" t="s">
        <v>90</v>
      </c>
      <c r="K277" s="10"/>
      <c r="L277" s="10"/>
      <c r="M277" s="12">
        <f t="shared" si="29"/>
        <v>0</v>
      </c>
      <c r="N277" s="12"/>
      <c r="O277" s="12"/>
      <c r="P277" s="12">
        <f t="shared" si="30"/>
        <v>0</v>
      </c>
      <c r="Q277" s="12"/>
      <c r="R277" s="12"/>
      <c r="S277" s="12">
        <f t="shared" si="31"/>
        <v>0</v>
      </c>
      <c r="T277" s="12"/>
      <c r="U277" s="12"/>
      <c r="V277" s="12">
        <f t="shared" si="32"/>
        <v>0</v>
      </c>
      <c r="W277" s="12"/>
      <c r="X277" s="12"/>
      <c r="Y277" s="12">
        <f t="shared" si="33"/>
        <v>0</v>
      </c>
      <c r="Z277" s="12"/>
      <c r="AA277" s="12"/>
      <c r="AB277" s="13">
        <f t="shared" si="34"/>
        <v>4459100</v>
      </c>
      <c r="AC277" s="14"/>
    </row>
    <row r="278" spans="1:29" ht="15.75" x14ac:dyDescent="0.25">
      <c r="A278" s="65">
        <v>46076</v>
      </c>
      <c r="B278" s="66" t="s">
        <v>272</v>
      </c>
      <c r="C278" s="10"/>
      <c r="D278" s="10"/>
      <c r="E278" s="10" t="s">
        <v>315</v>
      </c>
      <c r="F278" s="10">
        <v>53.7</v>
      </c>
      <c r="G278" s="10" t="s">
        <v>36</v>
      </c>
      <c r="H278" s="10">
        <v>43000</v>
      </c>
      <c r="I278" s="10">
        <f t="shared" si="28"/>
        <v>2309100</v>
      </c>
      <c r="J278" s="115" t="s">
        <v>90</v>
      </c>
      <c r="K278" s="10"/>
      <c r="L278" s="10"/>
      <c r="M278" s="12">
        <f t="shared" si="29"/>
        <v>0</v>
      </c>
      <c r="N278" s="12"/>
      <c r="O278" s="12"/>
      <c r="P278" s="12">
        <f t="shared" si="30"/>
        <v>0</v>
      </c>
      <c r="Q278" s="12"/>
      <c r="R278" s="12"/>
      <c r="S278" s="12">
        <f t="shared" si="31"/>
        <v>0</v>
      </c>
      <c r="T278" s="12"/>
      <c r="U278" s="12"/>
      <c r="V278" s="12">
        <f t="shared" si="32"/>
        <v>0</v>
      </c>
      <c r="W278" s="12"/>
      <c r="X278" s="12"/>
      <c r="Y278" s="12">
        <f t="shared" si="33"/>
        <v>0</v>
      </c>
      <c r="Z278" s="12"/>
      <c r="AA278" s="12"/>
      <c r="AB278" s="13">
        <f t="shared" si="34"/>
        <v>2309100</v>
      </c>
      <c r="AC278" s="14"/>
    </row>
    <row r="279" spans="1:29" ht="15.75" x14ac:dyDescent="0.25">
      <c r="A279" s="65">
        <v>46076</v>
      </c>
      <c r="B279" s="10" t="s">
        <v>273</v>
      </c>
      <c r="C279" s="10"/>
      <c r="D279" s="10"/>
      <c r="E279" s="10" t="s">
        <v>424</v>
      </c>
      <c r="F279" s="10">
        <v>1</v>
      </c>
      <c r="G279" s="10" t="s">
        <v>22</v>
      </c>
      <c r="H279" s="10"/>
      <c r="I279" s="10">
        <f t="shared" si="28"/>
        <v>0</v>
      </c>
      <c r="J279" s="115" t="s">
        <v>90</v>
      </c>
      <c r="K279" s="10"/>
      <c r="L279" s="10"/>
      <c r="M279" s="12">
        <f t="shared" si="29"/>
        <v>0</v>
      </c>
      <c r="N279" s="12"/>
      <c r="O279" s="12"/>
      <c r="P279" s="12">
        <f t="shared" si="30"/>
        <v>0</v>
      </c>
      <c r="Q279" s="12"/>
      <c r="R279" s="12"/>
      <c r="S279" s="12">
        <f t="shared" si="31"/>
        <v>0</v>
      </c>
      <c r="T279" s="12"/>
      <c r="U279" s="12"/>
      <c r="V279" s="12">
        <f t="shared" si="32"/>
        <v>0</v>
      </c>
      <c r="W279" s="12"/>
      <c r="X279" s="12"/>
      <c r="Y279" s="12">
        <f t="shared" si="33"/>
        <v>0</v>
      </c>
      <c r="Z279" s="12"/>
      <c r="AA279" s="12"/>
      <c r="AB279" s="13">
        <f t="shared" si="34"/>
        <v>0</v>
      </c>
      <c r="AC279" s="14"/>
    </row>
    <row r="280" spans="1:29" ht="15.75" x14ac:dyDescent="0.25">
      <c r="A280" s="65">
        <v>46076</v>
      </c>
      <c r="B280" s="10" t="s">
        <v>234</v>
      </c>
      <c r="C280" s="10"/>
      <c r="D280" s="10" t="s">
        <v>383</v>
      </c>
      <c r="E280" s="10" t="s">
        <v>175</v>
      </c>
      <c r="F280" s="10">
        <v>62400</v>
      </c>
      <c r="G280" s="10" t="s">
        <v>26</v>
      </c>
      <c r="H280" s="10">
        <v>950</v>
      </c>
      <c r="I280" s="10">
        <f t="shared" si="28"/>
        <v>59280000</v>
      </c>
      <c r="J280" s="29" t="s">
        <v>110</v>
      </c>
      <c r="K280" s="10" t="s">
        <v>524</v>
      </c>
      <c r="L280" s="10" t="s">
        <v>518</v>
      </c>
      <c r="M280" s="12">
        <f t="shared" si="29"/>
        <v>0</v>
      </c>
      <c r="N280" s="12"/>
      <c r="O280" s="12"/>
      <c r="P280" s="12">
        <f t="shared" si="30"/>
        <v>59280000</v>
      </c>
      <c r="Q280" s="12">
        <v>47360000</v>
      </c>
      <c r="R280" s="12">
        <v>11920000</v>
      </c>
      <c r="S280" s="12">
        <f t="shared" si="31"/>
        <v>0</v>
      </c>
      <c r="T280" s="12"/>
      <c r="U280" s="12"/>
      <c r="V280" s="12">
        <f t="shared" si="32"/>
        <v>0</v>
      </c>
      <c r="W280" s="12"/>
      <c r="X280" s="12"/>
      <c r="Y280" s="12">
        <f t="shared" si="33"/>
        <v>0</v>
      </c>
      <c r="Z280" s="12"/>
      <c r="AA280" s="12"/>
      <c r="AB280" s="13">
        <f t="shared" si="34"/>
        <v>0</v>
      </c>
      <c r="AC280" s="14">
        <v>46084</v>
      </c>
    </row>
    <row r="281" spans="1:29" ht="15.75" x14ac:dyDescent="0.25">
      <c r="A281" s="65">
        <v>46076</v>
      </c>
      <c r="B281" s="10" t="s">
        <v>234</v>
      </c>
      <c r="C281" s="10"/>
      <c r="D281" s="10" t="s">
        <v>383</v>
      </c>
      <c r="E281" s="10" t="s">
        <v>88</v>
      </c>
      <c r="F281" s="10">
        <v>250</v>
      </c>
      <c r="G281" s="10" t="s">
        <v>36</v>
      </c>
      <c r="H281" s="10">
        <v>105000</v>
      </c>
      <c r="I281" s="10">
        <f t="shared" si="28"/>
        <v>26250000</v>
      </c>
      <c r="J281" s="29" t="s">
        <v>110</v>
      </c>
      <c r="K281" s="10" t="s">
        <v>524</v>
      </c>
      <c r="L281" s="10" t="s">
        <v>518</v>
      </c>
      <c r="M281" s="12">
        <f t="shared" si="29"/>
        <v>0</v>
      </c>
      <c r="N281" s="12"/>
      <c r="O281" s="12"/>
      <c r="P281" s="12">
        <f t="shared" si="30"/>
        <v>26250000</v>
      </c>
      <c r="Q281" s="12">
        <v>26250000</v>
      </c>
      <c r="R281" s="12"/>
      <c r="S281" s="12">
        <f t="shared" si="31"/>
        <v>0</v>
      </c>
      <c r="T281" s="12"/>
      <c r="U281" s="12"/>
      <c r="V281" s="12">
        <f t="shared" si="32"/>
        <v>0</v>
      </c>
      <c r="W281" s="12"/>
      <c r="X281" s="12"/>
      <c r="Y281" s="12">
        <f t="shared" si="33"/>
        <v>0</v>
      </c>
      <c r="Z281" s="12"/>
      <c r="AA281" s="12"/>
      <c r="AB281" s="13">
        <f t="shared" si="34"/>
        <v>0</v>
      </c>
      <c r="AC281" s="14">
        <v>46097</v>
      </c>
    </row>
    <row r="282" spans="1:29" ht="15.75" x14ac:dyDescent="0.25">
      <c r="A282" s="65">
        <v>46076</v>
      </c>
      <c r="B282" s="10" t="s">
        <v>234</v>
      </c>
      <c r="C282" s="10"/>
      <c r="D282" s="10" t="s">
        <v>383</v>
      </c>
      <c r="E282" s="10" t="s">
        <v>116</v>
      </c>
      <c r="F282" s="10">
        <v>24</v>
      </c>
      <c r="G282" s="10" t="s">
        <v>67</v>
      </c>
      <c r="H282" s="10">
        <v>65000</v>
      </c>
      <c r="I282" s="10">
        <f t="shared" si="28"/>
        <v>1560000</v>
      </c>
      <c r="J282" s="29" t="s">
        <v>110</v>
      </c>
      <c r="K282" s="10" t="s">
        <v>524</v>
      </c>
      <c r="L282" s="10" t="s">
        <v>518</v>
      </c>
      <c r="M282" s="12">
        <f t="shared" si="29"/>
        <v>0</v>
      </c>
      <c r="N282" s="12"/>
      <c r="O282" s="12"/>
      <c r="P282" s="12">
        <f t="shared" si="30"/>
        <v>1560000</v>
      </c>
      <c r="Q282" s="12">
        <v>1560000</v>
      </c>
      <c r="R282" s="12"/>
      <c r="S282" s="12">
        <f t="shared" si="31"/>
        <v>0</v>
      </c>
      <c r="T282" s="12"/>
      <c r="U282" s="12"/>
      <c r="V282" s="12">
        <f t="shared" si="32"/>
        <v>0</v>
      </c>
      <c r="W282" s="12"/>
      <c r="X282" s="12"/>
      <c r="Y282" s="12">
        <f t="shared" si="33"/>
        <v>0</v>
      </c>
      <c r="Z282" s="12"/>
      <c r="AA282" s="12"/>
      <c r="AB282" s="13">
        <f t="shared" si="34"/>
        <v>0</v>
      </c>
      <c r="AC282" s="14">
        <v>46097</v>
      </c>
    </row>
    <row r="283" spans="1:29" s="148" customFormat="1" ht="16.5" thickBot="1" x14ac:dyDescent="0.3">
      <c r="A283" s="65">
        <v>46076</v>
      </c>
      <c r="B283" s="10" t="s">
        <v>272</v>
      </c>
      <c r="C283" s="10"/>
      <c r="D283" s="10"/>
      <c r="E283" s="10" t="s">
        <v>315</v>
      </c>
      <c r="F283" s="10">
        <v>53.8</v>
      </c>
      <c r="G283" s="10" t="s">
        <v>36</v>
      </c>
      <c r="H283" s="10">
        <v>43000</v>
      </c>
      <c r="I283" s="10">
        <f t="shared" si="28"/>
        <v>2313400</v>
      </c>
      <c r="J283" s="115" t="s">
        <v>90</v>
      </c>
      <c r="K283" s="82"/>
      <c r="L283" s="10"/>
      <c r="M283" s="12">
        <f t="shared" si="29"/>
        <v>0</v>
      </c>
      <c r="N283" s="12"/>
      <c r="O283" s="12"/>
      <c r="P283" s="12">
        <f t="shared" si="30"/>
        <v>0</v>
      </c>
      <c r="Q283" s="12"/>
      <c r="R283" s="12"/>
      <c r="S283" s="12">
        <f t="shared" si="31"/>
        <v>0</v>
      </c>
      <c r="T283" s="12"/>
      <c r="U283" s="12"/>
      <c r="V283" s="12">
        <f t="shared" si="32"/>
        <v>0</v>
      </c>
      <c r="W283" s="12"/>
      <c r="X283" s="12"/>
      <c r="Y283" s="12">
        <f t="shared" si="33"/>
        <v>0</v>
      </c>
      <c r="Z283" s="12"/>
      <c r="AA283" s="12"/>
      <c r="AB283" s="13">
        <f t="shared" si="34"/>
        <v>2313400</v>
      </c>
      <c r="AC283" s="14"/>
    </row>
    <row r="284" spans="1:29" ht="15.75" x14ac:dyDescent="0.25">
      <c r="A284" s="65">
        <v>46077</v>
      </c>
      <c r="B284" s="10" t="s">
        <v>53</v>
      </c>
      <c r="C284" s="10"/>
      <c r="D284" s="10" t="s">
        <v>383</v>
      </c>
      <c r="E284" s="10" t="s">
        <v>307</v>
      </c>
      <c r="F284" s="10">
        <v>135</v>
      </c>
      <c r="G284" s="10" t="s">
        <v>36</v>
      </c>
      <c r="H284" s="10">
        <v>43000</v>
      </c>
      <c r="I284" s="10">
        <f t="shared" si="28"/>
        <v>5805000</v>
      </c>
      <c r="J284" s="52" t="s">
        <v>90</v>
      </c>
      <c r="K284" s="88" t="s">
        <v>479</v>
      </c>
      <c r="L284" s="10" t="s">
        <v>530</v>
      </c>
      <c r="M284" s="12">
        <f t="shared" si="29"/>
        <v>0</v>
      </c>
      <c r="N284" s="12"/>
      <c r="O284" s="12"/>
      <c r="P284" s="12">
        <f t="shared" si="30"/>
        <v>0</v>
      </c>
      <c r="Q284" s="12"/>
      <c r="R284" s="12"/>
      <c r="S284" s="12">
        <f t="shared" si="31"/>
        <v>0</v>
      </c>
      <c r="T284" s="12"/>
      <c r="U284" s="12"/>
      <c r="V284" s="12">
        <f t="shared" si="32"/>
        <v>0</v>
      </c>
      <c r="W284" s="12"/>
      <c r="X284" s="12"/>
      <c r="Y284" s="12">
        <f t="shared" si="33"/>
        <v>0</v>
      </c>
      <c r="Z284" s="12"/>
      <c r="AA284" s="12"/>
      <c r="AB284" s="13">
        <f t="shared" si="34"/>
        <v>5805000</v>
      </c>
      <c r="AC284" s="14"/>
    </row>
    <row r="285" spans="1:29" ht="15.75" x14ac:dyDescent="0.25">
      <c r="A285" s="28">
        <v>46077</v>
      </c>
      <c r="B285" s="10" t="s">
        <v>272</v>
      </c>
      <c r="C285" s="10"/>
      <c r="D285" s="10"/>
      <c r="E285" s="10" t="s">
        <v>315</v>
      </c>
      <c r="F285" s="10">
        <v>161.30000000000001</v>
      </c>
      <c r="G285" s="10" t="s">
        <v>36</v>
      </c>
      <c r="H285" s="10">
        <v>43000</v>
      </c>
      <c r="I285" s="10">
        <f t="shared" si="28"/>
        <v>6935900.0000000009</v>
      </c>
      <c r="J285" s="115" t="s">
        <v>90</v>
      </c>
      <c r="K285" s="10"/>
      <c r="L285" s="10"/>
      <c r="M285" s="12">
        <f t="shared" si="29"/>
        <v>0</v>
      </c>
      <c r="N285" s="12"/>
      <c r="O285" s="12"/>
      <c r="P285" s="12">
        <f t="shared" si="30"/>
        <v>0</v>
      </c>
      <c r="Q285" s="12"/>
      <c r="R285" s="12"/>
      <c r="S285" s="12">
        <f t="shared" si="31"/>
        <v>0</v>
      </c>
      <c r="T285" s="12"/>
      <c r="U285" s="12"/>
      <c r="V285" s="12">
        <f t="shared" si="32"/>
        <v>0</v>
      </c>
      <c r="W285" s="12"/>
      <c r="X285" s="12"/>
      <c r="Y285" s="12">
        <f t="shared" si="33"/>
        <v>0</v>
      </c>
      <c r="Z285" s="12"/>
      <c r="AA285" s="12"/>
      <c r="AB285" s="13">
        <f t="shared" si="34"/>
        <v>6935900.0000000009</v>
      </c>
      <c r="AC285" s="14"/>
    </row>
    <row r="286" spans="1:29" s="148" customFormat="1" ht="16.5" thickBot="1" x14ac:dyDescent="0.3">
      <c r="A286" s="65">
        <v>46077</v>
      </c>
      <c r="B286" s="10" t="s">
        <v>272</v>
      </c>
      <c r="C286" s="10"/>
      <c r="D286" s="10"/>
      <c r="E286" s="10" t="s">
        <v>198</v>
      </c>
      <c r="F286" s="10">
        <v>33.6</v>
      </c>
      <c r="G286" s="10" t="s">
        <v>36</v>
      </c>
      <c r="H286" s="10">
        <v>43000</v>
      </c>
      <c r="I286" s="10">
        <f t="shared" si="28"/>
        <v>1444800</v>
      </c>
      <c r="J286" s="115" t="s">
        <v>90</v>
      </c>
      <c r="K286" s="10"/>
      <c r="L286" s="10"/>
      <c r="M286" s="12">
        <f t="shared" si="29"/>
        <v>0</v>
      </c>
      <c r="N286" s="12"/>
      <c r="O286" s="12"/>
      <c r="P286" s="12">
        <f t="shared" si="30"/>
        <v>0</v>
      </c>
      <c r="Q286" s="12"/>
      <c r="R286" s="12"/>
      <c r="S286" s="12">
        <f t="shared" si="31"/>
        <v>0</v>
      </c>
      <c r="T286" s="12"/>
      <c r="U286" s="12"/>
      <c r="V286" s="12">
        <f t="shared" si="32"/>
        <v>0</v>
      </c>
      <c r="W286" s="12"/>
      <c r="X286" s="12"/>
      <c r="Y286" s="12">
        <f t="shared" si="33"/>
        <v>0</v>
      </c>
      <c r="Z286" s="12"/>
      <c r="AA286" s="12"/>
      <c r="AB286" s="13">
        <f t="shared" si="34"/>
        <v>1444800</v>
      </c>
      <c r="AC286" s="14"/>
    </row>
    <row r="287" spans="1:29" ht="15.75" x14ac:dyDescent="0.25">
      <c r="A287" s="65">
        <v>46078</v>
      </c>
      <c r="B287" s="10" t="s">
        <v>272</v>
      </c>
      <c r="C287" s="10"/>
      <c r="D287" s="10"/>
      <c r="E287" s="10" t="s">
        <v>338</v>
      </c>
      <c r="F287" s="10">
        <v>85.2</v>
      </c>
      <c r="G287" s="10" t="s">
        <v>36</v>
      </c>
      <c r="H287" s="10">
        <v>43000</v>
      </c>
      <c r="I287" s="10">
        <f t="shared" si="28"/>
        <v>3663600</v>
      </c>
      <c r="J287" s="115" t="s">
        <v>90</v>
      </c>
      <c r="K287" s="10"/>
      <c r="L287" s="10"/>
      <c r="M287" s="12">
        <f t="shared" si="29"/>
        <v>0</v>
      </c>
      <c r="N287" s="12"/>
      <c r="O287" s="12"/>
      <c r="P287" s="12">
        <f t="shared" si="30"/>
        <v>0</v>
      </c>
      <c r="Q287" s="12"/>
      <c r="R287" s="12"/>
      <c r="S287" s="12">
        <f t="shared" si="31"/>
        <v>0</v>
      </c>
      <c r="T287" s="12"/>
      <c r="U287" s="12"/>
      <c r="V287" s="12">
        <f t="shared" si="32"/>
        <v>0</v>
      </c>
      <c r="W287" s="12"/>
      <c r="X287" s="12"/>
      <c r="Y287" s="12">
        <f t="shared" si="33"/>
        <v>0</v>
      </c>
      <c r="Z287" s="12"/>
      <c r="AA287" s="12"/>
      <c r="AB287" s="13">
        <f t="shared" si="34"/>
        <v>3663600</v>
      </c>
      <c r="AC287" s="14"/>
    </row>
    <row r="288" spans="1:29" ht="15.75" x14ac:dyDescent="0.25">
      <c r="A288" s="65">
        <v>46078</v>
      </c>
      <c r="B288" s="10" t="s">
        <v>272</v>
      </c>
      <c r="C288" s="10"/>
      <c r="D288" s="10"/>
      <c r="E288" s="10" t="s">
        <v>315</v>
      </c>
      <c r="F288" s="10">
        <v>27</v>
      </c>
      <c r="G288" s="10" t="s">
        <v>36</v>
      </c>
      <c r="H288" s="10">
        <v>43000</v>
      </c>
      <c r="I288" s="10">
        <f t="shared" si="28"/>
        <v>1161000</v>
      </c>
      <c r="J288" s="115" t="s">
        <v>90</v>
      </c>
      <c r="K288" s="10"/>
      <c r="L288" s="10"/>
      <c r="M288" s="12">
        <f t="shared" si="29"/>
        <v>0</v>
      </c>
      <c r="N288" s="12"/>
      <c r="O288" s="12"/>
      <c r="P288" s="12">
        <f t="shared" si="30"/>
        <v>0</v>
      </c>
      <c r="Q288" s="12"/>
      <c r="R288" s="12"/>
      <c r="S288" s="12">
        <f t="shared" si="31"/>
        <v>0</v>
      </c>
      <c r="T288" s="12"/>
      <c r="U288" s="12"/>
      <c r="V288" s="12">
        <f t="shared" si="32"/>
        <v>0</v>
      </c>
      <c r="W288" s="12"/>
      <c r="X288" s="12"/>
      <c r="Y288" s="12">
        <f t="shared" si="33"/>
        <v>0</v>
      </c>
      <c r="Z288" s="12"/>
      <c r="AA288" s="12"/>
      <c r="AB288" s="13">
        <f t="shared" si="34"/>
        <v>1161000</v>
      </c>
      <c r="AC288" s="14"/>
    </row>
    <row r="289" spans="1:29" ht="15.75" x14ac:dyDescent="0.25">
      <c r="A289" s="65">
        <v>46078</v>
      </c>
      <c r="B289" s="10" t="s">
        <v>272</v>
      </c>
      <c r="C289" s="10"/>
      <c r="D289" s="10"/>
      <c r="E289" s="10" t="s">
        <v>306</v>
      </c>
      <c r="F289" s="10">
        <v>26.2</v>
      </c>
      <c r="G289" s="10" t="s">
        <v>36</v>
      </c>
      <c r="H289" s="10">
        <v>43000</v>
      </c>
      <c r="I289" s="10">
        <f t="shared" si="28"/>
        <v>1126600</v>
      </c>
      <c r="J289" s="115" t="s">
        <v>90</v>
      </c>
      <c r="K289" s="10"/>
      <c r="L289" s="10"/>
      <c r="M289" s="12">
        <f t="shared" si="29"/>
        <v>0</v>
      </c>
      <c r="N289" s="12"/>
      <c r="O289" s="12"/>
      <c r="P289" s="12">
        <f t="shared" si="30"/>
        <v>0</v>
      </c>
      <c r="Q289" s="12"/>
      <c r="R289" s="12"/>
      <c r="S289" s="12">
        <f t="shared" si="31"/>
        <v>0</v>
      </c>
      <c r="T289" s="12"/>
      <c r="U289" s="12"/>
      <c r="V289" s="12">
        <f t="shared" si="32"/>
        <v>0</v>
      </c>
      <c r="W289" s="12"/>
      <c r="X289" s="12"/>
      <c r="Y289" s="12">
        <f t="shared" si="33"/>
        <v>0</v>
      </c>
      <c r="Z289" s="12"/>
      <c r="AA289" s="12"/>
      <c r="AB289" s="13">
        <f t="shared" si="34"/>
        <v>1126600</v>
      </c>
      <c r="AC289" s="14"/>
    </row>
    <row r="290" spans="1:29" s="148" customFormat="1" ht="16.5" thickBot="1" x14ac:dyDescent="0.3">
      <c r="A290" s="65">
        <v>46078</v>
      </c>
      <c r="B290" s="10" t="s">
        <v>272</v>
      </c>
      <c r="C290" s="10"/>
      <c r="D290" s="10"/>
      <c r="E290" s="10" t="s">
        <v>80</v>
      </c>
      <c r="F290" s="10">
        <v>22.4</v>
      </c>
      <c r="G290" s="10" t="s">
        <v>36</v>
      </c>
      <c r="H290" s="10">
        <v>43000</v>
      </c>
      <c r="I290" s="10">
        <f t="shared" si="28"/>
        <v>963199.99999999988</v>
      </c>
      <c r="J290" s="115" t="s">
        <v>90</v>
      </c>
      <c r="K290" s="10"/>
      <c r="L290" s="10"/>
      <c r="M290" s="12">
        <f t="shared" si="29"/>
        <v>0</v>
      </c>
      <c r="N290" s="12"/>
      <c r="O290" s="12"/>
      <c r="P290" s="12">
        <f t="shared" si="30"/>
        <v>0</v>
      </c>
      <c r="Q290" s="12"/>
      <c r="R290" s="12"/>
      <c r="S290" s="12">
        <f t="shared" si="31"/>
        <v>0</v>
      </c>
      <c r="T290" s="12"/>
      <c r="U290" s="12"/>
      <c r="V290" s="12">
        <f t="shared" si="32"/>
        <v>0</v>
      </c>
      <c r="W290" s="12"/>
      <c r="X290" s="12"/>
      <c r="Y290" s="12">
        <f t="shared" si="33"/>
        <v>0</v>
      </c>
      <c r="Z290" s="12"/>
      <c r="AA290" s="12"/>
      <c r="AB290" s="13">
        <f t="shared" si="34"/>
        <v>963199.99999999988</v>
      </c>
      <c r="AC290" s="14"/>
    </row>
    <row r="291" spans="1:29" ht="15.75" x14ac:dyDescent="0.25">
      <c r="A291" s="65">
        <v>46078</v>
      </c>
      <c r="B291" s="10" t="s">
        <v>246</v>
      </c>
      <c r="C291" s="10"/>
      <c r="D291" s="10" t="s">
        <v>383</v>
      </c>
      <c r="E291" s="10" t="s">
        <v>136</v>
      </c>
      <c r="F291" s="10">
        <v>94.3</v>
      </c>
      <c r="G291" s="10" t="s">
        <v>36</v>
      </c>
      <c r="H291" s="10">
        <v>43000</v>
      </c>
      <c r="I291" s="10">
        <f t="shared" si="28"/>
        <v>4054900</v>
      </c>
      <c r="J291" s="29" t="s">
        <v>110</v>
      </c>
      <c r="K291" s="95" t="s">
        <v>541</v>
      </c>
      <c r="L291" s="10" t="s">
        <v>542</v>
      </c>
      <c r="M291" s="12">
        <f t="shared" si="29"/>
        <v>0</v>
      </c>
      <c r="N291" s="12"/>
      <c r="O291" s="12"/>
      <c r="P291" s="12">
        <f t="shared" si="30"/>
        <v>4054900</v>
      </c>
      <c r="Q291" s="12">
        <v>4054900</v>
      </c>
      <c r="R291" s="12"/>
      <c r="S291" s="12">
        <f t="shared" si="31"/>
        <v>0</v>
      </c>
      <c r="T291" s="12"/>
      <c r="U291" s="12"/>
      <c r="V291" s="12">
        <f t="shared" si="32"/>
        <v>0</v>
      </c>
      <c r="W291" s="12"/>
      <c r="X291" s="12"/>
      <c r="Y291" s="12">
        <f t="shared" si="33"/>
        <v>0</v>
      </c>
      <c r="Z291" s="12"/>
      <c r="AA291" s="12"/>
      <c r="AB291" s="13">
        <f t="shared" si="34"/>
        <v>0</v>
      </c>
      <c r="AC291" s="14">
        <v>46092</v>
      </c>
    </row>
    <row r="292" spans="1:29" ht="15.75" x14ac:dyDescent="0.25">
      <c r="A292" s="65">
        <v>46078</v>
      </c>
      <c r="B292" s="10" t="s">
        <v>246</v>
      </c>
      <c r="C292" s="10"/>
      <c r="D292" s="10" t="s">
        <v>383</v>
      </c>
      <c r="E292" s="10" t="s">
        <v>80</v>
      </c>
      <c r="F292" s="10">
        <v>90.4</v>
      </c>
      <c r="G292" s="10" t="s">
        <v>36</v>
      </c>
      <c r="H292" s="10">
        <v>43000</v>
      </c>
      <c r="I292" s="10">
        <f t="shared" si="28"/>
        <v>3887200.0000000005</v>
      </c>
      <c r="J292" s="29" t="s">
        <v>110</v>
      </c>
      <c r="K292" s="95" t="s">
        <v>541</v>
      </c>
      <c r="L292" s="10" t="s">
        <v>542</v>
      </c>
      <c r="M292" s="12">
        <f t="shared" si="29"/>
        <v>0</v>
      </c>
      <c r="N292" s="12"/>
      <c r="O292" s="12"/>
      <c r="P292" s="12">
        <f t="shared" si="30"/>
        <v>3887200</v>
      </c>
      <c r="Q292" s="12">
        <v>3887200</v>
      </c>
      <c r="R292" s="12"/>
      <c r="S292" s="12">
        <f t="shared" si="31"/>
        <v>0</v>
      </c>
      <c r="T292" s="12"/>
      <c r="U292" s="12"/>
      <c r="V292" s="12">
        <f t="shared" si="32"/>
        <v>0</v>
      </c>
      <c r="W292" s="12"/>
      <c r="X292" s="12"/>
      <c r="Y292" s="12">
        <f t="shared" si="33"/>
        <v>0</v>
      </c>
      <c r="Z292" s="12"/>
      <c r="AA292" s="12"/>
      <c r="AB292" s="13">
        <f t="shared" si="34"/>
        <v>4.6566128730773926E-10</v>
      </c>
      <c r="AC292" s="14">
        <v>46092</v>
      </c>
    </row>
    <row r="293" spans="1:29" ht="15.75" x14ac:dyDescent="0.25">
      <c r="A293" s="65">
        <v>46078</v>
      </c>
      <c r="B293" s="10" t="s">
        <v>246</v>
      </c>
      <c r="C293" s="10"/>
      <c r="D293" s="10" t="s">
        <v>383</v>
      </c>
      <c r="E293" s="10" t="s">
        <v>265</v>
      </c>
      <c r="F293" s="10">
        <v>47.6</v>
      </c>
      <c r="G293" s="10" t="s">
        <v>36</v>
      </c>
      <c r="H293" s="10">
        <v>43000</v>
      </c>
      <c r="I293" s="10">
        <f t="shared" si="28"/>
        <v>2046800</v>
      </c>
      <c r="J293" s="29" t="s">
        <v>110</v>
      </c>
      <c r="K293" s="95" t="s">
        <v>541</v>
      </c>
      <c r="L293" s="10" t="s">
        <v>542</v>
      </c>
      <c r="M293" s="12">
        <f t="shared" si="29"/>
        <v>0</v>
      </c>
      <c r="N293" s="12"/>
      <c r="O293" s="12"/>
      <c r="P293" s="12">
        <f t="shared" si="30"/>
        <v>2046800</v>
      </c>
      <c r="Q293" s="12">
        <v>2046800</v>
      </c>
      <c r="R293" s="12"/>
      <c r="S293" s="12">
        <f t="shared" si="31"/>
        <v>0</v>
      </c>
      <c r="T293" s="12"/>
      <c r="U293" s="12"/>
      <c r="V293" s="12">
        <f t="shared" si="32"/>
        <v>0</v>
      </c>
      <c r="W293" s="12"/>
      <c r="X293" s="12"/>
      <c r="Y293" s="12">
        <f t="shared" si="33"/>
        <v>0</v>
      </c>
      <c r="Z293" s="12"/>
      <c r="AA293" s="12"/>
      <c r="AB293" s="13">
        <f t="shared" si="34"/>
        <v>0</v>
      </c>
      <c r="AC293" s="14">
        <v>46092</v>
      </c>
    </row>
    <row r="294" spans="1:29" ht="15.75" x14ac:dyDescent="0.25">
      <c r="A294" s="65">
        <v>46078</v>
      </c>
      <c r="B294" s="10" t="s">
        <v>246</v>
      </c>
      <c r="C294" s="10"/>
      <c r="D294" s="10" t="s">
        <v>383</v>
      </c>
      <c r="E294" s="10" t="s">
        <v>315</v>
      </c>
      <c r="F294" s="10">
        <v>26.8</v>
      </c>
      <c r="G294" s="10" t="s">
        <v>36</v>
      </c>
      <c r="H294" s="10">
        <v>43000</v>
      </c>
      <c r="I294" s="10">
        <f t="shared" si="28"/>
        <v>1152400</v>
      </c>
      <c r="J294" s="29" t="s">
        <v>110</v>
      </c>
      <c r="K294" s="95" t="s">
        <v>541</v>
      </c>
      <c r="L294" s="10" t="s">
        <v>542</v>
      </c>
      <c r="M294" s="12">
        <f t="shared" si="29"/>
        <v>0</v>
      </c>
      <c r="N294" s="12"/>
      <c r="O294" s="12"/>
      <c r="P294" s="12">
        <f t="shared" si="30"/>
        <v>1152400</v>
      </c>
      <c r="Q294" s="12">
        <v>1152400</v>
      </c>
      <c r="R294" s="12"/>
      <c r="S294" s="12">
        <f t="shared" si="31"/>
        <v>0</v>
      </c>
      <c r="T294" s="12"/>
      <c r="U294" s="12"/>
      <c r="V294" s="12">
        <f t="shared" si="32"/>
        <v>0</v>
      </c>
      <c r="W294" s="12"/>
      <c r="X294" s="12"/>
      <c r="Y294" s="12">
        <f t="shared" si="33"/>
        <v>0</v>
      </c>
      <c r="Z294" s="12"/>
      <c r="AA294" s="12"/>
      <c r="AB294" s="13">
        <f t="shared" si="34"/>
        <v>0</v>
      </c>
      <c r="AC294" s="14">
        <v>46092</v>
      </c>
    </row>
    <row r="295" spans="1:29" ht="15.75" x14ac:dyDescent="0.25">
      <c r="A295" s="65">
        <v>46078</v>
      </c>
      <c r="B295" s="10" t="s">
        <v>246</v>
      </c>
      <c r="C295" s="10"/>
      <c r="D295" s="10" t="s">
        <v>383</v>
      </c>
      <c r="E295" s="10" t="s">
        <v>117</v>
      </c>
      <c r="F295" s="10">
        <v>3</v>
      </c>
      <c r="G295" s="10" t="s">
        <v>36</v>
      </c>
      <c r="H295" s="10">
        <v>70000</v>
      </c>
      <c r="I295" s="10">
        <f t="shared" si="28"/>
        <v>210000</v>
      </c>
      <c r="J295" s="29" t="s">
        <v>110</v>
      </c>
      <c r="K295" s="95" t="s">
        <v>541</v>
      </c>
      <c r="L295" s="10" t="s">
        <v>542</v>
      </c>
      <c r="M295" s="12">
        <f t="shared" si="29"/>
        <v>0</v>
      </c>
      <c r="N295" s="12"/>
      <c r="O295" s="12"/>
      <c r="P295" s="12">
        <f t="shared" si="30"/>
        <v>210000</v>
      </c>
      <c r="Q295" s="12">
        <v>210000</v>
      </c>
      <c r="R295" s="12"/>
      <c r="S295" s="12">
        <f t="shared" si="31"/>
        <v>0</v>
      </c>
      <c r="T295" s="12"/>
      <c r="U295" s="12"/>
      <c r="V295" s="12">
        <f t="shared" si="32"/>
        <v>0</v>
      </c>
      <c r="W295" s="12"/>
      <c r="X295" s="12"/>
      <c r="Y295" s="12">
        <f t="shared" si="33"/>
        <v>0</v>
      </c>
      <c r="Z295" s="12"/>
      <c r="AA295" s="12"/>
      <c r="AB295" s="13">
        <f t="shared" si="34"/>
        <v>0</v>
      </c>
      <c r="AC295" s="14">
        <v>46092</v>
      </c>
    </row>
    <row r="296" spans="1:29" ht="15.75" x14ac:dyDescent="0.25">
      <c r="A296" s="28">
        <v>46079</v>
      </c>
      <c r="B296" s="10" t="s">
        <v>163</v>
      </c>
      <c r="C296" s="10"/>
      <c r="D296" s="10" t="s">
        <v>383</v>
      </c>
      <c r="E296" s="10" t="s">
        <v>70</v>
      </c>
      <c r="F296" s="10">
        <v>120</v>
      </c>
      <c r="G296" s="10" t="s">
        <v>36</v>
      </c>
      <c r="H296" s="10">
        <v>54000</v>
      </c>
      <c r="I296" s="10">
        <f t="shared" si="28"/>
        <v>6480000</v>
      </c>
      <c r="J296" s="29" t="s">
        <v>110</v>
      </c>
      <c r="K296" s="82" t="s">
        <v>541</v>
      </c>
      <c r="L296" s="10" t="s">
        <v>531</v>
      </c>
      <c r="M296" s="12">
        <f t="shared" si="29"/>
        <v>0</v>
      </c>
      <c r="N296" s="12"/>
      <c r="O296" s="12"/>
      <c r="P296" s="12">
        <f t="shared" si="30"/>
        <v>6480000</v>
      </c>
      <c r="Q296" s="12">
        <v>6480000</v>
      </c>
      <c r="R296" s="12"/>
      <c r="S296" s="12">
        <f t="shared" si="31"/>
        <v>0</v>
      </c>
      <c r="T296" s="12"/>
      <c r="U296" s="12"/>
      <c r="V296" s="12">
        <f t="shared" si="32"/>
        <v>0</v>
      </c>
      <c r="W296" s="12"/>
      <c r="X296" s="12"/>
      <c r="Y296" s="12">
        <f t="shared" si="33"/>
        <v>0</v>
      </c>
      <c r="Z296" s="12"/>
      <c r="AA296" s="12"/>
      <c r="AB296" s="13">
        <f t="shared" si="34"/>
        <v>0</v>
      </c>
      <c r="AC296" s="14">
        <v>46083</v>
      </c>
    </row>
    <row r="297" spans="1:29" ht="15.75" x14ac:dyDescent="0.25">
      <c r="A297" s="65">
        <v>46079</v>
      </c>
      <c r="B297" s="10" t="s">
        <v>272</v>
      </c>
      <c r="C297" s="10"/>
      <c r="D297" s="10"/>
      <c r="E297" s="10" t="s">
        <v>229</v>
      </c>
      <c r="F297" s="10">
        <v>14.2</v>
      </c>
      <c r="G297" s="10" t="s">
        <v>36</v>
      </c>
      <c r="H297" s="10">
        <v>43000</v>
      </c>
      <c r="I297" s="10">
        <f t="shared" si="28"/>
        <v>610600</v>
      </c>
      <c r="J297" s="115" t="s">
        <v>90</v>
      </c>
      <c r="K297" s="10"/>
      <c r="L297" s="10"/>
      <c r="M297" s="12">
        <f t="shared" si="29"/>
        <v>0</v>
      </c>
      <c r="N297" s="12"/>
      <c r="O297" s="12"/>
      <c r="P297" s="12">
        <f t="shared" si="30"/>
        <v>0</v>
      </c>
      <c r="Q297" s="12"/>
      <c r="R297" s="12"/>
      <c r="S297" s="12">
        <f t="shared" si="31"/>
        <v>0</v>
      </c>
      <c r="T297" s="12"/>
      <c r="U297" s="12"/>
      <c r="V297" s="12">
        <f t="shared" si="32"/>
        <v>0</v>
      </c>
      <c r="W297" s="12"/>
      <c r="X297" s="12"/>
      <c r="Y297" s="12">
        <f t="shared" si="33"/>
        <v>0</v>
      </c>
      <c r="Z297" s="12"/>
      <c r="AA297" s="12"/>
      <c r="AB297" s="13">
        <f t="shared" si="34"/>
        <v>610600</v>
      </c>
      <c r="AC297" s="14"/>
    </row>
    <row r="298" spans="1:29" ht="15.75" x14ac:dyDescent="0.25">
      <c r="A298" s="65">
        <v>46079</v>
      </c>
      <c r="B298" s="10" t="s">
        <v>272</v>
      </c>
      <c r="C298" s="10"/>
      <c r="D298" s="10"/>
      <c r="E298" s="10" t="s">
        <v>436</v>
      </c>
      <c r="F298" s="10">
        <v>33.1</v>
      </c>
      <c r="G298" s="10" t="s">
        <v>36</v>
      </c>
      <c r="H298" s="10">
        <v>43000</v>
      </c>
      <c r="I298" s="10">
        <f t="shared" si="28"/>
        <v>1423300</v>
      </c>
      <c r="J298" s="115" t="s">
        <v>90</v>
      </c>
      <c r="K298" s="10"/>
      <c r="L298" s="10"/>
      <c r="M298" s="12">
        <f t="shared" si="29"/>
        <v>0</v>
      </c>
      <c r="N298" s="12"/>
      <c r="O298" s="12"/>
      <c r="P298" s="12">
        <f t="shared" si="30"/>
        <v>0</v>
      </c>
      <c r="Q298" s="12"/>
      <c r="R298" s="12"/>
      <c r="S298" s="12">
        <f t="shared" si="31"/>
        <v>0</v>
      </c>
      <c r="T298" s="12"/>
      <c r="U298" s="12"/>
      <c r="V298" s="12">
        <f t="shared" si="32"/>
        <v>0</v>
      </c>
      <c r="W298" s="12"/>
      <c r="X298" s="12"/>
      <c r="Y298" s="12">
        <f t="shared" si="33"/>
        <v>0</v>
      </c>
      <c r="Z298" s="12"/>
      <c r="AA298" s="12"/>
      <c r="AB298" s="13">
        <f t="shared" si="34"/>
        <v>1423300</v>
      </c>
      <c r="AC298" s="14"/>
    </row>
    <row r="299" spans="1:29" ht="15.75" x14ac:dyDescent="0.25">
      <c r="A299" s="65">
        <v>46079</v>
      </c>
      <c r="B299" s="10" t="s">
        <v>272</v>
      </c>
      <c r="C299" s="10"/>
      <c r="D299" s="10"/>
      <c r="E299" s="10" t="s">
        <v>315</v>
      </c>
      <c r="F299" s="10">
        <v>26.6</v>
      </c>
      <c r="G299" s="10" t="s">
        <v>36</v>
      </c>
      <c r="H299" s="10">
        <v>43000</v>
      </c>
      <c r="I299" s="10">
        <f t="shared" si="28"/>
        <v>1143800</v>
      </c>
      <c r="J299" s="115" t="s">
        <v>90</v>
      </c>
      <c r="K299" s="10"/>
      <c r="L299" s="10"/>
      <c r="M299" s="12">
        <f t="shared" si="29"/>
        <v>0</v>
      </c>
      <c r="N299" s="12"/>
      <c r="O299" s="12"/>
      <c r="P299" s="12">
        <f t="shared" si="30"/>
        <v>0</v>
      </c>
      <c r="Q299" s="12"/>
      <c r="R299" s="12"/>
      <c r="S299" s="12">
        <f t="shared" si="31"/>
        <v>0</v>
      </c>
      <c r="T299" s="12"/>
      <c r="U299" s="12"/>
      <c r="V299" s="12">
        <f t="shared" si="32"/>
        <v>0</v>
      </c>
      <c r="W299" s="12"/>
      <c r="X299" s="12"/>
      <c r="Y299" s="12">
        <f t="shared" si="33"/>
        <v>0</v>
      </c>
      <c r="Z299" s="12"/>
      <c r="AA299" s="12"/>
      <c r="AB299" s="13">
        <f t="shared" si="34"/>
        <v>1143800</v>
      </c>
      <c r="AC299" s="14"/>
    </row>
    <row r="300" spans="1:29" ht="15.75" x14ac:dyDescent="0.25">
      <c r="A300" s="65">
        <v>46079</v>
      </c>
      <c r="B300" s="10" t="s">
        <v>272</v>
      </c>
      <c r="C300" s="10"/>
      <c r="D300" s="10"/>
      <c r="E300" s="10" t="s">
        <v>315</v>
      </c>
      <c r="F300" s="10">
        <v>53.6</v>
      </c>
      <c r="G300" s="10" t="s">
        <v>36</v>
      </c>
      <c r="H300" s="10">
        <v>43000</v>
      </c>
      <c r="I300" s="10">
        <f t="shared" si="28"/>
        <v>2304800</v>
      </c>
      <c r="J300" s="115" t="s">
        <v>90</v>
      </c>
      <c r="K300" s="10"/>
      <c r="L300" s="10"/>
      <c r="M300" s="12">
        <f t="shared" si="29"/>
        <v>0</v>
      </c>
      <c r="N300" s="12"/>
      <c r="O300" s="12"/>
      <c r="P300" s="12">
        <f t="shared" si="30"/>
        <v>0</v>
      </c>
      <c r="Q300" s="12"/>
      <c r="R300" s="12"/>
      <c r="S300" s="12">
        <f t="shared" si="31"/>
        <v>0</v>
      </c>
      <c r="T300" s="12"/>
      <c r="U300" s="12"/>
      <c r="V300" s="12">
        <f t="shared" si="32"/>
        <v>0</v>
      </c>
      <c r="W300" s="12"/>
      <c r="X300" s="12"/>
      <c r="Y300" s="12">
        <f t="shared" si="33"/>
        <v>0</v>
      </c>
      <c r="Z300" s="12"/>
      <c r="AA300" s="12"/>
      <c r="AB300" s="13">
        <f t="shared" si="34"/>
        <v>2304800</v>
      </c>
      <c r="AC300" s="14"/>
    </row>
    <row r="301" spans="1:29" s="148" customFormat="1" ht="16.5" thickBot="1" x14ac:dyDescent="0.3">
      <c r="A301" s="65">
        <v>46079</v>
      </c>
      <c r="B301" s="10" t="s">
        <v>272</v>
      </c>
      <c r="C301" s="10"/>
      <c r="D301" s="10"/>
      <c r="E301" s="10" t="s">
        <v>306</v>
      </c>
      <c r="F301" s="10">
        <v>84.2</v>
      </c>
      <c r="G301" s="10" t="s">
        <v>36</v>
      </c>
      <c r="H301" s="10">
        <v>43000</v>
      </c>
      <c r="I301" s="10">
        <f t="shared" si="28"/>
        <v>3620600</v>
      </c>
      <c r="J301" s="115" t="s">
        <v>90</v>
      </c>
      <c r="K301" s="10"/>
      <c r="L301" s="10"/>
      <c r="M301" s="12">
        <f t="shared" si="29"/>
        <v>0</v>
      </c>
      <c r="N301" s="12"/>
      <c r="O301" s="12"/>
      <c r="P301" s="12">
        <f t="shared" si="30"/>
        <v>0</v>
      </c>
      <c r="Q301" s="12"/>
      <c r="R301" s="12"/>
      <c r="S301" s="12">
        <f t="shared" si="31"/>
        <v>0</v>
      </c>
      <c r="T301" s="12"/>
      <c r="U301" s="12"/>
      <c r="V301" s="12">
        <f t="shared" si="32"/>
        <v>0</v>
      </c>
      <c r="W301" s="12"/>
      <c r="X301" s="12"/>
      <c r="Y301" s="12">
        <f t="shared" si="33"/>
        <v>0</v>
      </c>
      <c r="Z301" s="12"/>
      <c r="AA301" s="12"/>
      <c r="AB301" s="13">
        <f t="shared" si="34"/>
        <v>3620600</v>
      </c>
      <c r="AC301" s="14"/>
    </row>
    <row r="302" spans="1:29" ht="15.75" x14ac:dyDescent="0.25">
      <c r="A302" s="65">
        <v>46080</v>
      </c>
      <c r="B302" s="66" t="s">
        <v>69</v>
      </c>
      <c r="C302" s="66"/>
      <c r="D302" s="66" t="s">
        <v>383</v>
      </c>
      <c r="E302" s="66" t="s">
        <v>156</v>
      </c>
      <c r="F302" s="66">
        <v>600</v>
      </c>
      <c r="G302" s="66" t="s">
        <v>39</v>
      </c>
      <c r="H302" s="66">
        <v>28000</v>
      </c>
      <c r="I302" s="66">
        <f t="shared" si="28"/>
        <v>16800000</v>
      </c>
      <c r="J302" s="84" t="s">
        <v>110</v>
      </c>
      <c r="K302" s="66" t="s">
        <v>559</v>
      </c>
      <c r="L302" s="66" t="s">
        <v>553</v>
      </c>
      <c r="M302" s="67">
        <f t="shared" si="29"/>
        <v>0</v>
      </c>
      <c r="N302" s="67"/>
      <c r="O302" s="67"/>
      <c r="P302" s="67">
        <f t="shared" si="30"/>
        <v>16800000</v>
      </c>
      <c r="Q302" s="67">
        <v>16800000</v>
      </c>
      <c r="R302" s="67"/>
      <c r="S302" s="67">
        <f t="shared" si="31"/>
        <v>0</v>
      </c>
      <c r="T302" s="67"/>
      <c r="U302" s="67"/>
      <c r="V302" s="67">
        <f t="shared" si="32"/>
        <v>0</v>
      </c>
      <c r="W302" s="67"/>
      <c r="X302" s="67"/>
      <c r="Y302" s="67">
        <f t="shared" si="33"/>
        <v>0</v>
      </c>
      <c r="Z302" s="67"/>
      <c r="AA302" s="67"/>
      <c r="AB302" s="68">
        <f t="shared" si="34"/>
        <v>0</v>
      </c>
      <c r="AC302" s="69">
        <v>46094</v>
      </c>
    </row>
    <row r="303" spans="1:29" ht="15.75" x14ac:dyDescent="0.25">
      <c r="A303" s="65">
        <v>46080</v>
      </c>
      <c r="B303" s="66" t="s">
        <v>69</v>
      </c>
      <c r="C303" s="10"/>
      <c r="D303" s="66" t="s">
        <v>383</v>
      </c>
      <c r="E303" s="10" t="s">
        <v>66</v>
      </c>
      <c r="F303" s="10">
        <v>40</v>
      </c>
      <c r="G303" s="10" t="s">
        <v>67</v>
      </c>
      <c r="H303" s="10">
        <v>50000</v>
      </c>
      <c r="I303" s="10">
        <f t="shared" si="28"/>
        <v>2000000</v>
      </c>
      <c r="J303" s="84" t="s">
        <v>110</v>
      </c>
      <c r="K303" s="66" t="s">
        <v>559</v>
      </c>
      <c r="L303" s="10" t="s">
        <v>553</v>
      </c>
      <c r="M303" s="12">
        <f t="shared" si="29"/>
        <v>0</v>
      </c>
      <c r="N303" s="12"/>
      <c r="O303" s="12"/>
      <c r="P303" s="12">
        <f t="shared" si="30"/>
        <v>2000000</v>
      </c>
      <c r="Q303" s="12">
        <v>2000000</v>
      </c>
      <c r="R303" s="12"/>
      <c r="S303" s="12">
        <f t="shared" si="31"/>
        <v>0</v>
      </c>
      <c r="T303" s="12"/>
      <c r="U303" s="12"/>
      <c r="V303" s="12">
        <f t="shared" si="32"/>
        <v>0</v>
      </c>
      <c r="W303" s="12"/>
      <c r="X303" s="12"/>
      <c r="Y303" s="12">
        <f t="shared" si="33"/>
        <v>0</v>
      </c>
      <c r="Z303" s="12"/>
      <c r="AA303" s="12"/>
      <c r="AB303" s="13">
        <f t="shared" si="34"/>
        <v>0</v>
      </c>
      <c r="AC303" s="14">
        <v>46094</v>
      </c>
    </row>
    <row r="304" spans="1:29" ht="15.75" x14ac:dyDescent="0.25">
      <c r="A304" s="65">
        <v>46080</v>
      </c>
      <c r="B304" s="66" t="s">
        <v>69</v>
      </c>
      <c r="C304" s="10"/>
      <c r="D304" s="66" t="s">
        <v>383</v>
      </c>
      <c r="E304" s="10" t="s">
        <v>70</v>
      </c>
      <c r="F304" s="10">
        <v>100</v>
      </c>
      <c r="G304" s="10" t="s">
        <v>36</v>
      </c>
      <c r="H304" s="10">
        <v>55000</v>
      </c>
      <c r="I304" s="10">
        <f t="shared" si="28"/>
        <v>5500000</v>
      </c>
      <c r="J304" s="84" t="s">
        <v>110</v>
      </c>
      <c r="K304" s="66" t="s">
        <v>559</v>
      </c>
      <c r="L304" s="10" t="s">
        <v>553</v>
      </c>
      <c r="M304" s="12">
        <f t="shared" si="29"/>
        <v>0</v>
      </c>
      <c r="N304" s="12"/>
      <c r="O304" s="12"/>
      <c r="P304" s="12">
        <f t="shared" si="30"/>
        <v>5500000</v>
      </c>
      <c r="Q304" s="12">
        <v>5500000</v>
      </c>
      <c r="R304" s="12"/>
      <c r="S304" s="12">
        <f t="shared" si="31"/>
        <v>0</v>
      </c>
      <c r="T304" s="12"/>
      <c r="U304" s="12"/>
      <c r="V304" s="12">
        <f t="shared" si="32"/>
        <v>0</v>
      </c>
      <c r="W304" s="12"/>
      <c r="X304" s="12"/>
      <c r="Y304" s="12">
        <f t="shared" si="33"/>
        <v>0</v>
      </c>
      <c r="Z304" s="12"/>
      <c r="AA304" s="12"/>
      <c r="AB304" s="13">
        <f t="shared" si="34"/>
        <v>0</v>
      </c>
      <c r="AC304" s="14">
        <v>46094</v>
      </c>
    </row>
    <row r="305" spans="1:29" ht="15.75" x14ac:dyDescent="0.25">
      <c r="A305" s="65">
        <v>46080</v>
      </c>
      <c r="B305" s="66" t="s">
        <v>69</v>
      </c>
      <c r="C305" s="10"/>
      <c r="D305" s="66" t="s">
        <v>383</v>
      </c>
      <c r="E305" s="10" t="s">
        <v>80</v>
      </c>
      <c r="F305" s="10">
        <v>45.1</v>
      </c>
      <c r="G305" s="10" t="s">
        <v>36</v>
      </c>
      <c r="H305" s="10">
        <v>43000</v>
      </c>
      <c r="I305" s="10">
        <f t="shared" si="28"/>
        <v>1939300</v>
      </c>
      <c r="J305" s="84" t="s">
        <v>110</v>
      </c>
      <c r="K305" s="66" t="s">
        <v>559</v>
      </c>
      <c r="L305" s="10" t="s">
        <v>553</v>
      </c>
      <c r="M305" s="12">
        <f t="shared" si="29"/>
        <v>0</v>
      </c>
      <c r="N305" s="12"/>
      <c r="O305" s="12"/>
      <c r="P305" s="12">
        <f t="shared" si="30"/>
        <v>1939300</v>
      </c>
      <c r="Q305" s="12">
        <v>1939300</v>
      </c>
      <c r="R305" s="12"/>
      <c r="S305" s="12">
        <f t="shared" si="31"/>
        <v>0</v>
      </c>
      <c r="T305" s="12"/>
      <c r="U305" s="12"/>
      <c r="V305" s="12">
        <f t="shared" si="32"/>
        <v>0</v>
      </c>
      <c r="W305" s="12"/>
      <c r="X305" s="12"/>
      <c r="Y305" s="12">
        <f t="shared" si="33"/>
        <v>0</v>
      </c>
      <c r="Z305" s="12"/>
      <c r="AA305" s="12"/>
      <c r="AB305" s="13">
        <f t="shared" si="34"/>
        <v>0</v>
      </c>
      <c r="AC305" s="14">
        <v>46086</v>
      </c>
    </row>
    <row r="306" spans="1:29" ht="15.75" x14ac:dyDescent="0.25">
      <c r="A306" s="65">
        <v>46080</v>
      </c>
      <c r="B306" s="10" t="s">
        <v>272</v>
      </c>
      <c r="C306" s="10"/>
      <c r="D306" s="10"/>
      <c r="E306" s="10" t="s">
        <v>46</v>
      </c>
      <c r="F306" s="10">
        <v>48.6</v>
      </c>
      <c r="G306" s="10" t="s">
        <v>36</v>
      </c>
      <c r="H306" s="10">
        <v>100000</v>
      </c>
      <c r="I306" s="10">
        <f t="shared" si="28"/>
        <v>4860000</v>
      </c>
      <c r="J306" s="86" t="s">
        <v>30</v>
      </c>
      <c r="K306" s="10"/>
      <c r="L306" s="10"/>
      <c r="M306" s="12">
        <f t="shared" si="29"/>
        <v>0</v>
      </c>
      <c r="N306" s="12"/>
      <c r="O306" s="12"/>
      <c r="P306" s="12">
        <f t="shared" si="30"/>
        <v>0</v>
      </c>
      <c r="Q306" s="12"/>
      <c r="R306" s="12"/>
      <c r="S306" s="12">
        <f t="shared" si="31"/>
        <v>0</v>
      </c>
      <c r="T306" s="12"/>
      <c r="U306" s="12"/>
      <c r="V306" s="12">
        <f t="shared" si="32"/>
        <v>0</v>
      </c>
      <c r="W306" s="12"/>
      <c r="X306" s="12"/>
      <c r="Y306" s="12">
        <f t="shared" si="33"/>
        <v>0</v>
      </c>
      <c r="Z306" s="12"/>
      <c r="AA306" s="12"/>
      <c r="AB306" s="13">
        <f t="shared" si="34"/>
        <v>4860000</v>
      </c>
      <c r="AC306" s="14"/>
    </row>
    <row r="307" spans="1:29" ht="15.75" x14ac:dyDescent="0.25">
      <c r="A307" s="28">
        <v>46080</v>
      </c>
      <c r="B307" s="10" t="s">
        <v>272</v>
      </c>
      <c r="C307" s="10"/>
      <c r="D307" s="10"/>
      <c r="E307" s="10" t="s">
        <v>315</v>
      </c>
      <c r="F307" s="10">
        <v>56</v>
      </c>
      <c r="G307" s="10" t="s">
        <v>36</v>
      </c>
      <c r="H307" s="10">
        <v>43000</v>
      </c>
      <c r="I307" s="10">
        <f t="shared" si="28"/>
        <v>2408000</v>
      </c>
      <c r="J307" s="115" t="s">
        <v>90</v>
      </c>
      <c r="K307" s="10"/>
      <c r="L307" s="10"/>
      <c r="M307" s="12">
        <f t="shared" si="29"/>
        <v>0</v>
      </c>
      <c r="N307" s="12"/>
      <c r="O307" s="12"/>
      <c r="P307" s="12">
        <f t="shared" si="30"/>
        <v>0</v>
      </c>
      <c r="Q307" s="12"/>
      <c r="R307" s="12"/>
      <c r="S307" s="12">
        <f t="shared" si="31"/>
        <v>0</v>
      </c>
      <c r="T307" s="12"/>
      <c r="U307" s="12"/>
      <c r="V307" s="12">
        <f t="shared" si="32"/>
        <v>0</v>
      </c>
      <c r="W307" s="12"/>
      <c r="X307" s="12"/>
      <c r="Y307" s="12">
        <f t="shared" si="33"/>
        <v>0</v>
      </c>
      <c r="Z307" s="12"/>
      <c r="AA307" s="12"/>
      <c r="AB307" s="13">
        <f t="shared" si="34"/>
        <v>2408000</v>
      </c>
      <c r="AC307" s="14"/>
    </row>
    <row r="308" spans="1:29" ht="15.75" x14ac:dyDescent="0.25">
      <c r="A308" s="65">
        <v>46080</v>
      </c>
      <c r="B308" s="10" t="s">
        <v>272</v>
      </c>
      <c r="C308" s="10"/>
      <c r="D308" s="10"/>
      <c r="E308" s="10" t="s">
        <v>304</v>
      </c>
      <c r="F308" s="10">
        <v>35.5</v>
      </c>
      <c r="G308" s="10" t="s">
        <v>36</v>
      </c>
      <c r="H308" s="10">
        <v>90000</v>
      </c>
      <c r="I308" s="10">
        <f t="shared" si="28"/>
        <v>3195000</v>
      </c>
      <c r="J308" s="86" t="s">
        <v>30</v>
      </c>
      <c r="K308" s="10"/>
      <c r="L308" s="10"/>
      <c r="M308" s="12">
        <f t="shared" si="29"/>
        <v>0</v>
      </c>
      <c r="N308" s="12"/>
      <c r="O308" s="12"/>
      <c r="P308" s="12">
        <f t="shared" si="30"/>
        <v>0</v>
      </c>
      <c r="Q308" s="12"/>
      <c r="R308" s="12"/>
      <c r="S308" s="12">
        <f t="shared" si="31"/>
        <v>0</v>
      </c>
      <c r="T308" s="12"/>
      <c r="U308" s="12"/>
      <c r="V308" s="12">
        <f t="shared" si="32"/>
        <v>0</v>
      </c>
      <c r="W308" s="12"/>
      <c r="X308" s="12"/>
      <c r="Y308" s="12">
        <f t="shared" si="33"/>
        <v>0</v>
      </c>
      <c r="Z308" s="12"/>
      <c r="AA308" s="12"/>
      <c r="AB308" s="13">
        <f t="shared" si="34"/>
        <v>3195000</v>
      </c>
      <c r="AC308" s="14"/>
    </row>
    <row r="309" spans="1:29" s="148" customFormat="1" ht="16.5" thickBot="1" x14ac:dyDescent="0.3">
      <c r="A309" s="28">
        <v>46080</v>
      </c>
      <c r="B309" s="10" t="s">
        <v>272</v>
      </c>
      <c r="C309" s="10"/>
      <c r="D309" s="10"/>
      <c r="E309" s="10" t="s">
        <v>377</v>
      </c>
      <c r="F309" s="10">
        <v>97.2</v>
      </c>
      <c r="G309" s="10" t="s">
        <v>36</v>
      </c>
      <c r="H309" s="10">
        <v>43000</v>
      </c>
      <c r="I309" s="10">
        <f t="shared" si="28"/>
        <v>4179600</v>
      </c>
      <c r="J309" s="115" t="s">
        <v>90</v>
      </c>
      <c r="K309" s="10"/>
      <c r="L309" s="10"/>
      <c r="M309" s="12">
        <f t="shared" si="29"/>
        <v>0</v>
      </c>
      <c r="N309" s="12"/>
      <c r="O309" s="12"/>
      <c r="P309" s="12">
        <f t="shared" si="30"/>
        <v>0</v>
      </c>
      <c r="Q309" s="12"/>
      <c r="R309" s="12"/>
      <c r="S309" s="12">
        <f t="shared" si="31"/>
        <v>0</v>
      </c>
      <c r="T309" s="12"/>
      <c r="U309" s="12"/>
      <c r="V309" s="12">
        <f t="shared" si="32"/>
        <v>0</v>
      </c>
      <c r="W309" s="12"/>
      <c r="X309" s="12"/>
      <c r="Y309" s="12">
        <f t="shared" si="33"/>
        <v>0</v>
      </c>
      <c r="Z309" s="12"/>
      <c r="AA309" s="12"/>
      <c r="AB309" s="13">
        <f t="shared" si="34"/>
        <v>4179600</v>
      </c>
      <c r="AC309" s="14"/>
    </row>
    <row r="310" spans="1:29" ht="15.75" x14ac:dyDescent="0.25">
      <c r="A310" s="65">
        <v>46080</v>
      </c>
      <c r="B310" s="10" t="s">
        <v>200</v>
      </c>
      <c r="C310" s="10"/>
      <c r="D310" s="10" t="s">
        <v>383</v>
      </c>
      <c r="E310" s="10" t="s">
        <v>201</v>
      </c>
      <c r="F310" s="10">
        <v>500</v>
      </c>
      <c r="G310" s="10" t="s">
        <v>39</v>
      </c>
      <c r="H310" s="10">
        <v>42500</v>
      </c>
      <c r="I310" s="10">
        <f t="shared" si="28"/>
        <v>21250000</v>
      </c>
      <c r="J310" s="52" t="s">
        <v>90</v>
      </c>
      <c r="K310" s="10" t="s">
        <v>497</v>
      </c>
      <c r="L310" s="10"/>
      <c r="M310" s="12">
        <f t="shared" si="29"/>
        <v>0</v>
      </c>
      <c r="N310" s="12"/>
      <c r="O310" s="12"/>
      <c r="P310" s="12">
        <f t="shared" si="30"/>
        <v>0</v>
      </c>
      <c r="Q310" s="12"/>
      <c r="R310" s="12"/>
      <c r="S310" s="12">
        <f t="shared" si="31"/>
        <v>0</v>
      </c>
      <c r="T310" s="12"/>
      <c r="U310" s="12"/>
      <c r="V310" s="12">
        <f t="shared" si="32"/>
        <v>0</v>
      </c>
      <c r="W310" s="12"/>
      <c r="X310" s="12"/>
      <c r="Y310" s="12">
        <f t="shared" si="33"/>
        <v>0</v>
      </c>
      <c r="Z310" s="12"/>
      <c r="AA310" s="12"/>
      <c r="AB310" s="13">
        <f t="shared" si="34"/>
        <v>21250000</v>
      </c>
      <c r="AC310" s="14"/>
    </row>
    <row r="311" spans="1:29" ht="15.75" x14ac:dyDescent="0.25">
      <c r="A311" s="65">
        <v>46080</v>
      </c>
      <c r="B311" s="10" t="s">
        <v>223</v>
      </c>
      <c r="C311" s="10"/>
      <c r="D311" s="10" t="s">
        <v>383</v>
      </c>
      <c r="E311" s="10" t="s">
        <v>104</v>
      </c>
      <c r="F311" s="10">
        <v>5000</v>
      </c>
      <c r="G311" s="10" t="s">
        <v>26</v>
      </c>
      <c r="H311" s="10">
        <v>2000</v>
      </c>
      <c r="I311" s="10">
        <f t="shared" si="28"/>
        <v>10000000</v>
      </c>
      <c r="J311" s="29" t="s">
        <v>110</v>
      </c>
      <c r="K311" s="10" t="s">
        <v>541</v>
      </c>
      <c r="L311" s="10" t="s">
        <v>560</v>
      </c>
      <c r="M311" s="12">
        <f t="shared" si="29"/>
        <v>0</v>
      </c>
      <c r="N311" s="12"/>
      <c r="O311" s="12"/>
      <c r="P311" s="12">
        <f t="shared" si="30"/>
        <v>10000000</v>
      </c>
      <c r="Q311" s="12">
        <v>10000000</v>
      </c>
      <c r="R311" s="12"/>
      <c r="S311" s="12">
        <f t="shared" si="31"/>
        <v>0</v>
      </c>
      <c r="T311" s="12"/>
      <c r="U311" s="12"/>
      <c r="V311" s="12">
        <f t="shared" si="32"/>
        <v>0</v>
      </c>
      <c r="W311" s="12"/>
      <c r="X311" s="12"/>
      <c r="Y311" s="12">
        <f t="shared" si="33"/>
        <v>0</v>
      </c>
      <c r="Z311" s="12"/>
      <c r="AA311" s="12"/>
      <c r="AB311" s="13">
        <f t="shared" si="34"/>
        <v>0</v>
      </c>
      <c r="AC311" s="14">
        <v>46085</v>
      </c>
    </row>
    <row r="312" spans="1:29" ht="15.75" x14ac:dyDescent="0.25">
      <c r="A312" s="65">
        <v>46081</v>
      </c>
      <c r="B312" s="66" t="s">
        <v>274</v>
      </c>
      <c r="C312" s="66"/>
      <c r="D312" s="66" t="s">
        <v>383</v>
      </c>
      <c r="E312" s="66" t="s">
        <v>173</v>
      </c>
      <c r="F312" s="66">
        <v>25</v>
      </c>
      <c r="G312" s="66" t="s">
        <v>36</v>
      </c>
      <c r="H312" s="66">
        <v>84700</v>
      </c>
      <c r="I312" s="66">
        <f t="shared" si="28"/>
        <v>2117500</v>
      </c>
      <c r="J312" s="84" t="s">
        <v>40</v>
      </c>
      <c r="K312" s="66"/>
      <c r="L312" s="66"/>
      <c r="M312" s="67">
        <f t="shared" si="29"/>
        <v>2362000</v>
      </c>
      <c r="N312" s="67">
        <v>2362000</v>
      </c>
      <c r="O312" s="67"/>
      <c r="P312" s="67">
        <f t="shared" si="30"/>
        <v>0</v>
      </c>
      <c r="Q312" s="67"/>
      <c r="R312" s="67"/>
      <c r="S312" s="67">
        <f t="shared" si="31"/>
        <v>0</v>
      </c>
      <c r="T312" s="67"/>
      <c r="U312" s="67"/>
      <c r="V312" s="67">
        <f t="shared" si="32"/>
        <v>0</v>
      </c>
      <c r="W312" s="67"/>
      <c r="X312" s="67"/>
      <c r="Y312" s="67">
        <f t="shared" si="33"/>
        <v>0</v>
      </c>
      <c r="Z312" s="67"/>
      <c r="AA312" s="67"/>
      <c r="AB312" s="68">
        <f t="shared" si="34"/>
        <v>-244500</v>
      </c>
      <c r="AC312" s="69">
        <v>46081</v>
      </c>
    </row>
    <row r="313" spans="1:29" ht="15.75" x14ac:dyDescent="0.25">
      <c r="A313" s="65">
        <v>46081</v>
      </c>
      <c r="B313" s="10" t="s">
        <v>562</v>
      </c>
      <c r="C313" s="10"/>
      <c r="D313" s="66" t="s">
        <v>383</v>
      </c>
      <c r="E313" s="10" t="s">
        <v>46</v>
      </c>
      <c r="F313" s="10">
        <v>96.3</v>
      </c>
      <c r="G313" s="10" t="s">
        <v>36</v>
      </c>
      <c r="H313" s="10">
        <v>110000</v>
      </c>
      <c r="I313" s="10">
        <f t="shared" si="28"/>
        <v>10593000</v>
      </c>
      <c r="J313" s="52" t="s">
        <v>30</v>
      </c>
      <c r="K313" s="88" t="s">
        <v>563</v>
      </c>
      <c r="L313" s="10"/>
      <c r="M313" s="12">
        <f t="shared" si="29"/>
        <v>0</v>
      </c>
      <c r="N313" s="12"/>
      <c r="O313" s="12"/>
      <c r="P313" s="12">
        <f t="shared" si="30"/>
        <v>0</v>
      </c>
      <c r="Q313" s="12"/>
      <c r="R313" s="12"/>
      <c r="S313" s="12">
        <f t="shared" si="31"/>
        <v>10500000</v>
      </c>
      <c r="T313" s="12">
        <v>10500000</v>
      </c>
      <c r="U313" s="12"/>
      <c r="V313" s="12">
        <f t="shared" si="32"/>
        <v>0</v>
      </c>
      <c r="W313" s="12"/>
      <c r="X313" s="12"/>
      <c r="Y313" s="12">
        <f t="shared" si="33"/>
        <v>0</v>
      </c>
      <c r="Z313" s="12"/>
      <c r="AA313" s="12"/>
      <c r="AB313" s="13">
        <f t="shared" si="34"/>
        <v>93000</v>
      </c>
      <c r="AC313" s="14">
        <v>46086</v>
      </c>
    </row>
    <row r="314" spans="1:29" ht="15.75" x14ac:dyDescent="0.25">
      <c r="A314" s="65">
        <v>46081</v>
      </c>
      <c r="B314" s="10" t="s">
        <v>272</v>
      </c>
      <c r="C314" s="10"/>
      <c r="D314" s="10"/>
      <c r="E314" s="10" t="s">
        <v>265</v>
      </c>
      <c r="F314" s="10">
        <v>45.7</v>
      </c>
      <c r="G314" s="10" t="s">
        <v>36</v>
      </c>
      <c r="H314" s="10">
        <v>43000</v>
      </c>
      <c r="I314" s="10">
        <f t="shared" si="28"/>
        <v>1965100.0000000002</v>
      </c>
      <c r="J314" s="115" t="s">
        <v>90</v>
      </c>
      <c r="K314" s="10"/>
      <c r="L314" s="10"/>
      <c r="M314" s="12">
        <f t="shared" si="29"/>
        <v>0</v>
      </c>
      <c r="N314" s="12"/>
      <c r="O314" s="12"/>
      <c r="P314" s="12">
        <f t="shared" si="30"/>
        <v>0</v>
      </c>
      <c r="Q314" s="12"/>
      <c r="R314" s="12"/>
      <c r="S314" s="12">
        <f t="shared" si="31"/>
        <v>0</v>
      </c>
      <c r="T314" s="12"/>
      <c r="U314" s="12"/>
      <c r="V314" s="12">
        <f t="shared" si="32"/>
        <v>0</v>
      </c>
      <c r="W314" s="12"/>
      <c r="X314" s="12"/>
      <c r="Y314" s="12">
        <f t="shared" si="33"/>
        <v>0</v>
      </c>
      <c r="Z314" s="12"/>
      <c r="AA314" s="12"/>
      <c r="AB314" s="13">
        <f t="shared" si="34"/>
        <v>1965100.0000000002</v>
      </c>
      <c r="AC314" s="14"/>
    </row>
    <row r="315" spans="1:29" ht="15.75" x14ac:dyDescent="0.25">
      <c r="A315" s="65">
        <v>46081</v>
      </c>
      <c r="B315" s="10" t="s">
        <v>272</v>
      </c>
      <c r="C315" s="10"/>
      <c r="D315" s="10"/>
      <c r="E315" s="10" t="s">
        <v>377</v>
      </c>
      <c r="F315" s="10">
        <v>34.1</v>
      </c>
      <c r="G315" s="10" t="s">
        <v>36</v>
      </c>
      <c r="H315" s="10">
        <v>43000</v>
      </c>
      <c r="I315" s="10">
        <f t="shared" si="28"/>
        <v>1466300</v>
      </c>
      <c r="J315" s="115" t="s">
        <v>90</v>
      </c>
      <c r="K315" s="10"/>
      <c r="L315" s="10"/>
      <c r="M315" s="12">
        <f t="shared" si="29"/>
        <v>0</v>
      </c>
      <c r="N315" s="12"/>
      <c r="O315" s="12"/>
      <c r="P315" s="12">
        <f t="shared" si="30"/>
        <v>0</v>
      </c>
      <c r="Q315" s="12"/>
      <c r="R315" s="12"/>
      <c r="S315" s="12">
        <f t="shared" si="31"/>
        <v>0</v>
      </c>
      <c r="T315" s="12"/>
      <c r="U315" s="12"/>
      <c r="V315" s="12">
        <f t="shared" si="32"/>
        <v>0</v>
      </c>
      <c r="W315" s="12"/>
      <c r="X315" s="12"/>
      <c r="Y315" s="12">
        <f t="shared" si="33"/>
        <v>0</v>
      </c>
      <c r="Z315" s="12"/>
      <c r="AA315" s="12"/>
      <c r="AB315" s="13">
        <f t="shared" si="34"/>
        <v>1466300</v>
      </c>
      <c r="AC315" s="14"/>
    </row>
    <row r="316" spans="1:29" ht="15.75" x14ac:dyDescent="0.25">
      <c r="A316" s="28">
        <v>46081</v>
      </c>
      <c r="B316" s="10" t="s">
        <v>272</v>
      </c>
      <c r="C316" s="10"/>
      <c r="D316" s="10"/>
      <c r="E316" s="10" t="s">
        <v>304</v>
      </c>
      <c r="F316" s="10">
        <v>35.4</v>
      </c>
      <c r="G316" s="10" t="s">
        <v>36</v>
      </c>
      <c r="H316" s="10">
        <v>90000</v>
      </c>
      <c r="I316" s="10">
        <f t="shared" si="28"/>
        <v>3186000</v>
      </c>
      <c r="J316" s="86" t="s">
        <v>30</v>
      </c>
      <c r="K316" s="10"/>
      <c r="L316" s="10"/>
      <c r="M316" s="12">
        <f t="shared" si="29"/>
        <v>0</v>
      </c>
      <c r="N316" s="12"/>
      <c r="O316" s="12"/>
      <c r="P316" s="12">
        <f t="shared" si="30"/>
        <v>0</v>
      </c>
      <c r="Q316" s="12"/>
      <c r="R316" s="12"/>
      <c r="S316" s="12">
        <f t="shared" si="31"/>
        <v>0</v>
      </c>
      <c r="T316" s="12"/>
      <c r="U316" s="12"/>
      <c r="V316" s="12">
        <f t="shared" si="32"/>
        <v>0</v>
      </c>
      <c r="W316" s="12"/>
      <c r="X316" s="12"/>
      <c r="Y316" s="12">
        <f t="shared" si="33"/>
        <v>0</v>
      </c>
      <c r="Z316" s="12"/>
      <c r="AA316" s="12"/>
      <c r="AB316" s="13">
        <f t="shared" si="34"/>
        <v>3186000</v>
      </c>
      <c r="AC316" s="14"/>
    </row>
    <row r="317" spans="1:29" ht="16.5" thickBot="1" x14ac:dyDescent="0.3">
      <c r="A317" s="53">
        <v>46081</v>
      </c>
      <c r="B317" s="31" t="s">
        <v>272</v>
      </c>
      <c r="C317" s="31"/>
      <c r="D317" s="31"/>
      <c r="E317" s="31" t="s">
        <v>168</v>
      </c>
      <c r="F317" s="31">
        <v>31.8</v>
      </c>
      <c r="G317" s="31" t="s">
        <v>36</v>
      </c>
      <c r="H317" s="31">
        <v>43000</v>
      </c>
      <c r="I317" s="31">
        <f t="shared" si="28"/>
        <v>1367400</v>
      </c>
      <c r="J317" s="116" t="s">
        <v>90</v>
      </c>
      <c r="K317" s="31"/>
      <c r="L317" s="31"/>
      <c r="M317" s="34">
        <f t="shared" si="29"/>
        <v>0</v>
      </c>
      <c r="N317" s="34"/>
      <c r="O317" s="34"/>
      <c r="P317" s="34">
        <f t="shared" si="30"/>
        <v>0</v>
      </c>
      <c r="Q317" s="34"/>
      <c r="R317" s="34"/>
      <c r="S317" s="34">
        <f t="shared" si="31"/>
        <v>0</v>
      </c>
      <c r="T317" s="34"/>
      <c r="U317" s="34"/>
      <c r="V317" s="34">
        <f t="shared" si="32"/>
        <v>0</v>
      </c>
      <c r="W317" s="34"/>
      <c r="X317" s="34"/>
      <c r="Y317" s="34">
        <f t="shared" si="33"/>
        <v>0</v>
      </c>
      <c r="Z317" s="34"/>
      <c r="AA317" s="34"/>
      <c r="AB317" s="35">
        <f t="shared" si="34"/>
        <v>1367400</v>
      </c>
      <c r="AC317" s="36"/>
    </row>
    <row r="318" spans="1:29" ht="15.75" x14ac:dyDescent="0.25">
      <c r="A318" s="28">
        <v>46083</v>
      </c>
      <c r="B318" s="10" t="s">
        <v>329</v>
      </c>
      <c r="C318" s="10"/>
      <c r="D318" s="10" t="s">
        <v>195</v>
      </c>
      <c r="E318" s="10" t="s">
        <v>114</v>
      </c>
      <c r="F318" s="10">
        <v>10</v>
      </c>
      <c r="G318" s="10" t="s">
        <v>67</v>
      </c>
      <c r="H318" s="10">
        <v>50000</v>
      </c>
      <c r="I318" s="10">
        <f t="shared" si="28"/>
        <v>500000</v>
      </c>
      <c r="J318" s="84" t="s">
        <v>113</v>
      </c>
      <c r="K318" s="10"/>
      <c r="L318" s="10"/>
      <c r="M318" s="12">
        <f t="shared" si="29"/>
        <v>0</v>
      </c>
      <c r="N318" s="12"/>
      <c r="O318" s="12"/>
      <c r="P318" s="12">
        <f t="shared" si="30"/>
        <v>0</v>
      </c>
      <c r="Q318" s="12"/>
      <c r="R318" s="12"/>
      <c r="S318" s="12">
        <f t="shared" si="31"/>
        <v>0</v>
      </c>
      <c r="T318" s="12"/>
      <c r="U318" s="12"/>
      <c r="V318" s="12">
        <f t="shared" si="32"/>
        <v>500000</v>
      </c>
      <c r="W318" s="12">
        <v>500000</v>
      </c>
      <c r="X318" s="12"/>
      <c r="Y318" s="12">
        <f t="shared" si="33"/>
        <v>0</v>
      </c>
      <c r="Z318" s="12"/>
      <c r="AA318" s="12"/>
      <c r="AB318" s="13">
        <f t="shared" si="34"/>
        <v>0</v>
      </c>
      <c r="AC318" s="14">
        <v>46083</v>
      </c>
    </row>
    <row r="319" spans="1:29" ht="15.75" x14ac:dyDescent="0.25">
      <c r="A319" s="28">
        <v>46083</v>
      </c>
      <c r="B319" s="10" t="s">
        <v>234</v>
      </c>
      <c r="C319" s="10"/>
      <c r="D319" s="10" t="s">
        <v>383</v>
      </c>
      <c r="E319" s="10" t="s">
        <v>104</v>
      </c>
      <c r="F319" s="10">
        <v>20800</v>
      </c>
      <c r="G319" s="10" t="s">
        <v>26</v>
      </c>
      <c r="H319" s="10">
        <v>1900</v>
      </c>
      <c r="I319" s="10">
        <f t="shared" si="28"/>
        <v>39520000</v>
      </c>
      <c r="J319" s="29" t="s">
        <v>110</v>
      </c>
      <c r="K319" s="10" t="s">
        <v>497</v>
      </c>
      <c r="L319" s="10" t="s">
        <v>568</v>
      </c>
      <c r="M319" s="12">
        <f t="shared" si="29"/>
        <v>0</v>
      </c>
      <c r="N319" s="12"/>
      <c r="O319" s="12"/>
      <c r="P319" s="12">
        <f t="shared" si="30"/>
        <v>39520000</v>
      </c>
      <c r="Q319" s="12">
        <v>39520000</v>
      </c>
      <c r="R319" s="12"/>
      <c r="S319" s="12">
        <f t="shared" si="31"/>
        <v>0</v>
      </c>
      <c r="T319" s="12"/>
      <c r="U319" s="12"/>
      <c r="V319" s="12">
        <f t="shared" si="32"/>
        <v>0</v>
      </c>
      <c r="W319" s="12"/>
      <c r="X319" s="12"/>
      <c r="Y319" s="12">
        <f t="shared" si="33"/>
        <v>0</v>
      </c>
      <c r="Z319" s="12"/>
      <c r="AA319" s="12"/>
      <c r="AB319" s="13">
        <f t="shared" si="34"/>
        <v>0</v>
      </c>
      <c r="AC319" s="14">
        <v>46094</v>
      </c>
    </row>
    <row r="320" spans="1:29" ht="15.75" x14ac:dyDescent="0.25">
      <c r="A320" s="28">
        <v>46083</v>
      </c>
      <c r="B320" s="10" t="s">
        <v>158</v>
      </c>
      <c r="C320" s="10"/>
      <c r="D320" s="10" t="s">
        <v>383</v>
      </c>
      <c r="E320" s="10" t="s">
        <v>104</v>
      </c>
      <c r="F320" s="10">
        <v>10400</v>
      </c>
      <c r="G320" s="10" t="s">
        <v>26</v>
      </c>
      <c r="H320" s="10">
        <v>1850</v>
      </c>
      <c r="I320" s="10">
        <f t="shared" si="28"/>
        <v>19240000</v>
      </c>
      <c r="J320" s="52" t="s">
        <v>90</v>
      </c>
      <c r="K320" s="10" t="s">
        <v>646</v>
      </c>
      <c r="L320" s="10"/>
      <c r="M320" s="12">
        <f t="shared" si="29"/>
        <v>0</v>
      </c>
      <c r="N320" s="12"/>
      <c r="O320" s="12"/>
      <c r="P320" s="12">
        <f t="shared" si="30"/>
        <v>0</v>
      </c>
      <c r="Q320" s="12"/>
      <c r="R320" s="12"/>
      <c r="S320" s="12">
        <f t="shared" si="31"/>
        <v>0</v>
      </c>
      <c r="T320" s="12"/>
      <c r="U320" s="12"/>
      <c r="V320" s="12">
        <f t="shared" si="32"/>
        <v>0</v>
      </c>
      <c r="W320" s="12"/>
      <c r="X320" s="12"/>
      <c r="Y320" s="12">
        <f t="shared" si="33"/>
        <v>0</v>
      </c>
      <c r="Z320" s="12"/>
      <c r="AA320" s="12"/>
      <c r="AB320" s="13">
        <f t="shared" si="34"/>
        <v>19240000</v>
      </c>
      <c r="AC320" s="14"/>
    </row>
    <row r="321" spans="1:29" ht="15.75" x14ac:dyDescent="0.25">
      <c r="A321" s="28">
        <v>46083</v>
      </c>
      <c r="B321" s="10" t="s">
        <v>124</v>
      </c>
      <c r="C321" s="10"/>
      <c r="D321" s="10" t="s">
        <v>195</v>
      </c>
      <c r="E321" s="10" t="s">
        <v>160</v>
      </c>
      <c r="F321" s="10">
        <v>2</v>
      </c>
      <c r="G321" s="10" t="s">
        <v>22</v>
      </c>
      <c r="H321" s="10">
        <v>400000</v>
      </c>
      <c r="I321" s="10">
        <f t="shared" si="28"/>
        <v>800000</v>
      </c>
      <c r="J321" s="29" t="s">
        <v>110</v>
      </c>
      <c r="K321" s="10"/>
      <c r="L321" s="10" t="s">
        <v>567</v>
      </c>
      <c r="M321" s="12">
        <f t="shared" si="29"/>
        <v>0</v>
      </c>
      <c r="N321" s="12"/>
      <c r="O321" s="12"/>
      <c r="P321" s="12">
        <f t="shared" si="30"/>
        <v>800000</v>
      </c>
      <c r="Q321" s="12">
        <v>800000</v>
      </c>
      <c r="R321" s="12"/>
      <c r="S321" s="12">
        <f t="shared" si="31"/>
        <v>0</v>
      </c>
      <c r="T321" s="12"/>
      <c r="U321" s="12"/>
      <c r="V321" s="12">
        <f t="shared" si="32"/>
        <v>0</v>
      </c>
      <c r="W321" s="12"/>
      <c r="X321" s="12"/>
      <c r="Y321" s="12">
        <f t="shared" si="33"/>
        <v>0</v>
      </c>
      <c r="Z321" s="12"/>
      <c r="AA321" s="12"/>
      <c r="AB321" s="13">
        <f t="shared" si="34"/>
        <v>0</v>
      </c>
      <c r="AC321" s="14">
        <v>46083</v>
      </c>
    </row>
    <row r="322" spans="1:29" ht="15.75" x14ac:dyDescent="0.25">
      <c r="A322" s="28">
        <v>46083</v>
      </c>
      <c r="B322" s="10" t="s">
        <v>564</v>
      </c>
      <c r="C322" s="10"/>
      <c r="D322" s="10" t="s">
        <v>195</v>
      </c>
      <c r="E322" s="10" t="s">
        <v>116</v>
      </c>
      <c r="F322" s="10">
        <v>12</v>
      </c>
      <c r="G322" s="10" t="s">
        <v>67</v>
      </c>
      <c r="H322" s="10">
        <v>65000</v>
      </c>
      <c r="I322" s="10">
        <f t="shared" si="28"/>
        <v>780000</v>
      </c>
      <c r="J322" s="29" t="s">
        <v>110</v>
      </c>
      <c r="K322" s="10"/>
      <c r="L322" s="10" t="s">
        <v>569</v>
      </c>
      <c r="M322" s="12">
        <f t="shared" si="29"/>
        <v>0</v>
      </c>
      <c r="N322" s="12"/>
      <c r="O322" s="12"/>
      <c r="P322" s="12">
        <f t="shared" si="30"/>
        <v>780000</v>
      </c>
      <c r="Q322" s="12">
        <v>780000</v>
      </c>
      <c r="R322" s="12"/>
      <c r="S322" s="12">
        <f t="shared" si="31"/>
        <v>0</v>
      </c>
      <c r="T322" s="12"/>
      <c r="U322" s="12"/>
      <c r="V322" s="12">
        <f t="shared" si="32"/>
        <v>0</v>
      </c>
      <c r="W322" s="12"/>
      <c r="X322" s="12"/>
      <c r="Y322" s="12">
        <f t="shared" si="33"/>
        <v>0</v>
      </c>
      <c r="Z322" s="12"/>
      <c r="AA322" s="12"/>
      <c r="AB322" s="13">
        <f t="shared" si="34"/>
        <v>0</v>
      </c>
      <c r="AC322" s="14">
        <v>46083</v>
      </c>
    </row>
    <row r="323" spans="1:29" ht="15.75" x14ac:dyDescent="0.25">
      <c r="A323" s="28">
        <v>46083</v>
      </c>
      <c r="B323" s="10" t="s">
        <v>565</v>
      </c>
      <c r="C323" s="10"/>
      <c r="D323" s="10" t="s">
        <v>195</v>
      </c>
      <c r="E323" s="10" t="s">
        <v>177</v>
      </c>
      <c r="F323" s="10">
        <v>1</v>
      </c>
      <c r="G323" s="10" t="s">
        <v>61</v>
      </c>
      <c r="H323" s="10">
        <v>450000</v>
      </c>
      <c r="I323" s="10">
        <f t="shared" si="28"/>
        <v>450000</v>
      </c>
      <c r="J323" s="29" t="s">
        <v>113</v>
      </c>
      <c r="K323" s="10"/>
      <c r="L323" s="10"/>
      <c r="M323" s="12">
        <f t="shared" si="29"/>
        <v>0</v>
      </c>
      <c r="N323" s="12"/>
      <c r="O323" s="12"/>
      <c r="P323" s="12">
        <f t="shared" si="30"/>
        <v>0</v>
      </c>
      <c r="Q323" s="12"/>
      <c r="R323" s="12"/>
      <c r="S323" s="12">
        <f t="shared" si="31"/>
        <v>0</v>
      </c>
      <c r="T323" s="12"/>
      <c r="U323" s="12"/>
      <c r="V323" s="12">
        <f t="shared" si="32"/>
        <v>450000</v>
      </c>
      <c r="W323" s="12">
        <v>450000</v>
      </c>
      <c r="X323" s="12"/>
      <c r="Y323" s="12">
        <f t="shared" si="33"/>
        <v>0</v>
      </c>
      <c r="Z323" s="12"/>
      <c r="AA323" s="12"/>
      <c r="AB323" s="13">
        <f t="shared" si="34"/>
        <v>0</v>
      </c>
      <c r="AC323" s="14">
        <v>46083</v>
      </c>
    </row>
    <row r="324" spans="1:29" ht="15.75" x14ac:dyDescent="0.25">
      <c r="A324" s="28">
        <v>46083</v>
      </c>
      <c r="B324" s="10" t="s">
        <v>330</v>
      </c>
      <c r="C324" s="10"/>
      <c r="D324" s="10" t="s">
        <v>195</v>
      </c>
      <c r="E324" s="10" t="s">
        <v>116</v>
      </c>
      <c r="F324" s="10">
        <v>24</v>
      </c>
      <c r="G324" s="10" t="s">
        <v>67</v>
      </c>
      <c r="H324" s="10">
        <v>65000</v>
      </c>
      <c r="I324" s="10">
        <f t="shared" si="28"/>
        <v>1560000</v>
      </c>
      <c r="J324" s="29" t="s">
        <v>113</v>
      </c>
      <c r="K324" s="10"/>
      <c r="L324" s="10"/>
      <c r="M324" s="12">
        <f t="shared" si="29"/>
        <v>1560000</v>
      </c>
      <c r="N324" s="12">
        <v>1560000</v>
      </c>
      <c r="O324" s="12"/>
      <c r="P324" s="12">
        <f t="shared" si="30"/>
        <v>0</v>
      </c>
      <c r="Q324" s="12"/>
      <c r="R324" s="12"/>
      <c r="S324" s="12">
        <f t="shared" si="31"/>
        <v>0</v>
      </c>
      <c r="T324" s="12"/>
      <c r="U324" s="12"/>
      <c r="V324" s="12">
        <f t="shared" si="32"/>
        <v>0</v>
      </c>
      <c r="W324" s="12"/>
      <c r="X324" s="12"/>
      <c r="Y324" s="12">
        <f t="shared" si="33"/>
        <v>0</v>
      </c>
      <c r="Z324" s="12"/>
      <c r="AA324" s="12"/>
      <c r="AB324" s="13">
        <f t="shared" si="34"/>
        <v>0</v>
      </c>
      <c r="AC324" s="14">
        <v>46083</v>
      </c>
    </row>
    <row r="325" spans="1:29" ht="15.75" x14ac:dyDescent="0.25">
      <c r="A325" s="28">
        <v>46083</v>
      </c>
      <c r="B325" s="10" t="s">
        <v>330</v>
      </c>
      <c r="C325" s="10"/>
      <c r="D325" s="10" t="s">
        <v>195</v>
      </c>
      <c r="E325" s="10" t="s">
        <v>130</v>
      </c>
      <c r="F325" s="10">
        <v>40</v>
      </c>
      <c r="G325" s="10" t="s">
        <v>67</v>
      </c>
      <c r="H325" s="10">
        <v>50000</v>
      </c>
      <c r="I325" s="10">
        <f t="shared" ref="I325:I388" si="35">F325*H325</f>
        <v>2000000</v>
      </c>
      <c r="J325" s="29" t="s">
        <v>113</v>
      </c>
      <c r="K325" s="10"/>
      <c r="L325" s="10"/>
      <c r="M325" s="12">
        <f t="shared" ref="M325:M388" si="36">N325+O325</f>
        <v>2000000</v>
      </c>
      <c r="N325" s="12">
        <v>2000000</v>
      </c>
      <c r="O325" s="12"/>
      <c r="P325" s="12">
        <f t="shared" ref="P325:P388" si="37">Q325+R325</f>
        <v>0</v>
      </c>
      <c r="Q325" s="12"/>
      <c r="R325" s="12"/>
      <c r="S325" s="12">
        <f t="shared" ref="S325:S388" si="38">T325+U325</f>
        <v>0</v>
      </c>
      <c r="T325" s="12"/>
      <c r="U325" s="12"/>
      <c r="V325" s="12">
        <f t="shared" ref="V325:V388" si="39">W325+X325</f>
        <v>0</v>
      </c>
      <c r="W325" s="12"/>
      <c r="X325" s="12"/>
      <c r="Y325" s="12">
        <f t="shared" ref="Y325:Y388" si="40">Z325+AA325</f>
        <v>0</v>
      </c>
      <c r="Z325" s="12"/>
      <c r="AA325" s="12"/>
      <c r="AB325" s="13">
        <f t="shared" ref="AB325:AB388" si="41">C325+I325-M325-P325-V325-Y325-S325</f>
        <v>0</v>
      </c>
      <c r="AC325" s="14">
        <v>46083</v>
      </c>
    </row>
    <row r="326" spans="1:29" ht="15.75" x14ac:dyDescent="0.25">
      <c r="A326" s="28">
        <v>46083</v>
      </c>
      <c r="B326" s="10" t="s">
        <v>330</v>
      </c>
      <c r="C326" s="10"/>
      <c r="D326" s="10" t="s">
        <v>195</v>
      </c>
      <c r="E326" s="10" t="s">
        <v>114</v>
      </c>
      <c r="F326" s="10">
        <v>40</v>
      </c>
      <c r="G326" s="10" t="s">
        <v>67</v>
      </c>
      <c r="H326" s="10">
        <v>50000</v>
      </c>
      <c r="I326" s="10">
        <f t="shared" si="35"/>
        <v>2000000</v>
      </c>
      <c r="J326" s="29" t="s">
        <v>113</v>
      </c>
      <c r="K326" s="10"/>
      <c r="L326" s="10"/>
      <c r="M326" s="12">
        <f t="shared" si="36"/>
        <v>2000000</v>
      </c>
      <c r="N326" s="12">
        <v>2000000</v>
      </c>
      <c r="O326" s="12"/>
      <c r="P326" s="12">
        <f t="shared" si="37"/>
        <v>0</v>
      </c>
      <c r="Q326" s="12"/>
      <c r="R326" s="12"/>
      <c r="S326" s="12">
        <f t="shared" si="38"/>
        <v>0</v>
      </c>
      <c r="T326" s="12"/>
      <c r="U326" s="12"/>
      <c r="V326" s="12">
        <f t="shared" si="39"/>
        <v>0</v>
      </c>
      <c r="W326" s="12"/>
      <c r="X326" s="12"/>
      <c r="Y326" s="12">
        <f t="shared" si="40"/>
        <v>0</v>
      </c>
      <c r="Z326" s="12"/>
      <c r="AA326" s="12"/>
      <c r="AB326" s="13">
        <f t="shared" si="41"/>
        <v>0</v>
      </c>
      <c r="AC326" s="14">
        <v>46083</v>
      </c>
    </row>
    <row r="327" spans="1:29" ht="15.75" x14ac:dyDescent="0.25">
      <c r="A327" s="28">
        <v>46083</v>
      </c>
      <c r="B327" s="10" t="s">
        <v>55</v>
      </c>
      <c r="C327" s="10"/>
      <c r="D327" s="10" t="s">
        <v>195</v>
      </c>
      <c r="E327" s="10" t="s">
        <v>104</v>
      </c>
      <c r="F327" s="10">
        <v>2000</v>
      </c>
      <c r="G327" s="10" t="s">
        <v>26</v>
      </c>
      <c r="H327" s="10">
        <v>2000</v>
      </c>
      <c r="I327" s="10">
        <f t="shared" si="35"/>
        <v>4000000</v>
      </c>
      <c r="J327" s="29" t="s">
        <v>110</v>
      </c>
      <c r="K327" s="10"/>
      <c r="L327" s="10" t="s">
        <v>555</v>
      </c>
      <c r="M327" s="12">
        <f t="shared" si="36"/>
        <v>0</v>
      </c>
      <c r="N327" s="12"/>
      <c r="O327" s="12"/>
      <c r="P327" s="12">
        <f t="shared" si="37"/>
        <v>4000000</v>
      </c>
      <c r="Q327" s="12">
        <v>4000000</v>
      </c>
      <c r="R327" s="12"/>
      <c r="S327" s="12">
        <f t="shared" si="38"/>
        <v>0</v>
      </c>
      <c r="T327" s="12"/>
      <c r="U327" s="12"/>
      <c r="V327" s="12">
        <f t="shared" si="39"/>
        <v>0</v>
      </c>
      <c r="W327" s="12"/>
      <c r="X327" s="12"/>
      <c r="Y327" s="12">
        <f t="shared" si="40"/>
        <v>0</v>
      </c>
      <c r="Z327" s="12"/>
      <c r="AA327" s="12"/>
      <c r="AB327" s="13">
        <f t="shared" si="41"/>
        <v>0</v>
      </c>
      <c r="AC327" s="14">
        <v>46083</v>
      </c>
    </row>
    <row r="328" spans="1:29" ht="15.75" x14ac:dyDescent="0.25">
      <c r="A328" s="28">
        <v>46083</v>
      </c>
      <c r="B328" s="10" t="s">
        <v>272</v>
      </c>
      <c r="C328" s="10"/>
      <c r="D328" s="10"/>
      <c r="E328" s="10" t="s">
        <v>168</v>
      </c>
      <c r="F328" s="10">
        <v>62.9</v>
      </c>
      <c r="G328" s="10" t="s">
        <v>36</v>
      </c>
      <c r="H328" s="10">
        <v>43000</v>
      </c>
      <c r="I328" s="10">
        <f t="shared" si="35"/>
        <v>2704700</v>
      </c>
      <c r="J328" s="115" t="s">
        <v>90</v>
      </c>
      <c r="K328" s="10"/>
      <c r="L328" s="10"/>
      <c r="M328" s="12">
        <f t="shared" si="36"/>
        <v>0</v>
      </c>
      <c r="N328" s="12"/>
      <c r="O328" s="12"/>
      <c r="P328" s="12">
        <f t="shared" si="37"/>
        <v>0</v>
      </c>
      <c r="Q328" s="12"/>
      <c r="R328" s="12"/>
      <c r="S328" s="12">
        <f t="shared" si="38"/>
        <v>0</v>
      </c>
      <c r="T328" s="12"/>
      <c r="U328" s="12"/>
      <c r="V328" s="12">
        <f t="shared" si="39"/>
        <v>0</v>
      </c>
      <c r="W328" s="12"/>
      <c r="X328" s="12"/>
      <c r="Y328" s="12">
        <f t="shared" si="40"/>
        <v>0</v>
      </c>
      <c r="Z328" s="12"/>
      <c r="AA328" s="12"/>
      <c r="AB328" s="13">
        <f t="shared" si="41"/>
        <v>2704700</v>
      </c>
      <c r="AC328" s="14"/>
    </row>
    <row r="329" spans="1:29" ht="15.75" x14ac:dyDescent="0.25">
      <c r="A329" s="28">
        <v>46083</v>
      </c>
      <c r="B329" s="10" t="s">
        <v>272</v>
      </c>
      <c r="C329" s="10"/>
      <c r="D329" s="10"/>
      <c r="E329" s="10" t="s">
        <v>306</v>
      </c>
      <c r="F329" s="10">
        <v>27.9</v>
      </c>
      <c r="G329" s="10" t="s">
        <v>36</v>
      </c>
      <c r="H329" s="10">
        <v>43000</v>
      </c>
      <c r="I329" s="10">
        <f t="shared" si="35"/>
        <v>1199700</v>
      </c>
      <c r="J329" s="115" t="s">
        <v>90</v>
      </c>
      <c r="K329" s="10"/>
      <c r="L329" s="10"/>
      <c r="M329" s="12">
        <f t="shared" si="36"/>
        <v>0</v>
      </c>
      <c r="N329" s="12"/>
      <c r="O329" s="12"/>
      <c r="P329" s="12">
        <f t="shared" si="37"/>
        <v>0</v>
      </c>
      <c r="Q329" s="12"/>
      <c r="R329" s="12"/>
      <c r="S329" s="12">
        <f t="shared" si="38"/>
        <v>0</v>
      </c>
      <c r="T329" s="12"/>
      <c r="U329" s="12"/>
      <c r="V329" s="12">
        <f t="shared" si="39"/>
        <v>0</v>
      </c>
      <c r="W329" s="12"/>
      <c r="X329" s="12"/>
      <c r="Y329" s="12">
        <f t="shared" si="40"/>
        <v>0</v>
      </c>
      <c r="Z329" s="12"/>
      <c r="AA329" s="12"/>
      <c r="AB329" s="13">
        <f t="shared" si="41"/>
        <v>1199700</v>
      </c>
      <c r="AC329" s="14"/>
    </row>
    <row r="330" spans="1:29" s="148" customFormat="1" ht="16.5" thickBot="1" x14ac:dyDescent="0.3">
      <c r="A330" s="28">
        <v>46083</v>
      </c>
      <c r="B330" s="10" t="s">
        <v>272</v>
      </c>
      <c r="C330" s="66"/>
      <c r="D330" s="66"/>
      <c r="E330" s="66" t="s">
        <v>315</v>
      </c>
      <c r="F330" s="66">
        <v>53.8</v>
      </c>
      <c r="G330" s="66" t="s">
        <v>36</v>
      </c>
      <c r="H330" s="66">
        <v>43000</v>
      </c>
      <c r="I330" s="10">
        <f t="shared" si="35"/>
        <v>2313400</v>
      </c>
      <c r="J330" s="115" t="s">
        <v>90</v>
      </c>
      <c r="K330" s="66"/>
      <c r="L330" s="10"/>
      <c r="M330" s="12">
        <f t="shared" si="36"/>
        <v>0</v>
      </c>
      <c r="N330" s="12"/>
      <c r="O330" s="12"/>
      <c r="P330" s="12">
        <f t="shared" si="37"/>
        <v>0</v>
      </c>
      <c r="Q330" s="12"/>
      <c r="R330" s="12"/>
      <c r="S330" s="12">
        <f t="shared" si="38"/>
        <v>0</v>
      </c>
      <c r="T330" s="12"/>
      <c r="U330" s="12"/>
      <c r="V330" s="12">
        <f t="shared" si="39"/>
        <v>0</v>
      </c>
      <c r="W330" s="12"/>
      <c r="X330" s="12"/>
      <c r="Y330" s="12">
        <f t="shared" si="40"/>
        <v>0</v>
      </c>
      <c r="Z330" s="12"/>
      <c r="AA330" s="12"/>
      <c r="AB330" s="13">
        <f t="shared" si="41"/>
        <v>2313400</v>
      </c>
      <c r="AC330" s="14"/>
    </row>
    <row r="331" spans="1:29" ht="15.75" x14ac:dyDescent="0.25">
      <c r="A331" s="28">
        <v>46083</v>
      </c>
      <c r="B331" s="10" t="s">
        <v>566</v>
      </c>
      <c r="C331" s="10"/>
      <c r="D331" s="10" t="s">
        <v>195</v>
      </c>
      <c r="E331" s="10" t="s">
        <v>38</v>
      </c>
      <c r="F331" s="10">
        <v>25</v>
      </c>
      <c r="G331" s="10" t="s">
        <v>36</v>
      </c>
      <c r="H331" s="10">
        <v>45000</v>
      </c>
      <c r="I331" s="10">
        <f t="shared" si="35"/>
        <v>1125000</v>
      </c>
      <c r="J331" s="29" t="s">
        <v>110</v>
      </c>
      <c r="K331" s="10"/>
      <c r="L331" s="10"/>
      <c r="M331" s="12">
        <f t="shared" si="36"/>
        <v>0</v>
      </c>
      <c r="N331" s="12"/>
      <c r="O331" s="12"/>
      <c r="P331" s="12">
        <f t="shared" si="37"/>
        <v>0</v>
      </c>
      <c r="Q331" s="12"/>
      <c r="R331" s="12"/>
      <c r="S331" s="12">
        <f t="shared" si="38"/>
        <v>1125000</v>
      </c>
      <c r="T331" s="12">
        <v>1125000</v>
      </c>
      <c r="U331" s="12"/>
      <c r="V331" s="12">
        <f t="shared" si="39"/>
        <v>0</v>
      </c>
      <c r="W331" s="12"/>
      <c r="X331" s="12"/>
      <c r="Y331" s="12">
        <f t="shared" si="40"/>
        <v>0</v>
      </c>
      <c r="Z331" s="12"/>
      <c r="AA331" s="12"/>
      <c r="AB331" s="13">
        <f t="shared" si="41"/>
        <v>0</v>
      </c>
      <c r="AC331" s="14">
        <v>46083</v>
      </c>
    </row>
    <row r="332" spans="1:29" ht="15.75" x14ac:dyDescent="0.25">
      <c r="A332" s="28">
        <v>46083</v>
      </c>
      <c r="B332" s="10" t="s">
        <v>362</v>
      </c>
      <c r="C332" s="10"/>
      <c r="D332" s="10" t="s">
        <v>195</v>
      </c>
      <c r="E332" s="10" t="s">
        <v>186</v>
      </c>
      <c r="F332" s="10">
        <v>2</v>
      </c>
      <c r="G332" s="10" t="s">
        <v>22</v>
      </c>
      <c r="H332" s="10">
        <v>1200000</v>
      </c>
      <c r="I332" s="10">
        <f t="shared" si="35"/>
        <v>2400000</v>
      </c>
      <c r="J332" s="29" t="s">
        <v>110</v>
      </c>
      <c r="K332" s="10"/>
      <c r="L332" s="10" t="s">
        <v>548</v>
      </c>
      <c r="M332" s="12">
        <f t="shared" si="36"/>
        <v>0</v>
      </c>
      <c r="N332" s="12"/>
      <c r="O332" s="12"/>
      <c r="P332" s="12">
        <f t="shared" si="37"/>
        <v>2400000</v>
      </c>
      <c r="Q332" s="12">
        <v>2400000</v>
      </c>
      <c r="R332" s="12"/>
      <c r="S332" s="12">
        <f t="shared" si="38"/>
        <v>0</v>
      </c>
      <c r="T332" s="12"/>
      <c r="U332" s="12"/>
      <c r="V332" s="12">
        <f t="shared" si="39"/>
        <v>0</v>
      </c>
      <c r="W332" s="12"/>
      <c r="X332" s="12"/>
      <c r="Y332" s="12">
        <f t="shared" si="40"/>
        <v>0</v>
      </c>
      <c r="Z332" s="12"/>
      <c r="AA332" s="12"/>
      <c r="AB332" s="13">
        <f t="shared" si="41"/>
        <v>0</v>
      </c>
      <c r="AC332" s="14">
        <v>46083</v>
      </c>
    </row>
    <row r="333" spans="1:29" ht="15.75" x14ac:dyDescent="0.25">
      <c r="A333" s="28">
        <v>46083</v>
      </c>
      <c r="B333" s="10" t="s">
        <v>362</v>
      </c>
      <c r="C333" s="10"/>
      <c r="D333" s="10" t="s">
        <v>195</v>
      </c>
      <c r="E333" s="10" t="s">
        <v>117</v>
      </c>
      <c r="F333" s="10">
        <v>6</v>
      </c>
      <c r="G333" s="10" t="s">
        <v>36</v>
      </c>
      <c r="H333" s="10">
        <v>70000</v>
      </c>
      <c r="I333" s="10">
        <f t="shared" si="35"/>
        <v>420000</v>
      </c>
      <c r="J333" s="29" t="s">
        <v>110</v>
      </c>
      <c r="K333" s="10"/>
      <c r="L333" s="10" t="s">
        <v>548</v>
      </c>
      <c r="M333" s="12">
        <f t="shared" si="36"/>
        <v>0</v>
      </c>
      <c r="N333" s="12"/>
      <c r="O333" s="12"/>
      <c r="P333" s="12">
        <f t="shared" si="37"/>
        <v>420000</v>
      </c>
      <c r="Q333" s="12">
        <v>420000</v>
      </c>
      <c r="R333" s="12"/>
      <c r="S333" s="12">
        <f t="shared" si="38"/>
        <v>0</v>
      </c>
      <c r="T333" s="12"/>
      <c r="U333" s="12"/>
      <c r="V333" s="12">
        <f t="shared" si="39"/>
        <v>0</v>
      </c>
      <c r="W333" s="12"/>
      <c r="X333" s="12"/>
      <c r="Y333" s="12">
        <f t="shared" si="40"/>
        <v>0</v>
      </c>
      <c r="Z333" s="12"/>
      <c r="AA333" s="12"/>
      <c r="AB333" s="13">
        <f t="shared" si="41"/>
        <v>0</v>
      </c>
      <c r="AC333" s="14">
        <v>46083</v>
      </c>
    </row>
    <row r="334" spans="1:29" ht="16.5" thickBot="1" x14ac:dyDescent="0.3">
      <c r="A334" s="30">
        <v>46083</v>
      </c>
      <c r="B334" s="54" t="s">
        <v>334</v>
      </c>
      <c r="C334" s="54"/>
      <c r="D334" s="54" t="s">
        <v>383</v>
      </c>
      <c r="E334" s="54" t="s">
        <v>118</v>
      </c>
      <c r="F334" s="54">
        <v>2</v>
      </c>
      <c r="G334" s="54" t="s">
        <v>22</v>
      </c>
      <c r="H334" s="54">
        <v>400000</v>
      </c>
      <c r="I334" s="31">
        <f t="shared" si="35"/>
        <v>800000</v>
      </c>
      <c r="J334" s="127" t="s">
        <v>30</v>
      </c>
      <c r="K334" s="130" t="s">
        <v>491</v>
      </c>
      <c r="L334" s="31"/>
      <c r="M334" s="34">
        <f t="shared" si="36"/>
        <v>0</v>
      </c>
      <c r="N334" s="34"/>
      <c r="O334" s="34"/>
      <c r="P334" s="34">
        <f t="shared" si="37"/>
        <v>0</v>
      </c>
      <c r="Q334" s="34"/>
      <c r="R334" s="34"/>
      <c r="S334" s="34">
        <f t="shared" si="38"/>
        <v>0</v>
      </c>
      <c r="T334" s="34"/>
      <c r="U334" s="34"/>
      <c r="V334" s="34">
        <f t="shared" si="39"/>
        <v>0</v>
      </c>
      <c r="W334" s="34"/>
      <c r="X334" s="34"/>
      <c r="Y334" s="34">
        <f t="shared" si="40"/>
        <v>0</v>
      </c>
      <c r="Z334" s="34"/>
      <c r="AA334" s="34"/>
      <c r="AB334" s="35">
        <f t="shared" si="41"/>
        <v>800000</v>
      </c>
      <c r="AC334" s="36"/>
    </row>
    <row r="335" spans="1:29" ht="15.75" x14ac:dyDescent="0.25">
      <c r="A335" s="65">
        <v>46084</v>
      </c>
      <c r="B335" s="66" t="s">
        <v>574</v>
      </c>
      <c r="C335" s="66"/>
      <c r="D335" s="66" t="s">
        <v>195</v>
      </c>
      <c r="E335" s="66" t="s">
        <v>494</v>
      </c>
      <c r="F335" s="66">
        <v>2</v>
      </c>
      <c r="G335" s="66" t="s">
        <v>61</v>
      </c>
      <c r="H335" s="66">
        <v>210000</v>
      </c>
      <c r="I335" s="10">
        <f t="shared" si="35"/>
        <v>420000</v>
      </c>
      <c r="J335" s="29" t="s">
        <v>40</v>
      </c>
      <c r="K335" s="66"/>
      <c r="L335" s="10" t="s">
        <v>575</v>
      </c>
      <c r="M335" s="12">
        <f t="shared" si="36"/>
        <v>0</v>
      </c>
      <c r="N335" s="12"/>
      <c r="O335" s="12"/>
      <c r="P335" s="12">
        <f t="shared" si="37"/>
        <v>450000</v>
      </c>
      <c r="Q335" s="12">
        <v>450000</v>
      </c>
      <c r="R335" s="12"/>
      <c r="S335" s="12">
        <f t="shared" si="38"/>
        <v>0</v>
      </c>
      <c r="T335" s="12"/>
      <c r="U335" s="12"/>
      <c r="V335" s="12">
        <f t="shared" si="39"/>
        <v>0</v>
      </c>
      <c r="W335" s="12"/>
      <c r="X335" s="12"/>
      <c r="Y335" s="12">
        <f t="shared" si="40"/>
        <v>0</v>
      </c>
      <c r="Z335" s="12"/>
      <c r="AA335" s="12"/>
      <c r="AB335" s="13">
        <f t="shared" si="41"/>
        <v>-30000</v>
      </c>
      <c r="AC335" s="14">
        <v>46083</v>
      </c>
    </row>
    <row r="336" spans="1:29" ht="15.75" x14ac:dyDescent="0.25">
      <c r="A336" s="65">
        <v>46084</v>
      </c>
      <c r="B336" s="10" t="s">
        <v>232</v>
      </c>
      <c r="C336" s="10"/>
      <c r="D336" s="10" t="s">
        <v>383</v>
      </c>
      <c r="E336" s="10" t="s">
        <v>104</v>
      </c>
      <c r="F336" s="10">
        <v>10000</v>
      </c>
      <c r="G336" s="10" t="s">
        <v>26</v>
      </c>
      <c r="H336" s="10">
        <v>1900</v>
      </c>
      <c r="I336" s="10">
        <f t="shared" si="35"/>
        <v>19000000</v>
      </c>
      <c r="J336" s="52" t="s">
        <v>30</v>
      </c>
      <c r="K336" s="88" t="s">
        <v>615</v>
      </c>
      <c r="L336" s="10"/>
      <c r="M336" s="12">
        <f t="shared" si="36"/>
        <v>0</v>
      </c>
      <c r="N336" s="12"/>
      <c r="O336" s="12"/>
      <c r="P336" s="12">
        <f t="shared" si="37"/>
        <v>0</v>
      </c>
      <c r="Q336" s="12"/>
      <c r="R336" s="12"/>
      <c r="S336" s="12">
        <f t="shared" si="38"/>
        <v>0</v>
      </c>
      <c r="T336" s="12"/>
      <c r="U336" s="12"/>
      <c r="V336" s="12">
        <f t="shared" si="39"/>
        <v>0</v>
      </c>
      <c r="W336" s="12"/>
      <c r="X336" s="12"/>
      <c r="Y336" s="12">
        <f t="shared" si="40"/>
        <v>0</v>
      </c>
      <c r="Z336" s="12"/>
      <c r="AA336" s="12"/>
      <c r="AB336" s="13">
        <f t="shared" si="41"/>
        <v>19000000</v>
      </c>
      <c r="AC336" s="14"/>
    </row>
    <row r="337" spans="1:29" ht="15.75" x14ac:dyDescent="0.25">
      <c r="A337" s="65">
        <v>46084</v>
      </c>
      <c r="B337" s="10" t="s">
        <v>243</v>
      </c>
      <c r="C337" s="10"/>
      <c r="D337" s="10" t="s">
        <v>195</v>
      </c>
      <c r="E337" s="10" t="s">
        <v>244</v>
      </c>
      <c r="F337" s="10">
        <v>2</v>
      </c>
      <c r="G337" s="10" t="s">
        <v>22</v>
      </c>
      <c r="H337" s="10">
        <v>400000</v>
      </c>
      <c r="I337" s="10">
        <f t="shared" si="35"/>
        <v>800000</v>
      </c>
      <c r="J337" s="29" t="s">
        <v>113</v>
      </c>
      <c r="K337" s="10"/>
      <c r="L337" s="10"/>
      <c r="M337" s="12">
        <f t="shared" si="36"/>
        <v>800000</v>
      </c>
      <c r="N337" s="12">
        <v>800000</v>
      </c>
      <c r="O337" s="12"/>
      <c r="P337" s="12">
        <f t="shared" si="37"/>
        <v>0</v>
      </c>
      <c r="Q337" s="12"/>
      <c r="R337" s="12"/>
      <c r="S337" s="12">
        <f t="shared" si="38"/>
        <v>0</v>
      </c>
      <c r="T337" s="12"/>
      <c r="U337" s="12"/>
      <c r="V337" s="12">
        <f t="shared" si="39"/>
        <v>0</v>
      </c>
      <c r="W337" s="12"/>
      <c r="X337" s="12"/>
      <c r="Y337" s="12">
        <f t="shared" si="40"/>
        <v>0</v>
      </c>
      <c r="Z337" s="12"/>
      <c r="AA337" s="12"/>
      <c r="AB337" s="13">
        <f t="shared" si="41"/>
        <v>0</v>
      </c>
      <c r="AC337" s="14">
        <v>46084</v>
      </c>
    </row>
    <row r="338" spans="1:29" ht="15.75" x14ac:dyDescent="0.25">
      <c r="A338" s="65">
        <v>46084</v>
      </c>
      <c r="B338" s="10" t="s">
        <v>351</v>
      </c>
      <c r="C338" s="10"/>
      <c r="D338" s="10" t="s">
        <v>195</v>
      </c>
      <c r="E338" s="10" t="s">
        <v>104</v>
      </c>
      <c r="F338" s="10">
        <v>600</v>
      </c>
      <c r="G338" s="10" t="s">
        <v>26</v>
      </c>
      <c r="H338" s="10">
        <v>2000</v>
      </c>
      <c r="I338" s="10">
        <f t="shared" si="35"/>
        <v>1200000</v>
      </c>
      <c r="J338" s="29" t="s">
        <v>110</v>
      </c>
      <c r="K338" s="10"/>
      <c r="L338" s="10" t="s">
        <v>576</v>
      </c>
      <c r="M338" s="12">
        <f t="shared" si="36"/>
        <v>0</v>
      </c>
      <c r="N338" s="12"/>
      <c r="O338" s="12"/>
      <c r="P338" s="12">
        <f t="shared" si="37"/>
        <v>1200000</v>
      </c>
      <c r="Q338" s="12">
        <v>1200000</v>
      </c>
      <c r="R338" s="12"/>
      <c r="S338" s="12">
        <f t="shared" si="38"/>
        <v>0</v>
      </c>
      <c r="T338" s="12"/>
      <c r="U338" s="12"/>
      <c r="V338" s="12">
        <f t="shared" si="39"/>
        <v>0</v>
      </c>
      <c r="W338" s="12"/>
      <c r="X338" s="12"/>
      <c r="Y338" s="12">
        <f t="shared" si="40"/>
        <v>0</v>
      </c>
      <c r="Z338" s="12"/>
      <c r="AA338" s="12"/>
      <c r="AB338" s="13">
        <f t="shared" si="41"/>
        <v>0</v>
      </c>
      <c r="AC338" s="14">
        <v>46084</v>
      </c>
    </row>
    <row r="339" spans="1:29" ht="15.75" x14ac:dyDescent="0.25">
      <c r="A339" s="65">
        <v>46084</v>
      </c>
      <c r="B339" s="10" t="s">
        <v>178</v>
      </c>
      <c r="C339" s="10"/>
      <c r="D339" s="10" t="s">
        <v>383</v>
      </c>
      <c r="E339" s="10" t="s">
        <v>129</v>
      </c>
      <c r="F339" s="10">
        <v>1500</v>
      </c>
      <c r="G339" s="10" t="s">
        <v>26</v>
      </c>
      <c r="H339" s="10">
        <v>3900</v>
      </c>
      <c r="I339" s="10">
        <f t="shared" si="35"/>
        <v>5850000</v>
      </c>
      <c r="J339" s="29" t="s">
        <v>217</v>
      </c>
      <c r="K339" s="10"/>
      <c r="L339" s="10"/>
      <c r="M339" s="12">
        <f t="shared" si="36"/>
        <v>0</v>
      </c>
      <c r="N339" s="12"/>
      <c r="O339" s="12"/>
      <c r="P339" s="12">
        <f t="shared" si="37"/>
        <v>0</v>
      </c>
      <c r="Q339" s="12"/>
      <c r="R339" s="12"/>
      <c r="S339" s="12">
        <f t="shared" si="38"/>
        <v>0</v>
      </c>
      <c r="T339" s="12"/>
      <c r="U339" s="12"/>
      <c r="V339" s="12">
        <f t="shared" si="39"/>
        <v>0</v>
      </c>
      <c r="W339" s="12"/>
      <c r="X339" s="12"/>
      <c r="Y339" s="12">
        <f t="shared" si="40"/>
        <v>5850000</v>
      </c>
      <c r="Z339" s="12">
        <v>5850000</v>
      </c>
      <c r="AA339" s="12"/>
      <c r="AB339" s="13">
        <f t="shared" si="41"/>
        <v>0</v>
      </c>
      <c r="AC339" s="14">
        <v>46084</v>
      </c>
    </row>
    <row r="340" spans="1:29" ht="15.75" x14ac:dyDescent="0.25">
      <c r="A340" s="65">
        <v>46084</v>
      </c>
      <c r="B340" s="10" t="s">
        <v>438</v>
      </c>
      <c r="C340" s="10"/>
      <c r="D340" s="10" t="s">
        <v>383</v>
      </c>
      <c r="E340" s="10" t="s">
        <v>439</v>
      </c>
      <c r="F340" s="10">
        <v>4000</v>
      </c>
      <c r="G340" s="10" t="s">
        <v>407</v>
      </c>
      <c r="H340" s="10">
        <v>3800</v>
      </c>
      <c r="I340" s="10">
        <f t="shared" si="35"/>
        <v>15200000</v>
      </c>
      <c r="J340" s="29" t="s">
        <v>110</v>
      </c>
      <c r="K340" s="10"/>
      <c r="L340" s="10" t="s">
        <v>577</v>
      </c>
      <c r="M340" s="12">
        <f t="shared" si="36"/>
        <v>0</v>
      </c>
      <c r="N340" s="12"/>
      <c r="O340" s="12"/>
      <c r="P340" s="12">
        <f t="shared" si="37"/>
        <v>15200000</v>
      </c>
      <c r="Q340" s="12">
        <v>15200000</v>
      </c>
      <c r="R340" s="12"/>
      <c r="S340" s="12">
        <f t="shared" si="38"/>
        <v>0</v>
      </c>
      <c r="T340" s="12"/>
      <c r="U340" s="12"/>
      <c r="V340" s="12">
        <f t="shared" si="39"/>
        <v>0</v>
      </c>
      <c r="W340" s="12"/>
      <c r="X340" s="12"/>
      <c r="Y340" s="12">
        <f t="shared" si="40"/>
        <v>0</v>
      </c>
      <c r="Z340" s="12"/>
      <c r="AA340" s="12"/>
      <c r="AB340" s="13">
        <f t="shared" si="41"/>
        <v>0</v>
      </c>
      <c r="AC340" s="14">
        <v>46084</v>
      </c>
    </row>
    <row r="341" spans="1:29" ht="15.75" x14ac:dyDescent="0.25">
      <c r="A341" s="65">
        <v>46084</v>
      </c>
      <c r="B341" s="10" t="s">
        <v>438</v>
      </c>
      <c r="C341" s="10"/>
      <c r="D341" s="10" t="s">
        <v>383</v>
      </c>
      <c r="E341" s="10" t="s">
        <v>183</v>
      </c>
      <c r="F341" s="10">
        <v>25</v>
      </c>
      <c r="G341" s="10" t="s">
        <v>36</v>
      </c>
      <c r="H341" s="10">
        <v>88000</v>
      </c>
      <c r="I341" s="10">
        <f t="shared" si="35"/>
        <v>2200000</v>
      </c>
      <c r="J341" s="29" t="s">
        <v>110</v>
      </c>
      <c r="K341" s="10"/>
      <c r="L341" s="10"/>
      <c r="M341" s="12">
        <f t="shared" si="36"/>
        <v>0</v>
      </c>
      <c r="N341" s="12"/>
      <c r="O341" s="12"/>
      <c r="P341" s="12">
        <f t="shared" si="37"/>
        <v>0</v>
      </c>
      <c r="Q341" s="12"/>
      <c r="R341" s="12"/>
      <c r="S341" s="12">
        <f t="shared" si="38"/>
        <v>2200000</v>
      </c>
      <c r="T341" s="12">
        <v>2200000</v>
      </c>
      <c r="U341" s="12"/>
      <c r="V341" s="12">
        <f t="shared" si="39"/>
        <v>0</v>
      </c>
      <c r="W341" s="12"/>
      <c r="X341" s="12"/>
      <c r="Y341" s="12">
        <f t="shared" si="40"/>
        <v>0</v>
      </c>
      <c r="Z341" s="12"/>
      <c r="AA341" s="12"/>
      <c r="AB341" s="13">
        <f t="shared" si="41"/>
        <v>0</v>
      </c>
      <c r="AC341" s="14">
        <v>46084</v>
      </c>
    </row>
    <row r="342" spans="1:29" ht="15.75" x14ac:dyDescent="0.25">
      <c r="A342" s="65">
        <v>46084</v>
      </c>
      <c r="B342" s="10" t="s">
        <v>272</v>
      </c>
      <c r="C342" s="10"/>
      <c r="D342" s="10"/>
      <c r="E342" s="10" t="s">
        <v>306</v>
      </c>
      <c r="F342" s="10">
        <v>28</v>
      </c>
      <c r="G342" s="10" t="s">
        <v>36</v>
      </c>
      <c r="H342" s="10">
        <v>43000</v>
      </c>
      <c r="I342" s="10">
        <f t="shared" si="35"/>
        <v>1204000</v>
      </c>
      <c r="J342" s="86" t="s">
        <v>30</v>
      </c>
      <c r="K342" s="10"/>
      <c r="L342" s="10"/>
      <c r="M342" s="12">
        <f t="shared" si="36"/>
        <v>0</v>
      </c>
      <c r="N342" s="12"/>
      <c r="O342" s="12"/>
      <c r="P342" s="12">
        <f t="shared" si="37"/>
        <v>0</v>
      </c>
      <c r="Q342" s="12"/>
      <c r="R342" s="12"/>
      <c r="S342" s="12">
        <f t="shared" si="38"/>
        <v>0</v>
      </c>
      <c r="T342" s="12"/>
      <c r="U342" s="12"/>
      <c r="V342" s="12">
        <f t="shared" si="39"/>
        <v>0</v>
      </c>
      <c r="W342" s="12"/>
      <c r="X342" s="12"/>
      <c r="Y342" s="12">
        <f t="shared" si="40"/>
        <v>0</v>
      </c>
      <c r="Z342" s="12"/>
      <c r="AA342" s="12"/>
      <c r="AB342" s="13">
        <f t="shared" si="41"/>
        <v>1204000</v>
      </c>
      <c r="AC342" s="14"/>
    </row>
    <row r="343" spans="1:29" ht="15.75" x14ac:dyDescent="0.25">
      <c r="A343" s="65">
        <v>46084</v>
      </c>
      <c r="B343" s="10" t="s">
        <v>272</v>
      </c>
      <c r="C343" s="10"/>
      <c r="D343" s="10"/>
      <c r="E343" s="10" t="s">
        <v>338</v>
      </c>
      <c r="F343" s="10">
        <v>28.8</v>
      </c>
      <c r="G343" s="10" t="s">
        <v>36</v>
      </c>
      <c r="H343" s="10">
        <v>43000</v>
      </c>
      <c r="I343" s="10">
        <f t="shared" si="35"/>
        <v>1238400</v>
      </c>
      <c r="J343" s="115" t="s">
        <v>90</v>
      </c>
      <c r="K343" s="10"/>
      <c r="L343" s="10"/>
      <c r="M343" s="12">
        <f t="shared" si="36"/>
        <v>0</v>
      </c>
      <c r="N343" s="12"/>
      <c r="O343" s="12"/>
      <c r="P343" s="12">
        <f t="shared" si="37"/>
        <v>0</v>
      </c>
      <c r="Q343" s="12"/>
      <c r="R343" s="12"/>
      <c r="S343" s="12">
        <f t="shared" si="38"/>
        <v>0</v>
      </c>
      <c r="T343" s="12"/>
      <c r="U343" s="12"/>
      <c r="V343" s="12">
        <f t="shared" si="39"/>
        <v>0</v>
      </c>
      <c r="W343" s="12"/>
      <c r="X343" s="12"/>
      <c r="Y343" s="12">
        <f t="shared" si="40"/>
        <v>0</v>
      </c>
      <c r="Z343" s="12"/>
      <c r="AA343" s="12"/>
      <c r="AB343" s="13">
        <f t="shared" si="41"/>
        <v>1238400</v>
      </c>
      <c r="AC343" s="14"/>
    </row>
    <row r="344" spans="1:29" ht="15.75" x14ac:dyDescent="0.25">
      <c r="A344" s="65">
        <v>46084</v>
      </c>
      <c r="B344" s="10" t="s">
        <v>272</v>
      </c>
      <c r="C344" s="10"/>
      <c r="D344" s="10"/>
      <c r="E344" s="10" t="s">
        <v>93</v>
      </c>
      <c r="F344" s="10">
        <v>34.5</v>
      </c>
      <c r="G344" s="10" t="s">
        <v>36</v>
      </c>
      <c r="H344" s="10">
        <v>43000</v>
      </c>
      <c r="I344" s="10">
        <f t="shared" si="35"/>
        <v>1483500</v>
      </c>
      <c r="J344" s="86" t="s">
        <v>30</v>
      </c>
      <c r="K344" s="10"/>
      <c r="L344" s="10"/>
      <c r="M344" s="12">
        <f t="shared" si="36"/>
        <v>0</v>
      </c>
      <c r="N344" s="12"/>
      <c r="O344" s="12"/>
      <c r="P344" s="12">
        <f t="shared" si="37"/>
        <v>0</v>
      </c>
      <c r="Q344" s="12"/>
      <c r="R344" s="12"/>
      <c r="S344" s="12">
        <f t="shared" si="38"/>
        <v>0</v>
      </c>
      <c r="T344" s="12"/>
      <c r="U344" s="12"/>
      <c r="V344" s="12">
        <f t="shared" si="39"/>
        <v>0</v>
      </c>
      <c r="W344" s="12"/>
      <c r="X344" s="12"/>
      <c r="Y344" s="12">
        <f t="shared" si="40"/>
        <v>0</v>
      </c>
      <c r="Z344" s="12"/>
      <c r="AA344" s="12"/>
      <c r="AB344" s="13">
        <f t="shared" si="41"/>
        <v>1483500</v>
      </c>
      <c r="AC344" s="14"/>
    </row>
    <row r="345" spans="1:29" s="148" customFormat="1" ht="16.5" thickBot="1" x14ac:dyDescent="0.3">
      <c r="A345" s="65">
        <v>46084</v>
      </c>
      <c r="B345" s="10" t="s">
        <v>272</v>
      </c>
      <c r="C345" s="10"/>
      <c r="D345" s="10"/>
      <c r="E345" s="10" t="s">
        <v>80</v>
      </c>
      <c r="F345" s="10">
        <v>44.9</v>
      </c>
      <c r="G345" s="10" t="s">
        <v>36</v>
      </c>
      <c r="H345" s="10">
        <v>43000</v>
      </c>
      <c r="I345" s="10">
        <f t="shared" si="35"/>
        <v>1930700</v>
      </c>
      <c r="J345" s="115" t="s">
        <v>90</v>
      </c>
      <c r="K345" s="10"/>
      <c r="L345" s="10"/>
      <c r="M345" s="12">
        <f t="shared" si="36"/>
        <v>0</v>
      </c>
      <c r="N345" s="12"/>
      <c r="O345" s="12"/>
      <c r="P345" s="12">
        <f t="shared" si="37"/>
        <v>0</v>
      </c>
      <c r="Q345" s="12"/>
      <c r="R345" s="12"/>
      <c r="S345" s="12">
        <f t="shared" si="38"/>
        <v>0</v>
      </c>
      <c r="T345" s="12"/>
      <c r="U345" s="12"/>
      <c r="V345" s="12">
        <f t="shared" si="39"/>
        <v>0</v>
      </c>
      <c r="W345" s="12"/>
      <c r="X345" s="12"/>
      <c r="Y345" s="12">
        <f t="shared" si="40"/>
        <v>0</v>
      </c>
      <c r="Z345" s="12"/>
      <c r="AA345" s="12"/>
      <c r="AB345" s="13">
        <f t="shared" si="41"/>
        <v>1930700</v>
      </c>
      <c r="AC345" s="14"/>
    </row>
    <row r="346" spans="1:29" ht="15.75" x14ac:dyDescent="0.25">
      <c r="A346" s="65">
        <v>46084</v>
      </c>
      <c r="B346" s="10" t="s">
        <v>485</v>
      </c>
      <c r="C346" s="10"/>
      <c r="D346" s="10" t="s">
        <v>195</v>
      </c>
      <c r="E346" s="10" t="s">
        <v>125</v>
      </c>
      <c r="F346" s="10">
        <v>24.6</v>
      </c>
      <c r="G346" s="10" t="s">
        <v>36</v>
      </c>
      <c r="H346" s="10">
        <v>200000</v>
      </c>
      <c r="I346" s="10">
        <f t="shared" si="35"/>
        <v>4920000</v>
      </c>
      <c r="J346" s="29" t="s">
        <v>110</v>
      </c>
      <c r="K346" s="10"/>
      <c r="L346" s="10" t="s">
        <v>555</v>
      </c>
      <c r="M346" s="12">
        <f t="shared" si="36"/>
        <v>0</v>
      </c>
      <c r="N346" s="12"/>
      <c r="O346" s="12"/>
      <c r="P346" s="12">
        <f t="shared" si="37"/>
        <v>4920000</v>
      </c>
      <c r="Q346" s="12">
        <v>4920000</v>
      </c>
      <c r="R346" s="12"/>
      <c r="S346" s="12">
        <f t="shared" si="38"/>
        <v>0</v>
      </c>
      <c r="T346" s="12"/>
      <c r="U346" s="12"/>
      <c r="V346" s="12">
        <f t="shared" si="39"/>
        <v>0</v>
      </c>
      <c r="W346" s="12"/>
      <c r="X346" s="12"/>
      <c r="Y346" s="12">
        <f t="shared" si="40"/>
        <v>0</v>
      </c>
      <c r="Z346" s="12"/>
      <c r="AA346" s="12"/>
      <c r="AB346" s="13">
        <f t="shared" si="41"/>
        <v>0</v>
      </c>
      <c r="AC346" s="14">
        <v>46084</v>
      </c>
    </row>
    <row r="347" spans="1:29" ht="15.75" x14ac:dyDescent="0.25">
      <c r="A347" s="65">
        <v>46084</v>
      </c>
      <c r="B347" s="10" t="s">
        <v>363</v>
      </c>
      <c r="C347" s="10"/>
      <c r="D347" s="10" t="s">
        <v>195</v>
      </c>
      <c r="E347" s="10" t="s">
        <v>116</v>
      </c>
      <c r="F347" s="10">
        <v>2</v>
      </c>
      <c r="G347" s="10" t="s">
        <v>67</v>
      </c>
      <c r="H347" s="10">
        <v>65000</v>
      </c>
      <c r="I347" s="10">
        <f t="shared" si="35"/>
        <v>130000</v>
      </c>
      <c r="J347" s="29" t="s">
        <v>113</v>
      </c>
      <c r="K347" s="10"/>
      <c r="L347" s="10"/>
      <c r="M347" s="12">
        <f t="shared" si="36"/>
        <v>0</v>
      </c>
      <c r="N347" s="12"/>
      <c r="O347" s="12"/>
      <c r="P347" s="12">
        <f t="shared" si="37"/>
        <v>0</v>
      </c>
      <c r="Q347" s="12"/>
      <c r="R347" s="12"/>
      <c r="S347" s="12">
        <f t="shared" si="38"/>
        <v>0</v>
      </c>
      <c r="T347" s="12"/>
      <c r="U347" s="12"/>
      <c r="V347" s="12">
        <f t="shared" si="39"/>
        <v>130000</v>
      </c>
      <c r="W347" s="12">
        <v>130000</v>
      </c>
      <c r="X347" s="12"/>
      <c r="Y347" s="12">
        <f t="shared" si="40"/>
        <v>0</v>
      </c>
      <c r="Z347" s="12"/>
      <c r="AA347" s="12"/>
      <c r="AB347" s="13">
        <f t="shared" si="41"/>
        <v>0</v>
      </c>
      <c r="AC347" s="14">
        <v>46084</v>
      </c>
    </row>
    <row r="348" spans="1:29" ht="15.75" x14ac:dyDescent="0.25">
      <c r="A348" s="28">
        <v>46084</v>
      </c>
      <c r="B348" s="10" t="s">
        <v>363</v>
      </c>
      <c r="C348" s="10"/>
      <c r="D348" s="10" t="s">
        <v>195</v>
      </c>
      <c r="E348" s="10" t="s">
        <v>117</v>
      </c>
      <c r="F348" s="10">
        <v>1</v>
      </c>
      <c r="G348" s="10" t="s">
        <v>36</v>
      </c>
      <c r="H348" s="10">
        <v>70000</v>
      </c>
      <c r="I348" s="10">
        <f t="shared" si="35"/>
        <v>70000</v>
      </c>
      <c r="J348" s="29" t="s">
        <v>113</v>
      </c>
      <c r="K348" s="10"/>
      <c r="L348" s="10"/>
      <c r="M348" s="12">
        <f t="shared" si="36"/>
        <v>0</v>
      </c>
      <c r="N348" s="12"/>
      <c r="O348" s="12"/>
      <c r="P348" s="12">
        <f t="shared" si="37"/>
        <v>0</v>
      </c>
      <c r="Q348" s="12"/>
      <c r="R348" s="12"/>
      <c r="S348" s="12">
        <f t="shared" si="38"/>
        <v>0</v>
      </c>
      <c r="T348" s="12"/>
      <c r="U348" s="12"/>
      <c r="V348" s="12">
        <f t="shared" si="39"/>
        <v>70000</v>
      </c>
      <c r="W348" s="12">
        <v>70000</v>
      </c>
      <c r="X348" s="12"/>
      <c r="Y348" s="12">
        <f t="shared" si="40"/>
        <v>0</v>
      </c>
      <c r="Z348" s="12"/>
      <c r="AA348" s="12"/>
      <c r="AB348" s="13">
        <f t="shared" si="41"/>
        <v>0</v>
      </c>
      <c r="AC348" s="14">
        <v>46084</v>
      </c>
    </row>
    <row r="349" spans="1:29" ht="16.5" thickBot="1" x14ac:dyDescent="0.3">
      <c r="A349" s="53">
        <v>46084</v>
      </c>
      <c r="B349" s="31" t="s">
        <v>363</v>
      </c>
      <c r="C349" s="31"/>
      <c r="D349" s="31" t="s">
        <v>195</v>
      </c>
      <c r="E349" s="31" t="s">
        <v>114</v>
      </c>
      <c r="F349" s="31">
        <v>10</v>
      </c>
      <c r="G349" s="31" t="s">
        <v>67</v>
      </c>
      <c r="H349" s="31">
        <v>50000</v>
      </c>
      <c r="I349" s="31">
        <f t="shared" si="35"/>
        <v>500000</v>
      </c>
      <c r="J349" s="51" t="s">
        <v>113</v>
      </c>
      <c r="K349" s="31"/>
      <c r="L349" s="31"/>
      <c r="M349" s="34">
        <f t="shared" si="36"/>
        <v>0</v>
      </c>
      <c r="N349" s="34"/>
      <c r="O349" s="34"/>
      <c r="P349" s="34">
        <f t="shared" si="37"/>
        <v>0</v>
      </c>
      <c r="Q349" s="34"/>
      <c r="R349" s="34"/>
      <c r="S349" s="34">
        <f t="shared" si="38"/>
        <v>0</v>
      </c>
      <c r="T349" s="34"/>
      <c r="U349" s="34"/>
      <c r="V349" s="34">
        <f t="shared" si="39"/>
        <v>500000</v>
      </c>
      <c r="W349" s="34">
        <v>500000</v>
      </c>
      <c r="X349" s="34"/>
      <c r="Y349" s="34">
        <f t="shared" si="40"/>
        <v>0</v>
      </c>
      <c r="Z349" s="34"/>
      <c r="AA349" s="34"/>
      <c r="AB349" s="35">
        <f t="shared" si="41"/>
        <v>0</v>
      </c>
      <c r="AC349" s="36">
        <v>46084</v>
      </c>
    </row>
    <row r="350" spans="1:29" ht="15.75" x14ac:dyDescent="0.25">
      <c r="A350" s="65">
        <v>46085</v>
      </c>
      <c r="B350" s="66" t="s">
        <v>178</v>
      </c>
      <c r="C350" s="66"/>
      <c r="D350" s="66" t="s">
        <v>195</v>
      </c>
      <c r="E350" s="66" t="s">
        <v>25</v>
      </c>
      <c r="F350" s="66">
        <v>200</v>
      </c>
      <c r="G350" s="66" t="s">
        <v>26</v>
      </c>
      <c r="H350" s="66">
        <v>2700</v>
      </c>
      <c r="I350" s="10">
        <f t="shared" si="35"/>
        <v>540000</v>
      </c>
      <c r="J350" s="84" t="s">
        <v>113</v>
      </c>
      <c r="K350" s="66"/>
      <c r="L350" s="10"/>
      <c r="M350" s="12">
        <f t="shared" si="36"/>
        <v>0</v>
      </c>
      <c r="N350" s="12"/>
      <c r="O350" s="12"/>
      <c r="P350" s="12">
        <f t="shared" si="37"/>
        <v>0</v>
      </c>
      <c r="Q350" s="12"/>
      <c r="R350" s="12"/>
      <c r="S350" s="12">
        <f t="shared" si="38"/>
        <v>0</v>
      </c>
      <c r="T350" s="12"/>
      <c r="U350" s="12"/>
      <c r="V350" s="12">
        <f t="shared" si="39"/>
        <v>540000</v>
      </c>
      <c r="W350" s="12">
        <v>540000</v>
      </c>
      <c r="X350" s="12"/>
      <c r="Y350" s="12">
        <f t="shared" si="40"/>
        <v>0</v>
      </c>
      <c r="Z350" s="12"/>
      <c r="AA350" s="12"/>
      <c r="AB350" s="13">
        <f t="shared" si="41"/>
        <v>0</v>
      </c>
      <c r="AC350" s="14">
        <v>46084</v>
      </c>
    </row>
    <row r="351" spans="1:29" ht="15.75" x14ac:dyDescent="0.25">
      <c r="A351" s="65">
        <v>46085</v>
      </c>
      <c r="B351" s="10" t="s">
        <v>243</v>
      </c>
      <c r="C351" s="10"/>
      <c r="D351" s="66" t="s">
        <v>195</v>
      </c>
      <c r="E351" s="10" t="s">
        <v>265</v>
      </c>
      <c r="F351" s="10">
        <v>21.9</v>
      </c>
      <c r="G351" s="10" t="s">
        <v>36</v>
      </c>
      <c r="H351" s="10">
        <v>43000</v>
      </c>
      <c r="I351" s="10">
        <f t="shared" si="35"/>
        <v>941699.99999999988</v>
      </c>
      <c r="J351" s="29" t="s">
        <v>110</v>
      </c>
      <c r="K351" s="10"/>
      <c r="L351" s="10"/>
      <c r="M351" s="12">
        <f t="shared" si="36"/>
        <v>0</v>
      </c>
      <c r="N351" s="12"/>
      <c r="O351" s="12"/>
      <c r="P351" s="12">
        <f t="shared" si="37"/>
        <v>0</v>
      </c>
      <c r="Q351" s="12"/>
      <c r="R351" s="12"/>
      <c r="S351" s="12">
        <f t="shared" si="38"/>
        <v>941700</v>
      </c>
      <c r="T351" s="12">
        <v>941700</v>
      </c>
      <c r="U351" s="12"/>
      <c r="V351" s="12">
        <f t="shared" si="39"/>
        <v>0</v>
      </c>
      <c r="W351" s="12"/>
      <c r="X351" s="12"/>
      <c r="Y351" s="12">
        <f t="shared" si="40"/>
        <v>0</v>
      </c>
      <c r="Z351" s="12"/>
      <c r="AA351" s="12"/>
      <c r="AB351" s="13">
        <f t="shared" si="41"/>
        <v>0</v>
      </c>
      <c r="AC351" s="14">
        <v>46085</v>
      </c>
    </row>
    <row r="352" spans="1:29" ht="15.75" x14ac:dyDescent="0.25">
      <c r="A352" s="65">
        <v>46085</v>
      </c>
      <c r="B352" s="10" t="s">
        <v>578</v>
      </c>
      <c r="C352" s="10"/>
      <c r="D352" s="66" t="s">
        <v>195</v>
      </c>
      <c r="E352" s="10" t="s">
        <v>161</v>
      </c>
      <c r="F352" s="10">
        <v>1</v>
      </c>
      <c r="G352" s="10" t="s">
        <v>61</v>
      </c>
      <c r="H352" s="10">
        <v>230000</v>
      </c>
      <c r="I352" s="10">
        <f t="shared" si="35"/>
        <v>230000</v>
      </c>
      <c r="J352" s="29" t="s">
        <v>110</v>
      </c>
      <c r="K352" s="10"/>
      <c r="L352" s="10" t="s">
        <v>581</v>
      </c>
      <c r="M352" s="12">
        <f t="shared" si="36"/>
        <v>0</v>
      </c>
      <c r="N352" s="12"/>
      <c r="O352" s="12"/>
      <c r="P352" s="12">
        <f t="shared" si="37"/>
        <v>230000</v>
      </c>
      <c r="Q352" s="12">
        <v>230000</v>
      </c>
      <c r="R352" s="12"/>
      <c r="S352" s="12">
        <f t="shared" si="38"/>
        <v>0</v>
      </c>
      <c r="T352" s="12"/>
      <c r="U352" s="12"/>
      <c r="V352" s="12">
        <f t="shared" si="39"/>
        <v>0</v>
      </c>
      <c r="W352" s="12"/>
      <c r="X352" s="12"/>
      <c r="Y352" s="12">
        <f t="shared" si="40"/>
        <v>0</v>
      </c>
      <c r="Z352" s="12"/>
      <c r="AA352" s="12"/>
      <c r="AB352" s="13">
        <f t="shared" si="41"/>
        <v>0</v>
      </c>
      <c r="AC352" s="14">
        <v>46085</v>
      </c>
    </row>
    <row r="353" spans="1:29" ht="15.75" x14ac:dyDescent="0.25">
      <c r="A353" s="65">
        <v>46085</v>
      </c>
      <c r="B353" s="10" t="s">
        <v>578</v>
      </c>
      <c r="C353" s="10"/>
      <c r="D353" s="66" t="s">
        <v>195</v>
      </c>
      <c r="E353" s="10" t="s">
        <v>404</v>
      </c>
      <c r="F353" s="10">
        <v>1</v>
      </c>
      <c r="G353" s="10" t="s">
        <v>61</v>
      </c>
      <c r="H353" s="10">
        <v>230000</v>
      </c>
      <c r="I353" s="10">
        <f t="shared" si="35"/>
        <v>230000</v>
      </c>
      <c r="J353" s="29" t="s">
        <v>110</v>
      </c>
      <c r="K353" s="10"/>
      <c r="L353" s="10" t="s">
        <v>581</v>
      </c>
      <c r="M353" s="12">
        <f t="shared" si="36"/>
        <v>0</v>
      </c>
      <c r="N353" s="12"/>
      <c r="O353" s="12"/>
      <c r="P353" s="12">
        <f t="shared" si="37"/>
        <v>230000</v>
      </c>
      <c r="Q353" s="12">
        <v>230000</v>
      </c>
      <c r="R353" s="12"/>
      <c r="S353" s="12">
        <f t="shared" si="38"/>
        <v>0</v>
      </c>
      <c r="T353" s="12"/>
      <c r="U353" s="12"/>
      <c r="V353" s="12">
        <f t="shared" si="39"/>
        <v>0</v>
      </c>
      <c r="W353" s="12"/>
      <c r="X353" s="12"/>
      <c r="Y353" s="12">
        <f t="shared" si="40"/>
        <v>0</v>
      </c>
      <c r="Z353" s="12"/>
      <c r="AA353" s="12"/>
      <c r="AB353" s="13">
        <f t="shared" si="41"/>
        <v>0</v>
      </c>
      <c r="AC353" s="14">
        <v>46085</v>
      </c>
    </row>
    <row r="354" spans="1:29" ht="15.75" x14ac:dyDescent="0.25">
      <c r="A354" s="65">
        <v>46085</v>
      </c>
      <c r="B354" s="10" t="s">
        <v>232</v>
      </c>
      <c r="C354" s="10"/>
      <c r="D354" s="10" t="s">
        <v>383</v>
      </c>
      <c r="E354" s="10" t="s">
        <v>104</v>
      </c>
      <c r="F354" s="10">
        <v>1200</v>
      </c>
      <c r="G354" s="10" t="s">
        <v>26</v>
      </c>
      <c r="H354" s="10">
        <v>2000</v>
      </c>
      <c r="I354" s="10">
        <f t="shared" si="35"/>
        <v>2400000</v>
      </c>
      <c r="J354" s="114" t="s">
        <v>30</v>
      </c>
      <c r="K354" s="88" t="s">
        <v>615</v>
      </c>
      <c r="L354" s="10"/>
      <c r="M354" s="12">
        <f t="shared" si="36"/>
        <v>0</v>
      </c>
      <c r="N354" s="12"/>
      <c r="O354" s="12"/>
      <c r="P354" s="12">
        <f t="shared" si="37"/>
        <v>0</v>
      </c>
      <c r="Q354" s="12"/>
      <c r="R354" s="12"/>
      <c r="S354" s="12">
        <f t="shared" si="38"/>
        <v>0</v>
      </c>
      <c r="T354" s="12"/>
      <c r="U354" s="12"/>
      <c r="V354" s="12">
        <f t="shared" si="39"/>
        <v>0</v>
      </c>
      <c r="W354" s="12"/>
      <c r="X354" s="12"/>
      <c r="Y354" s="12">
        <f t="shared" si="40"/>
        <v>0</v>
      </c>
      <c r="Z354" s="12"/>
      <c r="AA354" s="12"/>
      <c r="AB354" s="13">
        <f t="shared" si="41"/>
        <v>2400000</v>
      </c>
      <c r="AC354" s="14"/>
    </row>
    <row r="355" spans="1:29" ht="15.75" x14ac:dyDescent="0.25">
      <c r="A355" s="65">
        <v>46085</v>
      </c>
      <c r="B355" s="10" t="s">
        <v>89</v>
      </c>
      <c r="C355" s="10"/>
      <c r="D355" s="10" t="s">
        <v>383</v>
      </c>
      <c r="E355" s="10" t="s">
        <v>104</v>
      </c>
      <c r="F355" s="10">
        <v>1400</v>
      </c>
      <c r="G355" s="10" t="s">
        <v>26</v>
      </c>
      <c r="H355" s="10">
        <v>1900</v>
      </c>
      <c r="I355" s="10">
        <f t="shared" si="35"/>
        <v>2660000</v>
      </c>
      <c r="J355" s="114" t="s">
        <v>90</v>
      </c>
      <c r="K355" s="88" t="s">
        <v>615</v>
      </c>
      <c r="L355" s="10" t="s">
        <v>582</v>
      </c>
      <c r="M355" s="12">
        <f t="shared" si="36"/>
        <v>0</v>
      </c>
      <c r="N355" s="12"/>
      <c r="O355" s="12"/>
      <c r="P355" s="12">
        <f t="shared" si="37"/>
        <v>0</v>
      </c>
      <c r="Q355" s="12"/>
      <c r="R355" s="12"/>
      <c r="S355" s="12">
        <f t="shared" si="38"/>
        <v>0</v>
      </c>
      <c r="T355" s="12"/>
      <c r="U355" s="12"/>
      <c r="V355" s="12">
        <f t="shared" si="39"/>
        <v>0</v>
      </c>
      <c r="W355" s="12"/>
      <c r="X355" s="12"/>
      <c r="Y355" s="12">
        <f t="shared" si="40"/>
        <v>0</v>
      </c>
      <c r="Z355" s="12"/>
      <c r="AA355" s="12"/>
      <c r="AB355" s="13">
        <f t="shared" si="41"/>
        <v>2660000</v>
      </c>
      <c r="AC355" s="14"/>
    </row>
    <row r="356" spans="1:29" ht="15.75" x14ac:dyDescent="0.25">
      <c r="A356" s="65">
        <v>46085</v>
      </c>
      <c r="B356" s="10" t="s">
        <v>579</v>
      </c>
      <c r="C356" s="10"/>
      <c r="D356" s="10" t="s">
        <v>195</v>
      </c>
      <c r="E356" s="10" t="s">
        <v>282</v>
      </c>
      <c r="F356" s="10">
        <v>400</v>
      </c>
      <c r="G356" s="10" t="s">
        <v>26</v>
      </c>
      <c r="H356" s="10">
        <v>2720</v>
      </c>
      <c r="I356" s="10">
        <f t="shared" si="35"/>
        <v>1088000</v>
      </c>
      <c r="J356" s="29" t="s">
        <v>113</v>
      </c>
      <c r="K356" s="10"/>
      <c r="L356" s="10"/>
      <c r="M356" s="12">
        <f t="shared" si="36"/>
        <v>0</v>
      </c>
      <c r="N356" s="12"/>
      <c r="O356" s="12"/>
      <c r="P356" s="12">
        <f t="shared" si="37"/>
        <v>0</v>
      </c>
      <c r="Q356" s="12"/>
      <c r="R356" s="12"/>
      <c r="S356" s="12">
        <f t="shared" si="38"/>
        <v>0</v>
      </c>
      <c r="T356" s="12"/>
      <c r="U356" s="12"/>
      <c r="V356" s="12">
        <f t="shared" si="39"/>
        <v>1088000</v>
      </c>
      <c r="W356" s="12">
        <v>1088000</v>
      </c>
      <c r="X356" s="12"/>
      <c r="Y356" s="12">
        <f t="shared" si="40"/>
        <v>0</v>
      </c>
      <c r="Z356" s="12"/>
      <c r="AA356" s="12"/>
      <c r="AB356" s="13">
        <f t="shared" si="41"/>
        <v>0</v>
      </c>
      <c r="AC356" s="14">
        <v>46085</v>
      </c>
    </row>
    <row r="357" spans="1:29" ht="15.75" x14ac:dyDescent="0.25">
      <c r="A357" s="28">
        <v>46085</v>
      </c>
      <c r="B357" s="10" t="s">
        <v>579</v>
      </c>
      <c r="C357" s="10"/>
      <c r="D357" s="10" t="s">
        <v>195</v>
      </c>
      <c r="E357" s="10" t="s">
        <v>170</v>
      </c>
      <c r="F357" s="10">
        <v>125</v>
      </c>
      <c r="G357" s="10" t="s">
        <v>26</v>
      </c>
      <c r="H357" s="10">
        <v>2630</v>
      </c>
      <c r="I357" s="10">
        <f t="shared" si="35"/>
        <v>328750</v>
      </c>
      <c r="J357" s="29" t="s">
        <v>113</v>
      </c>
      <c r="K357" s="10"/>
      <c r="L357" s="10"/>
      <c r="M357" s="12">
        <f t="shared" si="36"/>
        <v>0</v>
      </c>
      <c r="N357" s="12"/>
      <c r="O357" s="12"/>
      <c r="P357" s="12">
        <f t="shared" si="37"/>
        <v>0</v>
      </c>
      <c r="Q357" s="12"/>
      <c r="R357" s="12"/>
      <c r="S357" s="12">
        <f t="shared" si="38"/>
        <v>0</v>
      </c>
      <c r="T357" s="12"/>
      <c r="U357" s="12"/>
      <c r="V357" s="12">
        <f t="shared" si="39"/>
        <v>328750</v>
      </c>
      <c r="W357" s="12">
        <v>328750</v>
      </c>
      <c r="X357" s="12"/>
      <c r="Y357" s="12">
        <f t="shared" si="40"/>
        <v>0</v>
      </c>
      <c r="Z357" s="12"/>
      <c r="AA357" s="12"/>
      <c r="AB357" s="13">
        <f t="shared" si="41"/>
        <v>0</v>
      </c>
      <c r="AC357" s="14">
        <v>46085</v>
      </c>
    </row>
    <row r="358" spans="1:29" ht="15.75" x14ac:dyDescent="0.25">
      <c r="A358" s="65">
        <v>46085</v>
      </c>
      <c r="B358" s="10" t="s">
        <v>580</v>
      </c>
      <c r="C358" s="10"/>
      <c r="D358" s="10" t="s">
        <v>195</v>
      </c>
      <c r="E358" s="10" t="s">
        <v>88</v>
      </c>
      <c r="F358" s="10">
        <v>25</v>
      </c>
      <c r="G358" s="10" t="s">
        <v>36</v>
      </c>
      <c r="H358" s="10">
        <v>125000</v>
      </c>
      <c r="I358" s="10">
        <f t="shared" si="35"/>
        <v>3125000</v>
      </c>
      <c r="J358" s="114" t="s">
        <v>30</v>
      </c>
      <c r="K358" s="88" t="s">
        <v>615</v>
      </c>
      <c r="L358" s="10"/>
      <c r="M358" s="12">
        <f t="shared" si="36"/>
        <v>0</v>
      </c>
      <c r="N358" s="12"/>
      <c r="O358" s="12"/>
      <c r="P358" s="12">
        <f t="shared" si="37"/>
        <v>0</v>
      </c>
      <c r="Q358" s="12"/>
      <c r="R358" s="12"/>
      <c r="S358" s="12">
        <f t="shared" si="38"/>
        <v>0</v>
      </c>
      <c r="T358" s="12"/>
      <c r="U358" s="12"/>
      <c r="V358" s="12">
        <f t="shared" si="39"/>
        <v>0</v>
      </c>
      <c r="W358" s="12"/>
      <c r="X358" s="12"/>
      <c r="Y358" s="12">
        <f t="shared" si="40"/>
        <v>0</v>
      </c>
      <c r="Z358" s="12"/>
      <c r="AA358" s="12"/>
      <c r="AB358" s="13">
        <f t="shared" si="41"/>
        <v>3125000</v>
      </c>
      <c r="AC358" s="14"/>
    </row>
    <row r="359" spans="1:29" s="148" customFormat="1" ht="16.5" thickBot="1" x14ac:dyDescent="0.3">
      <c r="A359" s="65">
        <v>46085</v>
      </c>
      <c r="B359" s="10" t="s">
        <v>272</v>
      </c>
      <c r="C359" s="10"/>
      <c r="D359" s="10"/>
      <c r="E359" s="10" t="s">
        <v>229</v>
      </c>
      <c r="F359" s="10">
        <v>43.1</v>
      </c>
      <c r="G359" s="10" t="s">
        <v>36</v>
      </c>
      <c r="H359" s="10">
        <v>43000</v>
      </c>
      <c r="I359" s="10">
        <f t="shared" si="35"/>
        <v>1853300</v>
      </c>
      <c r="J359" s="115" t="s">
        <v>90</v>
      </c>
      <c r="K359" s="10"/>
      <c r="L359" s="10"/>
      <c r="M359" s="12">
        <f t="shared" si="36"/>
        <v>0</v>
      </c>
      <c r="N359" s="12"/>
      <c r="O359" s="12"/>
      <c r="P359" s="12">
        <f t="shared" si="37"/>
        <v>0</v>
      </c>
      <c r="Q359" s="12"/>
      <c r="R359" s="12"/>
      <c r="S359" s="12">
        <f t="shared" si="38"/>
        <v>0</v>
      </c>
      <c r="T359" s="12"/>
      <c r="U359" s="12"/>
      <c r="V359" s="12">
        <f t="shared" si="39"/>
        <v>0</v>
      </c>
      <c r="W359" s="12"/>
      <c r="X359" s="12"/>
      <c r="Y359" s="12">
        <f t="shared" si="40"/>
        <v>0</v>
      </c>
      <c r="Z359" s="12"/>
      <c r="AA359" s="12"/>
      <c r="AB359" s="13">
        <f t="shared" si="41"/>
        <v>1853300</v>
      </c>
      <c r="AC359" s="14"/>
    </row>
    <row r="360" spans="1:29" ht="16.5" thickBot="1" x14ac:dyDescent="0.3">
      <c r="A360" s="53">
        <v>46085</v>
      </c>
      <c r="B360" s="54" t="s">
        <v>267</v>
      </c>
      <c r="C360" s="54"/>
      <c r="D360" s="54" t="s">
        <v>195</v>
      </c>
      <c r="E360" s="54" t="s">
        <v>114</v>
      </c>
      <c r="F360" s="54">
        <v>10</v>
      </c>
      <c r="G360" s="54" t="s">
        <v>67</v>
      </c>
      <c r="H360" s="54">
        <v>50000</v>
      </c>
      <c r="I360" s="31">
        <f t="shared" si="35"/>
        <v>500000</v>
      </c>
      <c r="J360" s="55" t="s">
        <v>113</v>
      </c>
      <c r="K360" s="54"/>
      <c r="L360" s="31"/>
      <c r="M360" s="34">
        <f t="shared" si="36"/>
        <v>0</v>
      </c>
      <c r="N360" s="34"/>
      <c r="O360" s="34"/>
      <c r="P360" s="34">
        <f t="shared" si="37"/>
        <v>0</v>
      </c>
      <c r="Q360" s="34"/>
      <c r="R360" s="34"/>
      <c r="S360" s="34">
        <f t="shared" si="38"/>
        <v>0</v>
      </c>
      <c r="T360" s="34"/>
      <c r="U360" s="34"/>
      <c r="V360" s="34">
        <f t="shared" si="39"/>
        <v>500000</v>
      </c>
      <c r="W360" s="34">
        <v>500000</v>
      </c>
      <c r="X360" s="34"/>
      <c r="Y360" s="34">
        <f t="shared" si="40"/>
        <v>0</v>
      </c>
      <c r="Z360" s="34"/>
      <c r="AA360" s="34"/>
      <c r="AB360" s="35">
        <f t="shared" si="41"/>
        <v>0</v>
      </c>
      <c r="AC360" s="36">
        <v>46085</v>
      </c>
    </row>
    <row r="361" spans="1:29" ht="15.75" x14ac:dyDescent="0.25">
      <c r="A361" s="65">
        <v>46086</v>
      </c>
      <c r="B361" s="66" t="s">
        <v>583</v>
      </c>
      <c r="C361" s="66"/>
      <c r="D361" s="66" t="s">
        <v>195</v>
      </c>
      <c r="E361" s="66" t="s">
        <v>483</v>
      </c>
      <c r="F361" s="66">
        <v>2</v>
      </c>
      <c r="G361" s="66" t="s">
        <v>61</v>
      </c>
      <c r="H361" s="66">
        <v>230000</v>
      </c>
      <c r="I361" s="10">
        <f t="shared" si="35"/>
        <v>460000</v>
      </c>
      <c r="J361" s="84" t="s">
        <v>113</v>
      </c>
      <c r="K361" s="66"/>
      <c r="L361" s="10"/>
      <c r="M361" s="12">
        <f t="shared" si="36"/>
        <v>0</v>
      </c>
      <c r="N361" s="12"/>
      <c r="O361" s="12"/>
      <c r="P361" s="12">
        <f t="shared" si="37"/>
        <v>0</v>
      </c>
      <c r="Q361" s="12"/>
      <c r="R361" s="12"/>
      <c r="S361" s="12">
        <f t="shared" si="38"/>
        <v>0</v>
      </c>
      <c r="T361" s="12"/>
      <c r="U361" s="12"/>
      <c r="V361" s="12">
        <f t="shared" si="39"/>
        <v>460000</v>
      </c>
      <c r="W361" s="12">
        <v>460000</v>
      </c>
      <c r="X361" s="12"/>
      <c r="Y361" s="12">
        <f t="shared" si="40"/>
        <v>0</v>
      </c>
      <c r="Z361" s="12"/>
      <c r="AA361" s="12"/>
      <c r="AB361" s="13">
        <f t="shared" si="41"/>
        <v>0</v>
      </c>
      <c r="AC361" s="14">
        <v>46086</v>
      </c>
    </row>
    <row r="362" spans="1:29" ht="15.75" x14ac:dyDescent="0.25">
      <c r="A362" s="65">
        <v>46086</v>
      </c>
      <c r="B362" s="10" t="s">
        <v>268</v>
      </c>
      <c r="C362" s="10"/>
      <c r="D362" s="66" t="s">
        <v>195</v>
      </c>
      <c r="E362" s="10" t="s">
        <v>175</v>
      </c>
      <c r="F362" s="10">
        <v>600</v>
      </c>
      <c r="G362" s="10" t="s">
        <v>26</v>
      </c>
      <c r="H362" s="10">
        <v>1000</v>
      </c>
      <c r="I362" s="10">
        <f t="shared" si="35"/>
        <v>600000</v>
      </c>
      <c r="J362" s="29" t="s">
        <v>113</v>
      </c>
      <c r="K362" s="10"/>
      <c r="L362" s="10"/>
      <c r="M362" s="12">
        <f t="shared" si="36"/>
        <v>0</v>
      </c>
      <c r="N362" s="12"/>
      <c r="O362" s="12"/>
      <c r="P362" s="12">
        <f t="shared" si="37"/>
        <v>0</v>
      </c>
      <c r="Q362" s="12"/>
      <c r="R362" s="12"/>
      <c r="S362" s="12">
        <f t="shared" si="38"/>
        <v>0</v>
      </c>
      <c r="T362" s="12"/>
      <c r="U362" s="12"/>
      <c r="V362" s="12">
        <f t="shared" si="39"/>
        <v>600000</v>
      </c>
      <c r="W362" s="12">
        <v>600000</v>
      </c>
      <c r="X362" s="12"/>
      <c r="Y362" s="12">
        <f t="shared" si="40"/>
        <v>0</v>
      </c>
      <c r="Z362" s="12"/>
      <c r="AA362" s="12"/>
      <c r="AB362" s="13">
        <f t="shared" si="41"/>
        <v>0</v>
      </c>
      <c r="AC362" s="14">
        <v>46086</v>
      </c>
    </row>
    <row r="363" spans="1:29" ht="15.75" x14ac:dyDescent="0.25">
      <c r="A363" s="65">
        <v>46086</v>
      </c>
      <c r="B363" s="10" t="s">
        <v>268</v>
      </c>
      <c r="C363" s="10"/>
      <c r="D363" s="66" t="s">
        <v>195</v>
      </c>
      <c r="E363" s="10" t="s">
        <v>160</v>
      </c>
      <c r="F363" s="10">
        <v>1</v>
      </c>
      <c r="G363" s="10" t="s">
        <v>22</v>
      </c>
      <c r="H363" s="10">
        <v>400000</v>
      </c>
      <c r="I363" s="10">
        <f t="shared" si="35"/>
        <v>400000</v>
      </c>
      <c r="J363" s="29" t="s">
        <v>113</v>
      </c>
      <c r="K363" s="10"/>
      <c r="L363" s="10"/>
      <c r="M363" s="12">
        <f t="shared" si="36"/>
        <v>0</v>
      </c>
      <c r="N363" s="12"/>
      <c r="O363" s="12"/>
      <c r="P363" s="12">
        <f t="shared" si="37"/>
        <v>0</v>
      </c>
      <c r="Q363" s="12"/>
      <c r="R363" s="12"/>
      <c r="S363" s="12">
        <f t="shared" si="38"/>
        <v>0</v>
      </c>
      <c r="T363" s="12"/>
      <c r="U363" s="12"/>
      <c r="V363" s="12">
        <f t="shared" si="39"/>
        <v>400000</v>
      </c>
      <c r="W363" s="12">
        <v>400000</v>
      </c>
      <c r="X363" s="12"/>
      <c r="Y363" s="12">
        <f t="shared" si="40"/>
        <v>0</v>
      </c>
      <c r="Z363" s="12"/>
      <c r="AA363" s="12"/>
      <c r="AB363" s="13">
        <f t="shared" si="41"/>
        <v>0</v>
      </c>
      <c r="AC363" s="14">
        <v>46086</v>
      </c>
    </row>
    <row r="364" spans="1:29" ht="15.75" x14ac:dyDescent="0.25">
      <c r="A364" s="65">
        <v>46086</v>
      </c>
      <c r="B364" s="10" t="s">
        <v>302</v>
      </c>
      <c r="C364" s="10"/>
      <c r="D364" s="66" t="s">
        <v>195</v>
      </c>
      <c r="E364" s="10" t="s">
        <v>584</v>
      </c>
      <c r="F364" s="10">
        <v>6</v>
      </c>
      <c r="G364" s="10" t="s">
        <v>133</v>
      </c>
      <c r="H364" s="10">
        <v>660000</v>
      </c>
      <c r="I364" s="10">
        <f t="shared" si="35"/>
        <v>3960000</v>
      </c>
      <c r="J364" s="29" t="s">
        <v>110</v>
      </c>
      <c r="K364" s="10"/>
      <c r="L364" s="10" t="s">
        <v>588</v>
      </c>
      <c r="M364" s="12">
        <f t="shared" si="36"/>
        <v>0</v>
      </c>
      <c r="N364" s="12"/>
      <c r="O364" s="12"/>
      <c r="P364" s="12">
        <f t="shared" si="37"/>
        <v>3960000</v>
      </c>
      <c r="Q364" s="12">
        <v>3960000</v>
      </c>
      <c r="R364" s="12"/>
      <c r="S364" s="12">
        <f t="shared" si="38"/>
        <v>0</v>
      </c>
      <c r="T364" s="12"/>
      <c r="U364" s="12"/>
      <c r="V364" s="12">
        <f t="shared" si="39"/>
        <v>0</v>
      </c>
      <c r="W364" s="12"/>
      <c r="X364" s="12"/>
      <c r="Y364" s="12">
        <f t="shared" si="40"/>
        <v>0</v>
      </c>
      <c r="Z364" s="12"/>
      <c r="AA364" s="12"/>
      <c r="AB364" s="13">
        <f t="shared" si="41"/>
        <v>0</v>
      </c>
      <c r="AC364" s="14">
        <v>46086</v>
      </c>
    </row>
    <row r="365" spans="1:29" ht="15.75" x14ac:dyDescent="0.25">
      <c r="A365" s="65">
        <v>46086</v>
      </c>
      <c r="B365" s="10" t="s">
        <v>268</v>
      </c>
      <c r="C365" s="10"/>
      <c r="D365" s="66" t="s">
        <v>195</v>
      </c>
      <c r="E365" s="10" t="s">
        <v>379</v>
      </c>
      <c r="F365" s="10">
        <v>2000</v>
      </c>
      <c r="G365" s="10" t="s">
        <v>26</v>
      </c>
      <c r="H365" s="10">
        <v>1000</v>
      </c>
      <c r="I365" s="10">
        <f t="shared" si="35"/>
        <v>2000000</v>
      </c>
      <c r="J365" s="29" t="s">
        <v>110</v>
      </c>
      <c r="K365" s="10"/>
      <c r="L365" s="10" t="s">
        <v>589</v>
      </c>
      <c r="M365" s="12">
        <f t="shared" si="36"/>
        <v>0</v>
      </c>
      <c r="N365" s="12"/>
      <c r="O365" s="12"/>
      <c r="P365" s="12">
        <f t="shared" si="37"/>
        <v>2000000</v>
      </c>
      <c r="Q365" s="12">
        <v>2000000</v>
      </c>
      <c r="R365" s="12"/>
      <c r="S365" s="12">
        <f t="shared" si="38"/>
        <v>0</v>
      </c>
      <c r="T365" s="12"/>
      <c r="U365" s="12"/>
      <c r="V365" s="12">
        <f t="shared" si="39"/>
        <v>0</v>
      </c>
      <c r="W365" s="12"/>
      <c r="X365" s="12"/>
      <c r="Y365" s="12">
        <f t="shared" si="40"/>
        <v>0</v>
      </c>
      <c r="Z365" s="12"/>
      <c r="AA365" s="12"/>
      <c r="AB365" s="13">
        <f t="shared" si="41"/>
        <v>0</v>
      </c>
      <c r="AC365" s="14">
        <v>46086</v>
      </c>
    </row>
    <row r="366" spans="1:29" ht="15.75" x14ac:dyDescent="0.25">
      <c r="A366" s="65">
        <v>46086</v>
      </c>
      <c r="B366" s="10" t="s">
        <v>268</v>
      </c>
      <c r="C366" s="10"/>
      <c r="D366" s="66" t="s">
        <v>195</v>
      </c>
      <c r="E366" s="10" t="s">
        <v>116</v>
      </c>
      <c r="F366" s="10">
        <v>4</v>
      </c>
      <c r="G366" s="10" t="s">
        <v>67</v>
      </c>
      <c r="H366" s="10">
        <v>65000</v>
      </c>
      <c r="I366" s="10">
        <f t="shared" si="35"/>
        <v>260000</v>
      </c>
      <c r="J366" s="29" t="s">
        <v>110</v>
      </c>
      <c r="K366" s="10"/>
      <c r="L366" s="10" t="s">
        <v>589</v>
      </c>
      <c r="M366" s="12">
        <f t="shared" si="36"/>
        <v>0</v>
      </c>
      <c r="N366" s="12"/>
      <c r="O366" s="12"/>
      <c r="P366" s="12">
        <f t="shared" si="37"/>
        <v>260000</v>
      </c>
      <c r="Q366" s="12">
        <v>260000</v>
      </c>
      <c r="R366" s="12"/>
      <c r="S366" s="12">
        <f t="shared" si="38"/>
        <v>0</v>
      </c>
      <c r="T366" s="12"/>
      <c r="U366" s="12"/>
      <c r="V366" s="12">
        <f t="shared" si="39"/>
        <v>0</v>
      </c>
      <c r="W366" s="12"/>
      <c r="X366" s="12"/>
      <c r="Y366" s="12">
        <f t="shared" si="40"/>
        <v>0</v>
      </c>
      <c r="Z366" s="12"/>
      <c r="AA366" s="12"/>
      <c r="AB366" s="13">
        <f t="shared" si="41"/>
        <v>0</v>
      </c>
      <c r="AC366" s="14">
        <v>46086</v>
      </c>
    </row>
    <row r="367" spans="1:29" ht="15.75" x14ac:dyDescent="0.25">
      <c r="A367" s="65">
        <v>46086</v>
      </c>
      <c r="B367" s="10" t="s">
        <v>268</v>
      </c>
      <c r="C367" s="10"/>
      <c r="D367" s="66" t="s">
        <v>195</v>
      </c>
      <c r="E367" s="10" t="s">
        <v>130</v>
      </c>
      <c r="F367" s="10">
        <v>20</v>
      </c>
      <c r="G367" s="10" t="s">
        <v>67</v>
      </c>
      <c r="H367" s="10">
        <v>50000</v>
      </c>
      <c r="I367" s="10">
        <f t="shared" si="35"/>
        <v>1000000</v>
      </c>
      <c r="J367" s="29" t="s">
        <v>110</v>
      </c>
      <c r="K367" s="10"/>
      <c r="L367" s="10" t="s">
        <v>589</v>
      </c>
      <c r="M367" s="12">
        <f t="shared" si="36"/>
        <v>0</v>
      </c>
      <c r="N367" s="12"/>
      <c r="O367" s="12"/>
      <c r="P367" s="12">
        <f t="shared" si="37"/>
        <v>1000000</v>
      </c>
      <c r="Q367" s="12">
        <v>1000000</v>
      </c>
      <c r="R367" s="12"/>
      <c r="S367" s="12">
        <f t="shared" si="38"/>
        <v>0</v>
      </c>
      <c r="T367" s="12"/>
      <c r="U367" s="12"/>
      <c r="V367" s="12">
        <f t="shared" si="39"/>
        <v>0</v>
      </c>
      <c r="W367" s="12"/>
      <c r="X367" s="12"/>
      <c r="Y367" s="12">
        <f t="shared" si="40"/>
        <v>0</v>
      </c>
      <c r="Z367" s="12"/>
      <c r="AA367" s="12"/>
      <c r="AB367" s="13">
        <f t="shared" si="41"/>
        <v>0</v>
      </c>
      <c r="AC367" s="14">
        <v>46086</v>
      </c>
    </row>
    <row r="368" spans="1:29" ht="15.75" x14ac:dyDescent="0.25">
      <c r="A368" s="65">
        <v>46086</v>
      </c>
      <c r="B368" s="10" t="s">
        <v>585</v>
      </c>
      <c r="C368" s="10"/>
      <c r="D368" s="66" t="s">
        <v>195</v>
      </c>
      <c r="E368" s="10" t="s">
        <v>586</v>
      </c>
      <c r="F368" s="10">
        <v>1.5</v>
      </c>
      <c r="G368" s="10" t="s">
        <v>67</v>
      </c>
      <c r="H368" s="10">
        <v>100000</v>
      </c>
      <c r="I368" s="10">
        <f t="shared" si="35"/>
        <v>150000</v>
      </c>
      <c r="J368" s="29" t="s">
        <v>113</v>
      </c>
      <c r="K368" s="10"/>
      <c r="L368" s="10"/>
      <c r="M368" s="12">
        <f t="shared" si="36"/>
        <v>150000</v>
      </c>
      <c r="N368" s="12">
        <v>150000</v>
      </c>
      <c r="O368" s="12"/>
      <c r="P368" s="12">
        <f t="shared" si="37"/>
        <v>0</v>
      </c>
      <c r="Q368" s="12"/>
      <c r="R368" s="12"/>
      <c r="S368" s="12">
        <f t="shared" si="38"/>
        <v>0</v>
      </c>
      <c r="T368" s="12"/>
      <c r="U368" s="12"/>
      <c r="V368" s="12">
        <f t="shared" si="39"/>
        <v>0</v>
      </c>
      <c r="W368" s="12"/>
      <c r="X368" s="12"/>
      <c r="Y368" s="12">
        <f t="shared" si="40"/>
        <v>0</v>
      </c>
      <c r="Z368" s="12"/>
      <c r="AA368" s="12"/>
      <c r="AB368" s="13">
        <f t="shared" si="41"/>
        <v>0</v>
      </c>
      <c r="AC368" s="14">
        <v>46086</v>
      </c>
    </row>
    <row r="369" spans="1:29" ht="15.75" x14ac:dyDescent="0.25">
      <c r="A369" s="65">
        <v>46086</v>
      </c>
      <c r="B369" s="66" t="s">
        <v>185</v>
      </c>
      <c r="C369" s="66"/>
      <c r="D369" s="66" t="s">
        <v>195</v>
      </c>
      <c r="E369" s="66" t="s">
        <v>42</v>
      </c>
      <c r="F369" s="66">
        <v>50</v>
      </c>
      <c r="G369" s="66" t="s">
        <v>39</v>
      </c>
      <c r="H369" s="66">
        <v>53000</v>
      </c>
      <c r="I369" s="10">
        <f t="shared" si="35"/>
        <v>2650000</v>
      </c>
      <c r="J369" s="84" t="s">
        <v>110</v>
      </c>
      <c r="K369" s="66"/>
      <c r="L369" s="10" t="s">
        <v>590</v>
      </c>
      <c r="M369" s="12">
        <f t="shared" si="36"/>
        <v>0</v>
      </c>
      <c r="N369" s="12"/>
      <c r="O369" s="12"/>
      <c r="P369" s="12">
        <f t="shared" si="37"/>
        <v>2650000</v>
      </c>
      <c r="Q369" s="12">
        <v>2650000</v>
      </c>
      <c r="R369" s="12"/>
      <c r="S369" s="12">
        <f t="shared" si="38"/>
        <v>0</v>
      </c>
      <c r="T369" s="12"/>
      <c r="U369" s="12"/>
      <c r="V369" s="12">
        <f t="shared" si="39"/>
        <v>0</v>
      </c>
      <c r="W369" s="12"/>
      <c r="X369" s="12"/>
      <c r="Y369" s="12">
        <f t="shared" si="40"/>
        <v>0</v>
      </c>
      <c r="Z369" s="12"/>
      <c r="AA369" s="12"/>
      <c r="AB369" s="13">
        <f t="shared" si="41"/>
        <v>0</v>
      </c>
      <c r="AC369" s="14">
        <v>46086</v>
      </c>
    </row>
    <row r="370" spans="1:29" ht="15.75" x14ac:dyDescent="0.25">
      <c r="A370" s="65">
        <v>46086</v>
      </c>
      <c r="B370" s="66" t="s">
        <v>185</v>
      </c>
      <c r="C370" s="10"/>
      <c r="D370" s="66" t="s">
        <v>195</v>
      </c>
      <c r="E370" s="66" t="s">
        <v>42</v>
      </c>
      <c r="F370" s="10">
        <v>50</v>
      </c>
      <c r="G370" s="10" t="s">
        <v>39</v>
      </c>
      <c r="H370" s="10">
        <v>53000</v>
      </c>
      <c r="I370" s="10">
        <f t="shared" si="35"/>
        <v>2650000</v>
      </c>
      <c r="J370" s="29" t="s">
        <v>113</v>
      </c>
      <c r="K370" s="10"/>
      <c r="L370" s="10"/>
      <c r="M370" s="12">
        <f t="shared" si="36"/>
        <v>2650000</v>
      </c>
      <c r="N370" s="12">
        <v>2650000</v>
      </c>
      <c r="O370" s="12"/>
      <c r="P370" s="12">
        <f t="shared" si="37"/>
        <v>0</v>
      </c>
      <c r="Q370" s="12"/>
      <c r="R370" s="12"/>
      <c r="S370" s="12">
        <f t="shared" si="38"/>
        <v>0</v>
      </c>
      <c r="T370" s="12"/>
      <c r="U370" s="12"/>
      <c r="V370" s="12">
        <f t="shared" si="39"/>
        <v>0</v>
      </c>
      <c r="W370" s="12"/>
      <c r="X370" s="12"/>
      <c r="Y370" s="12">
        <f t="shared" si="40"/>
        <v>0</v>
      </c>
      <c r="Z370" s="12"/>
      <c r="AA370" s="12"/>
      <c r="AB370" s="13">
        <f t="shared" si="41"/>
        <v>0</v>
      </c>
      <c r="AC370" s="14">
        <v>46086</v>
      </c>
    </row>
    <row r="371" spans="1:29" ht="15.75" x14ac:dyDescent="0.25">
      <c r="A371" s="65">
        <v>46086</v>
      </c>
      <c r="B371" s="10" t="s">
        <v>488</v>
      </c>
      <c r="C371" s="10"/>
      <c r="D371" s="66" t="s">
        <v>195</v>
      </c>
      <c r="E371" s="10" t="s">
        <v>489</v>
      </c>
      <c r="F371" s="10">
        <v>1</v>
      </c>
      <c r="G371" s="10" t="s">
        <v>36</v>
      </c>
      <c r="H371" s="10">
        <v>165000</v>
      </c>
      <c r="I371" s="10">
        <f t="shared" si="35"/>
        <v>165000</v>
      </c>
      <c r="J371" s="29" t="s">
        <v>40</v>
      </c>
      <c r="K371" s="10"/>
      <c r="L371" s="10" t="s">
        <v>591</v>
      </c>
      <c r="M371" s="12">
        <f t="shared" si="36"/>
        <v>0</v>
      </c>
      <c r="N371" s="12"/>
      <c r="O371" s="12"/>
      <c r="P371" s="12">
        <f t="shared" si="37"/>
        <v>300000</v>
      </c>
      <c r="Q371" s="12">
        <v>300000</v>
      </c>
      <c r="R371" s="12"/>
      <c r="S371" s="12">
        <f t="shared" si="38"/>
        <v>0</v>
      </c>
      <c r="T371" s="12"/>
      <c r="U371" s="12"/>
      <c r="V371" s="12">
        <f t="shared" si="39"/>
        <v>0</v>
      </c>
      <c r="W371" s="12"/>
      <c r="X371" s="12"/>
      <c r="Y371" s="12">
        <f t="shared" si="40"/>
        <v>0</v>
      </c>
      <c r="Z371" s="12"/>
      <c r="AA371" s="12"/>
      <c r="AB371" s="13">
        <f t="shared" si="41"/>
        <v>-135000</v>
      </c>
      <c r="AC371" s="14">
        <v>46086</v>
      </c>
    </row>
    <row r="372" spans="1:29" ht="15.75" x14ac:dyDescent="0.25">
      <c r="A372" s="65">
        <v>46086</v>
      </c>
      <c r="B372" s="10" t="s">
        <v>562</v>
      </c>
      <c r="C372" s="10"/>
      <c r="D372" s="10" t="s">
        <v>383</v>
      </c>
      <c r="E372" s="10" t="s">
        <v>46</v>
      </c>
      <c r="F372" s="10">
        <v>93.3</v>
      </c>
      <c r="G372" s="10" t="s">
        <v>36</v>
      </c>
      <c r="H372" s="10">
        <v>110000</v>
      </c>
      <c r="I372" s="10">
        <f t="shared" si="35"/>
        <v>10263000</v>
      </c>
      <c r="J372" s="52" t="s">
        <v>30</v>
      </c>
      <c r="K372" s="10" t="s">
        <v>497</v>
      </c>
      <c r="L372" s="10"/>
      <c r="M372" s="12">
        <f t="shared" si="36"/>
        <v>0</v>
      </c>
      <c r="N372" s="12"/>
      <c r="O372" s="12"/>
      <c r="P372" s="12">
        <f t="shared" si="37"/>
        <v>0</v>
      </c>
      <c r="Q372" s="12"/>
      <c r="R372" s="12"/>
      <c r="S372" s="12">
        <f t="shared" si="38"/>
        <v>0</v>
      </c>
      <c r="T372" s="12"/>
      <c r="U372" s="12"/>
      <c r="V372" s="12">
        <f t="shared" si="39"/>
        <v>0</v>
      </c>
      <c r="W372" s="12"/>
      <c r="X372" s="12"/>
      <c r="Y372" s="12">
        <f t="shared" si="40"/>
        <v>0</v>
      </c>
      <c r="Z372" s="12"/>
      <c r="AA372" s="12"/>
      <c r="AB372" s="13">
        <f t="shared" si="41"/>
        <v>10263000</v>
      </c>
      <c r="AC372" s="14"/>
    </row>
    <row r="373" spans="1:29" ht="15.75" x14ac:dyDescent="0.25">
      <c r="A373" s="65">
        <v>46086</v>
      </c>
      <c r="B373" s="10" t="s">
        <v>587</v>
      </c>
      <c r="C373" s="10"/>
      <c r="D373" s="10" t="s">
        <v>195</v>
      </c>
      <c r="E373" s="10" t="s">
        <v>112</v>
      </c>
      <c r="F373" s="10">
        <v>10</v>
      </c>
      <c r="G373" s="10" t="s">
        <v>26</v>
      </c>
      <c r="H373" s="10">
        <v>95000</v>
      </c>
      <c r="I373" s="10">
        <f t="shared" si="35"/>
        <v>950000</v>
      </c>
      <c r="J373" s="29" t="s">
        <v>113</v>
      </c>
      <c r="K373" s="10"/>
      <c r="L373" s="10"/>
      <c r="M373" s="12">
        <f t="shared" si="36"/>
        <v>0</v>
      </c>
      <c r="N373" s="12"/>
      <c r="O373" s="12"/>
      <c r="P373" s="12">
        <f t="shared" si="37"/>
        <v>0</v>
      </c>
      <c r="Q373" s="12"/>
      <c r="R373" s="12"/>
      <c r="S373" s="12">
        <f t="shared" si="38"/>
        <v>0</v>
      </c>
      <c r="T373" s="12"/>
      <c r="U373" s="12"/>
      <c r="V373" s="12">
        <f t="shared" si="39"/>
        <v>950000</v>
      </c>
      <c r="W373" s="12">
        <v>950000</v>
      </c>
      <c r="X373" s="12"/>
      <c r="Y373" s="12">
        <f t="shared" si="40"/>
        <v>0</v>
      </c>
      <c r="Z373" s="12"/>
      <c r="AA373" s="12"/>
      <c r="AB373" s="13">
        <f t="shared" si="41"/>
        <v>0</v>
      </c>
      <c r="AC373" s="14">
        <v>46086</v>
      </c>
    </row>
    <row r="374" spans="1:29" ht="15.75" x14ac:dyDescent="0.25">
      <c r="A374" s="65">
        <v>46086</v>
      </c>
      <c r="B374" s="10" t="s">
        <v>411</v>
      </c>
      <c r="C374" s="10"/>
      <c r="D374" s="10" t="s">
        <v>195</v>
      </c>
      <c r="E374" s="10" t="s">
        <v>412</v>
      </c>
      <c r="F374" s="10">
        <v>10</v>
      </c>
      <c r="G374" s="10" t="s">
        <v>67</v>
      </c>
      <c r="H374" s="10">
        <v>50000</v>
      </c>
      <c r="I374" s="10">
        <f t="shared" si="35"/>
        <v>500000</v>
      </c>
      <c r="J374" s="29" t="s">
        <v>113</v>
      </c>
      <c r="K374" s="10"/>
      <c r="L374" s="10"/>
      <c r="M374" s="12">
        <f t="shared" si="36"/>
        <v>0</v>
      </c>
      <c r="N374" s="12"/>
      <c r="O374" s="12"/>
      <c r="P374" s="12">
        <f t="shared" si="37"/>
        <v>0</v>
      </c>
      <c r="Q374" s="12"/>
      <c r="R374" s="12"/>
      <c r="S374" s="12">
        <f t="shared" si="38"/>
        <v>0</v>
      </c>
      <c r="T374" s="12"/>
      <c r="U374" s="12"/>
      <c r="V374" s="12">
        <f t="shared" si="39"/>
        <v>500000</v>
      </c>
      <c r="W374" s="12">
        <v>500000</v>
      </c>
      <c r="X374" s="12"/>
      <c r="Y374" s="12">
        <f t="shared" si="40"/>
        <v>0</v>
      </c>
      <c r="Z374" s="12"/>
      <c r="AA374" s="12"/>
      <c r="AB374" s="13">
        <f t="shared" si="41"/>
        <v>0</v>
      </c>
      <c r="AC374" s="14">
        <v>46086</v>
      </c>
    </row>
    <row r="375" spans="1:29" ht="15.75" x14ac:dyDescent="0.25">
      <c r="A375" s="65">
        <v>46086</v>
      </c>
      <c r="B375" s="10" t="s">
        <v>297</v>
      </c>
      <c r="C375" s="10"/>
      <c r="D375" s="10" t="s">
        <v>195</v>
      </c>
      <c r="E375" s="10" t="s">
        <v>116</v>
      </c>
      <c r="F375" s="10">
        <v>12</v>
      </c>
      <c r="G375" s="10" t="s">
        <v>67</v>
      </c>
      <c r="H375" s="10">
        <v>65000</v>
      </c>
      <c r="I375" s="10">
        <f t="shared" si="35"/>
        <v>780000</v>
      </c>
      <c r="J375" s="29" t="s">
        <v>113</v>
      </c>
      <c r="K375" s="10"/>
      <c r="L375" s="10"/>
      <c r="M375" s="12">
        <f t="shared" si="36"/>
        <v>0</v>
      </c>
      <c r="N375" s="12"/>
      <c r="O375" s="12"/>
      <c r="P375" s="12">
        <f t="shared" si="37"/>
        <v>0</v>
      </c>
      <c r="Q375" s="12"/>
      <c r="R375" s="12"/>
      <c r="S375" s="12">
        <f t="shared" si="38"/>
        <v>0</v>
      </c>
      <c r="T375" s="12"/>
      <c r="U375" s="12"/>
      <c r="V375" s="12">
        <f t="shared" si="39"/>
        <v>780000</v>
      </c>
      <c r="W375" s="12">
        <v>780000</v>
      </c>
      <c r="X375" s="12"/>
      <c r="Y375" s="12">
        <f t="shared" si="40"/>
        <v>0</v>
      </c>
      <c r="Z375" s="12"/>
      <c r="AA375" s="12"/>
      <c r="AB375" s="13">
        <f t="shared" si="41"/>
        <v>0</v>
      </c>
      <c r="AC375" s="14">
        <v>46086</v>
      </c>
    </row>
    <row r="376" spans="1:29" ht="15.75" x14ac:dyDescent="0.25">
      <c r="A376" s="65">
        <v>46086</v>
      </c>
      <c r="B376" s="10" t="s">
        <v>297</v>
      </c>
      <c r="C376" s="10"/>
      <c r="D376" s="10" t="s">
        <v>195</v>
      </c>
      <c r="E376" s="10" t="s">
        <v>117</v>
      </c>
      <c r="F376" s="85">
        <v>10</v>
      </c>
      <c r="G376" s="10" t="s">
        <v>36</v>
      </c>
      <c r="H376" s="10">
        <v>70000</v>
      </c>
      <c r="I376" s="10">
        <f t="shared" si="35"/>
        <v>700000</v>
      </c>
      <c r="J376" s="29" t="s">
        <v>113</v>
      </c>
      <c r="K376" s="10"/>
      <c r="L376" s="10"/>
      <c r="M376" s="12">
        <f t="shared" si="36"/>
        <v>0</v>
      </c>
      <c r="N376" s="12"/>
      <c r="O376" s="12"/>
      <c r="P376" s="12">
        <f t="shared" si="37"/>
        <v>0</v>
      </c>
      <c r="Q376" s="12"/>
      <c r="R376" s="12"/>
      <c r="S376" s="12">
        <f t="shared" si="38"/>
        <v>0</v>
      </c>
      <c r="T376" s="12"/>
      <c r="U376" s="12"/>
      <c r="V376" s="12">
        <f t="shared" si="39"/>
        <v>700000</v>
      </c>
      <c r="W376" s="12">
        <v>700000</v>
      </c>
      <c r="X376" s="12"/>
      <c r="Y376" s="12">
        <f t="shared" si="40"/>
        <v>0</v>
      </c>
      <c r="Z376" s="12"/>
      <c r="AA376" s="12"/>
      <c r="AB376" s="13">
        <f t="shared" si="41"/>
        <v>0</v>
      </c>
      <c r="AC376" s="14">
        <v>46086</v>
      </c>
    </row>
    <row r="377" spans="1:29" ht="15.75" x14ac:dyDescent="0.25">
      <c r="A377" s="65">
        <v>46086</v>
      </c>
      <c r="B377" s="10" t="s">
        <v>272</v>
      </c>
      <c r="C377" s="10"/>
      <c r="D377" s="10"/>
      <c r="E377" s="10" t="s">
        <v>307</v>
      </c>
      <c r="F377" s="10">
        <v>27</v>
      </c>
      <c r="G377" s="10" t="s">
        <v>36</v>
      </c>
      <c r="H377" s="10">
        <v>43000</v>
      </c>
      <c r="I377" s="10">
        <f t="shared" si="35"/>
        <v>1161000</v>
      </c>
      <c r="J377" s="115" t="s">
        <v>90</v>
      </c>
      <c r="K377" s="10"/>
      <c r="L377" s="10"/>
      <c r="M377" s="12">
        <f t="shared" si="36"/>
        <v>0</v>
      </c>
      <c r="N377" s="12"/>
      <c r="O377" s="12"/>
      <c r="P377" s="12">
        <f t="shared" si="37"/>
        <v>0</v>
      </c>
      <c r="Q377" s="12"/>
      <c r="R377" s="12"/>
      <c r="S377" s="12">
        <f t="shared" si="38"/>
        <v>0</v>
      </c>
      <c r="T377" s="12"/>
      <c r="U377" s="12"/>
      <c r="V377" s="12">
        <f t="shared" si="39"/>
        <v>0</v>
      </c>
      <c r="W377" s="12"/>
      <c r="X377" s="12"/>
      <c r="Y377" s="12">
        <f t="shared" si="40"/>
        <v>0</v>
      </c>
      <c r="Z377" s="12"/>
      <c r="AA377" s="12"/>
      <c r="AB377" s="13">
        <f t="shared" si="41"/>
        <v>1161000</v>
      </c>
      <c r="AC377" s="14"/>
    </row>
    <row r="378" spans="1:29" s="148" customFormat="1" ht="16.5" thickBot="1" x14ac:dyDescent="0.3">
      <c r="A378" s="28">
        <v>46086</v>
      </c>
      <c r="B378" s="10" t="s">
        <v>272</v>
      </c>
      <c r="C378" s="10"/>
      <c r="D378" s="10"/>
      <c r="E378" s="10" t="s">
        <v>377</v>
      </c>
      <c r="F378" s="10">
        <v>64.8</v>
      </c>
      <c r="G378" s="10" t="s">
        <v>36</v>
      </c>
      <c r="H378" s="10">
        <v>43000</v>
      </c>
      <c r="I378" s="10">
        <f t="shared" si="35"/>
        <v>2786400</v>
      </c>
      <c r="J378" s="86" t="s">
        <v>30</v>
      </c>
      <c r="K378" s="10"/>
      <c r="L378" s="10"/>
      <c r="M378" s="12">
        <f t="shared" si="36"/>
        <v>0</v>
      </c>
      <c r="N378" s="12"/>
      <c r="O378" s="12"/>
      <c r="P378" s="12">
        <f t="shared" si="37"/>
        <v>0</v>
      </c>
      <c r="Q378" s="12"/>
      <c r="R378" s="12"/>
      <c r="S378" s="12">
        <f t="shared" si="38"/>
        <v>0</v>
      </c>
      <c r="T378" s="12"/>
      <c r="U378" s="12"/>
      <c r="V378" s="12">
        <f t="shared" si="39"/>
        <v>0</v>
      </c>
      <c r="W378" s="12"/>
      <c r="X378" s="12"/>
      <c r="Y378" s="12">
        <f t="shared" si="40"/>
        <v>0</v>
      </c>
      <c r="Z378" s="12"/>
      <c r="AA378" s="12"/>
      <c r="AB378" s="13">
        <f t="shared" si="41"/>
        <v>2786400</v>
      </c>
      <c r="AC378" s="14"/>
    </row>
    <row r="379" spans="1:29" ht="15.75" x14ac:dyDescent="0.25">
      <c r="A379" s="65">
        <v>46086</v>
      </c>
      <c r="B379" s="10" t="s">
        <v>101</v>
      </c>
      <c r="C379" s="10"/>
      <c r="D379" s="10" t="s">
        <v>383</v>
      </c>
      <c r="E379" s="10" t="s">
        <v>88</v>
      </c>
      <c r="F379" s="10">
        <v>25</v>
      </c>
      <c r="G379" s="10" t="s">
        <v>36</v>
      </c>
      <c r="H379" s="10">
        <v>125000</v>
      </c>
      <c r="I379" s="10">
        <f t="shared" si="35"/>
        <v>3125000</v>
      </c>
      <c r="J379" s="52" t="s">
        <v>90</v>
      </c>
      <c r="K379" s="95" t="s">
        <v>638</v>
      </c>
      <c r="L379" s="10" t="s">
        <v>592</v>
      </c>
      <c r="M379" s="12">
        <f t="shared" si="36"/>
        <v>0</v>
      </c>
      <c r="N379" s="12"/>
      <c r="O379" s="12"/>
      <c r="P379" s="12">
        <f t="shared" si="37"/>
        <v>0</v>
      </c>
      <c r="Q379" s="12"/>
      <c r="R379" s="12"/>
      <c r="S379" s="12">
        <f t="shared" si="38"/>
        <v>0</v>
      </c>
      <c r="T379" s="12"/>
      <c r="U379" s="12"/>
      <c r="V379" s="12">
        <f t="shared" si="39"/>
        <v>0</v>
      </c>
      <c r="W379" s="12"/>
      <c r="X379" s="12"/>
      <c r="Y379" s="12">
        <f t="shared" si="40"/>
        <v>0</v>
      </c>
      <c r="Z379" s="12"/>
      <c r="AA379" s="12"/>
      <c r="AB379" s="13">
        <f t="shared" si="41"/>
        <v>3125000</v>
      </c>
      <c r="AC379" s="14"/>
    </row>
    <row r="380" spans="1:29" ht="16.5" thickBot="1" x14ac:dyDescent="0.3">
      <c r="A380" s="53">
        <v>46086</v>
      </c>
      <c r="B380" s="31" t="s">
        <v>101</v>
      </c>
      <c r="C380" s="31"/>
      <c r="D380" s="31" t="s">
        <v>383</v>
      </c>
      <c r="E380" s="31" t="s">
        <v>116</v>
      </c>
      <c r="F380" s="31">
        <v>40</v>
      </c>
      <c r="G380" s="31" t="s">
        <v>67</v>
      </c>
      <c r="H380" s="31">
        <v>65000</v>
      </c>
      <c r="I380" s="31">
        <f t="shared" si="35"/>
        <v>2600000</v>
      </c>
      <c r="J380" s="64" t="s">
        <v>90</v>
      </c>
      <c r="K380" s="101" t="s">
        <v>638</v>
      </c>
      <c r="L380" s="31" t="s">
        <v>592</v>
      </c>
      <c r="M380" s="34">
        <f t="shared" si="36"/>
        <v>0</v>
      </c>
      <c r="N380" s="34"/>
      <c r="O380" s="34"/>
      <c r="P380" s="34">
        <f t="shared" si="37"/>
        <v>0</v>
      </c>
      <c r="Q380" s="34"/>
      <c r="R380" s="34"/>
      <c r="S380" s="34">
        <f t="shared" si="38"/>
        <v>0</v>
      </c>
      <c r="T380" s="34"/>
      <c r="U380" s="34"/>
      <c r="V380" s="34">
        <f t="shared" si="39"/>
        <v>0</v>
      </c>
      <c r="W380" s="34"/>
      <c r="X380" s="34"/>
      <c r="Y380" s="34">
        <f t="shared" si="40"/>
        <v>0</v>
      </c>
      <c r="Z380" s="34"/>
      <c r="AA380" s="34"/>
      <c r="AB380" s="35">
        <f t="shared" si="41"/>
        <v>2600000</v>
      </c>
      <c r="AC380" s="36"/>
    </row>
    <row r="381" spans="1:29" ht="15.75" x14ac:dyDescent="0.25">
      <c r="A381" s="65">
        <v>46087</v>
      </c>
      <c r="B381" s="66" t="s">
        <v>234</v>
      </c>
      <c r="C381" s="66"/>
      <c r="D381" s="66" t="s">
        <v>383</v>
      </c>
      <c r="E381" s="66" t="s">
        <v>78</v>
      </c>
      <c r="F381" s="66">
        <v>4</v>
      </c>
      <c r="G381" s="66" t="s">
        <v>61</v>
      </c>
      <c r="H381" s="66">
        <v>250000</v>
      </c>
      <c r="I381" s="10">
        <f t="shared" si="35"/>
        <v>1000000</v>
      </c>
      <c r="J381" s="29" t="s">
        <v>110</v>
      </c>
      <c r="K381" s="66" t="s">
        <v>497</v>
      </c>
      <c r="L381" s="10" t="s">
        <v>568</v>
      </c>
      <c r="M381" s="12">
        <f t="shared" si="36"/>
        <v>0</v>
      </c>
      <c r="N381" s="12"/>
      <c r="O381" s="12"/>
      <c r="P381" s="12">
        <f t="shared" si="37"/>
        <v>1000000</v>
      </c>
      <c r="Q381" s="12">
        <v>1000000</v>
      </c>
      <c r="R381" s="12"/>
      <c r="S381" s="12">
        <f t="shared" si="38"/>
        <v>0</v>
      </c>
      <c r="T381" s="12"/>
      <c r="U381" s="12"/>
      <c r="V381" s="12">
        <f t="shared" si="39"/>
        <v>0</v>
      </c>
      <c r="W381" s="12"/>
      <c r="X381" s="12"/>
      <c r="Y381" s="12">
        <f t="shared" si="40"/>
        <v>0</v>
      </c>
      <c r="Z381" s="12"/>
      <c r="AA381" s="12"/>
      <c r="AB381" s="13">
        <f t="shared" si="41"/>
        <v>0</v>
      </c>
      <c r="AC381" s="14">
        <v>46094</v>
      </c>
    </row>
    <row r="382" spans="1:29" ht="15.75" x14ac:dyDescent="0.25">
      <c r="A382" s="65">
        <v>46087</v>
      </c>
      <c r="B382" s="10" t="s">
        <v>122</v>
      </c>
      <c r="C382" s="10"/>
      <c r="D382" s="10" t="s">
        <v>383</v>
      </c>
      <c r="E382" s="10" t="s">
        <v>65</v>
      </c>
      <c r="F382" s="10">
        <v>20800</v>
      </c>
      <c r="G382" s="10" t="s">
        <v>26</v>
      </c>
      <c r="H382" s="10">
        <v>4000</v>
      </c>
      <c r="I382" s="10">
        <f t="shared" si="35"/>
        <v>83200000</v>
      </c>
      <c r="J382" s="52" t="s">
        <v>30</v>
      </c>
      <c r="K382" s="60" t="s">
        <v>596</v>
      </c>
      <c r="L382" s="10"/>
      <c r="M382" s="12">
        <f t="shared" si="36"/>
        <v>0</v>
      </c>
      <c r="N382" s="12"/>
      <c r="O382" s="12"/>
      <c r="P382" s="12">
        <f t="shared" si="37"/>
        <v>0</v>
      </c>
      <c r="Q382" s="12"/>
      <c r="R382" s="12"/>
      <c r="S382" s="12">
        <f t="shared" si="38"/>
        <v>0</v>
      </c>
      <c r="T382" s="12"/>
      <c r="U382" s="12"/>
      <c r="V382" s="12">
        <f t="shared" si="39"/>
        <v>0</v>
      </c>
      <c r="W382" s="12"/>
      <c r="X382" s="12"/>
      <c r="Y382" s="12">
        <f t="shared" si="40"/>
        <v>0</v>
      </c>
      <c r="Z382" s="12"/>
      <c r="AA382" s="12"/>
      <c r="AB382" s="13">
        <f t="shared" si="41"/>
        <v>83200000</v>
      </c>
      <c r="AC382" s="14"/>
    </row>
    <row r="383" spans="1:29" ht="15.75" x14ac:dyDescent="0.25">
      <c r="A383" s="65">
        <v>46087</v>
      </c>
      <c r="B383" s="10" t="s">
        <v>122</v>
      </c>
      <c r="C383" s="10"/>
      <c r="D383" s="10" t="s">
        <v>383</v>
      </c>
      <c r="E383" s="10" t="s">
        <v>458</v>
      </c>
      <c r="F383" s="10">
        <v>2500</v>
      </c>
      <c r="G383" s="10" t="s">
        <v>26</v>
      </c>
      <c r="H383" s="10">
        <v>1790</v>
      </c>
      <c r="I383" s="10">
        <f t="shared" si="35"/>
        <v>4475000</v>
      </c>
      <c r="J383" s="52" t="s">
        <v>30</v>
      </c>
      <c r="K383" s="60" t="s">
        <v>596</v>
      </c>
      <c r="L383" s="10"/>
      <c r="M383" s="12">
        <f t="shared" si="36"/>
        <v>0</v>
      </c>
      <c r="N383" s="12"/>
      <c r="O383" s="12"/>
      <c r="P383" s="12">
        <f t="shared" si="37"/>
        <v>0</v>
      </c>
      <c r="Q383" s="12"/>
      <c r="R383" s="12"/>
      <c r="S383" s="12">
        <f t="shared" si="38"/>
        <v>0</v>
      </c>
      <c r="T383" s="12"/>
      <c r="U383" s="12"/>
      <c r="V383" s="12">
        <f t="shared" si="39"/>
        <v>0</v>
      </c>
      <c r="W383" s="12"/>
      <c r="X383" s="12"/>
      <c r="Y383" s="12">
        <f t="shared" si="40"/>
        <v>0</v>
      </c>
      <c r="Z383" s="12"/>
      <c r="AA383" s="12"/>
      <c r="AB383" s="13">
        <f t="shared" si="41"/>
        <v>4475000</v>
      </c>
      <c r="AC383" s="14"/>
    </row>
    <row r="384" spans="1:29" ht="15.75" x14ac:dyDescent="0.25">
      <c r="A384" s="65">
        <v>46087</v>
      </c>
      <c r="B384" s="10" t="s">
        <v>122</v>
      </c>
      <c r="C384" s="66"/>
      <c r="D384" s="10" t="s">
        <v>383</v>
      </c>
      <c r="E384" s="66" t="s">
        <v>118</v>
      </c>
      <c r="F384" s="66">
        <v>20</v>
      </c>
      <c r="G384" s="66" t="s">
        <v>22</v>
      </c>
      <c r="H384" s="66">
        <v>400000</v>
      </c>
      <c r="I384" s="10">
        <f t="shared" si="35"/>
        <v>8000000</v>
      </c>
      <c r="J384" s="52" t="s">
        <v>30</v>
      </c>
      <c r="K384" s="60" t="s">
        <v>596</v>
      </c>
      <c r="L384" s="10"/>
      <c r="M384" s="12">
        <f t="shared" si="36"/>
        <v>0</v>
      </c>
      <c r="N384" s="12"/>
      <c r="O384" s="12"/>
      <c r="P384" s="12">
        <f t="shared" si="37"/>
        <v>0</v>
      </c>
      <c r="Q384" s="12"/>
      <c r="R384" s="12"/>
      <c r="S384" s="12">
        <f t="shared" si="38"/>
        <v>0</v>
      </c>
      <c r="T384" s="12"/>
      <c r="U384" s="12"/>
      <c r="V384" s="12">
        <f t="shared" si="39"/>
        <v>0</v>
      </c>
      <c r="W384" s="12"/>
      <c r="X384" s="12"/>
      <c r="Y384" s="12">
        <f t="shared" si="40"/>
        <v>0</v>
      </c>
      <c r="Z384" s="12"/>
      <c r="AA384" s="12"/>
      <c r="AB384" s="13">
        <f t="shared" si="41"/>
        <v>8000000</v>
      </c>
      <c r="AC384" s="14"/>
    </row>
    <row r="385" spans="1:29" ht="15.75" x14ac:dyDescent="0.25">
      <c r="A385" s="65">
        <v>46087</v>
      </c>
      <c r="B385" s="10" t="s">
        <v>122</v>
      </c>
      <c r="C385" s="10"/>
      <c r="D385" s="10" t="s">
        <v>383</v>
      </c>
      <c r="E385" s="10" t="s">
        <v>138</v>
      </c>
      <c r="F385" s="10">
        <v>16</v>
      </c>
      <c r="G385" s="10" t="s">
        <v>61</v>
      </c>
      <c r="H385" s="10">
        <v>300000</v>
      </c>
      <c r="I385" s="10">
        <f t="shared" si="35"/>
        <v>4800000</v>
      </c>
      <c r="J385" s="52" t="s">
        <v>30</v>
      </c>
      <c r="K385" s="60" t="s">
        <v>596</v>
      </c>
      <c r="L385" s="10"/>
      <c r="M385" s="12">
        <f t="shared" si="36"/>
        <v>0</v>
      </c>
      <c r="N385" s="12"/>
      <c r="O385" s="12"/>
      <c r="P385" s="12">
        <f t="shared" si="37"/>
        <v>0</v>
      </c>
      <c r="Q385" s="12"/>
      <c r="R385" s="12"/>
      <c r="S385" s="12">
        <f t="shared" si="38"/>
        <v>0</v>
      </c>
      <c r="T385" s="12"/>
      <c r="U385" s="12"/>
      <c r="V385" s="12">
        <f t="shared" si="39"/>
        <v>0</v>
      </c>
      <c r="W385" s="12"/>
      <c r="X385" s="12"/>
      <c r="Y385" s="12">
        <f t="shared" si="40"/>
        <v>0</v>
      </c>
      <c r="Z385" s="12"/>
      <c r="AA385" s="12"/>
      <c r="AB385" s="13">
        <f t="shared" si="41"/>
        <v>4800000</v>
      </c>
      <c r="AC385" s="14"/>
    </row>
    <row r="386" spans="1:29" ht="15.75" x14ac:dyDescent="0.25">
      <c r="A386" s="65">
        <v>46087</v>
      </c>
      <c r="B386" s="10" t="s">
        <v>122</v>
      </c>
      <c r="C386" s="10"/>
      <c r="D386" s="10" t="s">
        <v>383</v>
      </c>
      <c r="E386" s="10" t="s">
        <v>88</v>
      </c>
      <c r="F386" s="10">
        <v>100</v>
      </c>
      <c r="G386" s="10" t="s">
        <v>36</v>
      </c>
      <c r="H386" s="10">
        <v>125000</v>
      </c>
      <c r="I386" s="10">
        <f t="shared" si="35"/>
        <v>12500000</v>
      </c>
      <c r="J386" s="52" t="s">
        <v>30</v>
      </c>
      <c r="K386" s="60" t="s">
        <v>596</v>
      </c>
      <c r="L386" s="10"/>
      <c r="M386" s="12">
        <f t="shared" si="36"/>
        <v>0</v>
      </c>
      <c r="N386" s="12"/>
      <c r="O386" s="12"/>
      <c r="P386" s="12">
        <f t="shared" si="37"/>
        <v>0</v>
      </c>
      <c r="Q386" s="12"/>
      <c r="R386" s="12"/>
      <c r="S386" s="12">
        <f t="shared" si="38"/>
        <v>0</v>
      </c>
      <c r="T386" s="12"/>
      <c r="U386" s="12"/>
      <c r="V386" s="12">
        <f t="shared" si="39"/>
        <v>0</v>
      </c>
      <c r="W386" s="12"/>
      <c r="X386" s="12"/>
      <c r="Y386" s="12">
        <f t="shared" si="40"/>
        <v>0</v>
      </c>
      <c r="Z386" s="12"/>
      <c r="AA386" s="12"/>
      <c r="AB386" s="13">
        <f t="shared" si="41"/>
        <v>12500000</v>
      </c>
      <c r="AC386" s="14"/>
    </row>
    <row r="387" spans="1:29" ht="15.75" x14ac:dyDescent="0.25">
      <c r="A387" s="65">
        <v>46087</v>
      </c>
      <c r="B387" s="10" t="s">
        <v>122</v>
      </c>
      <c r="C387" s="10"/>
      <c r="D387" s="10" t="s">
        <v>383</v>
      </c>
      <c r="E387" s="10" t="s">
        <v>136</v>
      </c>
      <c r="F387" s="10">
        <v>98.6</v>
      </c>
      <c r="G387" s="10" t="s">
        <v>36</v>
      </c>
      <c r="H387" s="10">
        <v>43000</v>
      </c>
      <c r="I387" s="10">
        <f t="shared" si="35"/>
        <v>4239800</v>
      </c>
      <c r="J387" s="52" t="s">
        <v>30</v>
      </c>
      <c r="K387" s="60" t="s">
        <v>596</v>
      </c>
      <c r="L387" s="10"/>
      <c r="M387" s="12">
        <f t="shared" si="36"/>
        <v>0</v>
      </c>
      <c r="N387" s="12"/>
      <c r="O387" s="12"/>
      <c r="P387" s="12">
        <f t="shared" si="37"/>
        <v>0</v>
      </c>
      <c r="Q387" s="12"/>
      <c r="R387" s="12"/>
      <c r="S387" s="12">
        <f t="shared" si="38"/>
        <v>0</v>
      </c>
      <c r="T387" s="12"/>
      <c r="U387" s="12"/>
      <c r="V387" s="12">
        <f t="shared" si="39"/>
        <v>0</v>
      </c>
      <c r="W387" s="12"/>
      <c r="X387" s="12"/>
      <c r="Y387" s="12">
        <f t="shared" si="40"/>
        <v>0</v>
      </c>
      <c r="Z387" s="12"/>
      <c r="AA387" s="12"/>
      <c r="AB387" s="13">
        <f t="shared" si="41"/>
        <v>4239800</v>
      </c>
      <c r="AC387" s="14"/>
    </row>
    <row r="388" spans="1:29" ht="15.75" x14ac:dyDescent="0.25">
      <c r="A388" s="65">
        <v>46087</v>
      </c>
      <c r="B388" s="10" t="s">
        <v>351</v>
      </c>
      <c r="C388" s="10"/>
      <c r="D388" s="66" t="s">
        <v>195</v>
      </c>
      <c r="E388" s="10" t="s">
        <v>189</v>
      </c>
      <c r="F388" s="10">
        <v>3</v>
      </c>
      <c r="G388" s="10" t="s">
        <v>61</v>
      </c>
      <c r="H388" s="10">
        <v>300000</v>
      </c>
      <c r="I388" s="10">
        <f t="shared" si="35"/>
        <v>900000</v>
      </c>
      <c r="J388" s="29" t="s">
        <v>110</v>
      </c>
      <c r="K388" s="60"/>
      <c r="L388" s="10" t="s">
        <v>598</v>
      </c>
      <c r="M388" s="12">
        <f t="shared" si="36"/>
        <v>0</v>
      </c>
      <c r="N388" s="12"/>
      <c r="O388" s="12"/>
      <c r="P388" s="12">
        <f t="shared" si="37"/>
        <v>900000</v>
      </c>
      <c r="Q388" s="12">
        <v>900000</v>
      </c>
      <c r="R388" s="12"/>
      <c r="S388" s="12">
        <f t="shared" si="38"/>
        <v>0</v>
      </c>
      <c r="T388" s="12"/>
      <c r="U388" s="12"/>
      <c r="V388" s="12">
        <f t="shared" si="39"/>
        <v>0</v>
      </c>
      <c r="W388" s="12"/>
      <c r="X388" s="12"/>
      <c r="Y388" s="12">
        <f t="shared" si="40"/>
        <v>0</v>
      </c>
      <c r="Z388" s="12"/>
      <c r="AA388" s="12"/>
      <c r="AB388" s="13">
        <f t="shared" si="41"/>
        <v>0</v>
      </c>
      <c r="AC388" s="14">
        <v>46086</v>
      </c>
    </row>
    <row r="389" spans="1:29" ht="15.75" x14ac:dyDescent="0.25">
      <c r="A389" s="65">
        <v>46087</v>
      </c>
      <c r="B389" s="10" t="s">
        <v>268</v>
      </c>
      <c r="C389" s="10"/>
      <c r="D389" s="66" t="s">
        <v>195</v>
      </c>
      <c r="E389" s="10" t="s">
        <v>506</v>
      </c>
      <c r="F389" s="60">
        <v>1</v>
      </c>
      <c r="G389" s="10" t="s">
        <v>192</v>
      </c>
      <c r="H389" s="60">
        <v>1200000</v>
      </c>
      <c r="I389" s="10">
        <f t="shared" ref="I389:I429" si="42">F389*H389</f>
        <v>1200000</v>
      </c>
      <c r="J389" s="29" t="s">
        <v>110</v>
      </c>
      <c r="K389" s="60"/>
      <c r="L389" s="10" t="s">
        <v>589</v>
      </c>
      <c r="M389" s="12">
        <f t="shared" ref="M389:M452" si="43">N389+O389</f>
        <v>0</v>
      </c>
      <c r="N389" s="12"/>
      <c r="O389" s="12"/>
      <c r="P389" s="12">
        <f t="shared" ref="P389:P452" si="44">Q389+R389</f>
        <v>1200000</v>
      </c>
      <c r="Q389" s="12">
        <v>1200000</v>
      </c>
      <c r="R389" s="12"/>
      <c r="S389" s="12">
        <f t="shared" ref="S389:S452" si="45">T389+U389</f>
        <v>0</v>
      </c>
      <c r="T389" s="12"/>
      <c r="U389" s="12"/>
      <c r="V389" s="12">
        <f t="shared" ref="V389:V452" si="46">W389+X389</f>
        <v>0</v>
      </c>
      <c r="W389" s="12"/>
      <c r="X389" s="12"/>
      <c r="Y389" s="12">
        <f t="shared" ref="Y389:Y452" si="47">Z389+AA389</f>
        <v>0</v>
      </c>
      <c r="Z389" s="12"/>
      <c r="AA389" s="12"/>
      <c r="AB389" s="13">
        <f t="shared" ref="AB389:AB429" si="48">C389+I389-M389-P389-V389-Y389-S389</f>
        <v>0</v>
      </c>
      <c r="AC389" s="14">
        <v>46087</v>
      </c>
    </row>
    <row r="390" spans="1:29" ht="15.75" x14ac:dyDescent="0.25">
      <c r="A390" s="65">
        <v>46087</v>
      </c>
      <c r="B390" s="10" t="s">
        <v>593</v>
      </c>
      <c r="C390" s="10"/>
      <c r="D390" s="66" t="s">
        <v>195</v>
      </c>
      <c r="E390" s="10" t="s">
        <v>104</v>
      </c>
      <c r="F390" s="60">
        <v>400</v>
      </c>
      <c r="G390" s="10" t="s">
        <v>26</v>
      </c>
      <c r="H390" s="60">
        <v>2000</v>
      </c>
      <c r="I390" s="10">
        <f t="shared" si="42"/>
        <v>800000</v>
      </c>
      <c r="J390" s="29" t="s">
        <v>110</v>
      </c>
      <c r="K390" s="60"/>
      <c r="L390" s="10" t="s">
        <v>599</v>
      </c>
      <c r="M390" s="12">
        <f t="shared" si="43"/>
        <v>0</v>
      </c>
      <c r="N390" s="12"/>
      <c r="O390" s="12"/>
      <c r="P390" s="12">
        <f t="shared" si="44"/>
        <v>800000</v>
      </c>
      <c r="Q390" s="12">
        <v>800000</v>
      </c>
      <c r="R390" s="12"/>
      <c r="S390" s="12">
        <f t="shared" si="45"/>
        <v>0</v>
      </c>
      <c r="T390" s="12"/>
      <c r="U390" s="12"/>
      <c r="V390" s="12">
        <f t="shared" si="46"/>
        <v>0</v>
      </c>
      <c r="W390" s="12"/>
      <c r="X390" s="12"/>
      <c r="Y390" s="12">
        <f t="shared" si="47"/>
        <v>0</v>
      </c>
      <c r="Z390" s="12"/>
      <c r="AA390" s="12"/>
      <c r="AB390" s="13">
        <f t="shared" si="48"/>
        <v>0</v>
      </c>
      <c r="AC390" s="14">
        <v>46087</v>
      </c>
    </row>
    <row r="391" spans="1:29" ht="15.75" x14ac:dyDescent="0.25">
      <c r="A391" s="65">
        <v>46087</v>
      </c>
      <c r="B391" s="10" t="s">
        <v>285</v>
      </c>
      <c r="C391" s="10"/>
      <c r="D391" s="66" t="s">
        <v>195</v>
      </c>
      <c r="E391" s="10" t="s">
        <v>104</v>
      </c>
      <c r="F391" s="60">
        <v>10400</v>
      </c>
      <c r="G391" s="10" t="s">
        <v>26</v>
      </c>
      <c r="H391" s="60">
        <v>1900</v>
      </c>
      <c r="I391" s="10">
        <f t="shared" si="42"/>
        <v>19760000</v>
      </c>
      <c r="J391" s="29" t="s">
        <v>110</v>
      </c>
      <c r="K391" s="60"/>
      <c r="L391" s="10" t="s">
        <v>600</v>
      </c>
      <c r="M391" s="12">
        <f t="shared" si="43"/>
        <v>0</v>
      </c>
      <c r="N391" s="12"/>
      <c r="O391" s="12"/>
      <c r="P391" s="12">
        <f t="shared" si="44"/>
        <v>19760000</v>
      </c>
      <c r="Q391" s="12">
        <v>19760000</v>
      </c>
      <c r="R391" s="12"/>
      <c r="S391" s="12">
        <f t="shared" si="45"/>
        <v>0</v>
      </c>
      <c r="T391" s="12"/>
      <c r="U391" s="12"/>
      <c r="V391" s="12">
        <f t="shared" si="46"/>
        <v>0</v>
      </c>
      <c r="W391" s="12"/>
      <c r="X391" s="12"/>
      <c r="Y391" s="12">
        <f t="shared" si="47"/>
        <v>0</v>
      </c>
      <c r="Z391" s="12"/>
      <c r="AA391" s="12"/>
      <c r="AB391" s="13">
        <f t="shared" si="48"/>
        <v>0</v>
      </c>
      <c r="AC391" s="14">
        <v>46087</v>
      </c>
    </row>
    <row r="392" spans="1:29" ht="15.75" x14ac:dyDescent="0.25">
      <c r="A392" s="65">
        <v>46087</v>
      </c>
      <c r="B392" s="10" t="s">
        <v>281</v>
      </c>
      <c r="C392" s="10"/>
      <c r="D392" s="66" t="s">
        <v>383</v>
      </c>
      <c r="E392" s="10" t="s">
        <v>186</v>
      </c>
      <c r="F392" s="60">
        <v>4</v>
      </c>
      <c r="G392" s="10" t="s">
        <v>22</v>
      </c>
      <c r="H392" s="60">
        <v>1200000</v>
      </c>
      <c r="I392" s="10">
        <f t="shared" si="42"/>
        <v>4800000</v>
      </c>
      <c r="J392" s="29" t="s">
        <v>40</v>
      </c>
      <c r="K392" s="60"/>
      <c r="L392" s="10"/>
      <c r="M392" s="12">
        <f t="shared" si="43"/>
        <v>0</v>
      </c>
      <c r="N392" s="12"/>
      <c r="O392" s="12"/>
      <c r="P392" s="12">
        <f t="shared" si="44"/>
        <v>6000000</v>
      </c>
      <c r="Q392" s="12">
        <v>6000000</v>
      </c>
      <c r="R392" s="12"/>
      <c r="S392" s="12">
        <f t="shared" si="45"/>
        <v>0</v>
      </c>
      <c r="T392" s="12"/>
      <c r="U392" s="12"/>
      <c r="V392" s="12">
        <f t="shared" si="46"/>
        <v>0</v>
      </c>
      <c r="W392" s="12"/>
      <c r="X392" s="12"/>
      <c r="Y392" s="12">
        <f t="shared" si="47"/>
        <v>0</v>
      </c>
      <c r="Z392" s="12"/>
      <c r="AA392" s="12"/>
      <c r="AB392" s="13">
        <f t="shared" si="48"/>
        <v>-1200000</v>
      </c>
      <c r="AC392" s="14">
        <v>46087</v>
      </c>
    </row>
    <row r="393" spans="1:29" ht="15.75" x14ac:dyDescent="0.25">
      <c r="A393" s="65">
        <v>46087</v>
      </c>
      <c r="B393" s="10" t="s">
        <v>281</v>
      </c>
      <c r="C393" s="10"/>
      <c r="D393" s="66" t="s">
        <v>383</v>
      </c>
      <c r="E393" s="10" t="s">
        <v>594</v>
      </c>
      <c r="F393" s="60">
        <v>350</v>
      </c>
      <c r="G393" s="10" t="s">
        <v>39</v>
      </c>
      <c r="H393" s="60">
        <v>42000</v>
      </c>
      <c r="I393" s="10">
        <f t="shared" si="42"/>
        <v>14700000</v>
      </c>
      <c r="J393" s="29" t="s">
        <v>40</v>
      </c>
      <c r="K393" s="60"/>
      <c r="L393" s="10" t="s">
        <v>601</v>
      </c>
      <c r="M393" s="12">
        <f t="shared" si="43"/>
        <v>0</v>
      </c>
      <c r="N393" s="12"/>
      <c r="O393" s="12"/>
      <c r="P393" s="12">
        <f t="shared" si="44"/>
        <v>19600000</v>
      </c>
      <c r="Q393" s="12">
        <f>5600000+14000000</f>
        <v>19600000</v>
      </c>
      <c r="R393" s="12"/>
      <c r="S393" s="12">
        <f t="shared" si="45"/>
        <v>0</v>
      </c>
      <c r="T393" s="12"/>
      <c r="U393" s="12"/>
      <c r="V393" s="12">
        <f t="shared" si="46"/>
        <v>0</v>
      </c>
      <c r="W393" s="12"/>
      <c r="X393" s="12"/>
      <c r="Y393" s="12">
        <f t="shared" si="47"/>
        <v>0</v>
      </c>
      <c r="Z393" s="12"/>
      <c r="AA393" s="12"/>
      <c r="AB393" s="13">
        <f t="shared" si="48"/>
        <v>-4900000</v>
      </c>
      <c r="AC393" s="14">
        <v>46087</v>
      </c>
    </row>
    <row r="394" spans="1:29" ht="15.75" x14ac:dyDescent="0.25">
      <c r="A394" s="65">
        <v>46087</v>
      </c>
      <c r="B394" s="10" t="s">
        <v>64</v>
      </c>
      <c r="C394" s="10"/>
      <c r="D394" s="66" t="s">
        <v>383</v>
      </c>
      <c r="E394" s="10" t="s">
        <v>129</v>
      </c>
      <c r="F394" s="60">
        <v>5200</v>
      </c>
      <c r="G394" s="10" t="s">
        <v>26</v>
      </c>
      <c r="H394" s="60">
        <v>3850</v>
      </c>
      <c r="I394" s="10">
        <f t="shared" si="42"/>
        <v>20020000</v>
      </c>
      <c r="J394" s="52" t="s">
        <v>90</v>
      </c>
      <c r="K394" s="60" t="s">
        <v>595</v>
      </c>
      <c r="L394" s="10" t="s">
        <v>602</v>
      </c>
      <c r="M394" s="12">
        <f t="shared" si="43"/>
        <v>0</v>
      </c>
      <c r="N394" s="12"/>
      <c r="O394" s="12"/>
      <c r="P394" s="12">
        <f t="shared" si="44"/>
        <v>0</v>
      </c>
      <c r="Q394" s="12"/>
      <c r="R394" s="12"/>
      <c r="S394" s="12">
        <f t="shared" si="45"/>
        <v>0</v>
      </c>
      <c r="T394" s="12"/>
      <c r="U394" s="12"/>
      <c r="V394" s="12">
        <f t="shared" si="46"/>
        <v>0</v>
      </c>
      <c r="W394" s="12"/>
      <c r="X394" s="12"/>
      <c r="Y394" s="12">
        <f t="shared" si="47"/>
        <v>0</v>
      </c>
      <c r="Z394" s="12"/>
      <c r="AA394" s="12"/>
      <c r="AB394" s="13">
        <f t="shared" si="48"/>
        <v>20020000</v>
      </c>
      <c r="AC394" s="14"/>
    </row>
    <row r="395" spans="1:29" ht="15.75" x14ac:dyDescent="0.25">
      <c r="A395" s="65">
        <v>46087</v>
      </c>
      <c r="B395" s="10" t="s">
        <v>89</v>
      </c>
      <c r="C395" s="10"/>
      <c r="D395" s="66" t="s">
        <v>383</v>
      </c>
      <c r="E395" s="10" t="s">
        <v>104</v>
      </c>
      <c r="F395" s="60">
        <v>400</v>
      </c>
      <c r="G395" s="10" t="s">
        <v>26</v>
      </c>
      <c r="H395" s="60">
        <v>1900</v>
      </c>
      <c r="I395" s="10">
        <f t="shared" si="42"/>
        <v>760000</v>
      </c>
      <c r="J395" s="52" t="s">
        <v>90</v>
      </c>
      <c r="K395" s="60" t="s">
        <v>597</v>
      </c>
      <c r="L395" s="10" t="s">
        <v>603</v>
      </c>
      <c r="M395" s="12">
        <f t="shared" si="43"/>
        <v>0</v>
      </c>
      <c r="N395" s="12"/>
      <c r="O395" s="12"/>
      <c r="P395" s="12">
        <f t="shared" si="44"/>
        <v>0</v>
      </c>
      <c r="Q395" s="12"/>
      <c r="R395" s="12"/>
      <c r="S395" s="12">
        <f t="shared" si="45"/>
        <v>0</v>
      </c>
      <c r="T395" s="12"/>
      <c r="U395" s="12"/>
      <c r="V395" s="12">
        <f t="shared" si="46"/>
        <v>0</v>
      </c>
      <c r="W395" s="12"/>
      <c r="X395" s="12"/>
      <c r="Y395" s="12">
        <f t="shared" si="47"/>
        <v>0</v>
      </c>
      <c r="Z395" s="12"/>
      <c r="AA395" s="12"/>
      <c r="AB395" s="13">
        <f t="shared" si="48"/>
        <v>760000</v>
      </c>
      <c r="AC395" s="14"/>
    </row>
    <row r="396" spans="1:29" ht="15.75" x14ac:dyDescent="0.25">
      <c r="A396" s="28">
        <v>46087</v>
      </c>
      <c r="B396" s="10" t="s">
        <v>89</v>
      </c>
      <c r="C396" s="10"/>
      <c r="D396" s="10" t="s">
        <v>383</v>
      </c>
      <c r="E396" s="10" t="s">
        <v>136</v>
      </c>
      <c r="F396" s="60">
        <v>24.7</v>
      </c>
      <c r="G396" s="10" t="s">
        <v>36</v>
      </c>
      <c r="H396" s="60">
        <v>43000</v>
      </c>
      <c r="I396" s="10">
        <f t="shared" si="42"/>
        <v>1062100</v>
      </c>
      <c r="J396" s="52" t="s">
        <v>90</v>
      </c>
      <c r="K396" s="60" t="s">
        <v>597</v>
      </c>
      <c r="L396" s="10" t="s">
        <v>603</v>
      </c>
      <c r="M396" s="12">
        <f t="shared" si="43"/>
        <v>0</v>
      </c>
      <c r="N396" s="12"/>
      <c r="O396" s="12"/>
      <c r="P396" s="12">
        <f t="shared" si="44"/>
        <v>0</v>
      </c>
      <c r="Q396" s="12"/>
      <c r="R396" s="12"/>
      <c r="S396" s="12">
        <f t="shared" si="45"/>
        <v>0</v>
      </c>
      <c r="T396" s="12"/>
      <c r="U396" s="12"/>
      <c r="V396" s="12">
        <f t="shared" si="46"/>
        <v>0</v>
      </c>
      <c r="W396" s="12"/>
      <c r="X396" s="12"/>
      <c r="Y396" s="12">
        <f t="shared" si="47"/>
        <v>0</v>
      </c>
      <c r="Z396" s="12"/>
      <c r="AA396" s="12"/>
      <c r="AB396" s="13">
        <f t="shared" si="48"/>
        <v>1062100</v>
      </c>
      <c r="AC396" s="14"/>
    </row>
    <row r="397" spans="1:29" ht="15.75" x14ac:dyDescent="0.25">
      <c r="A397" s="65">
        <v>46087</v>
      </c>
      <c r="B397" s="10" t="s">
        <v>89</v>
      </c>
      <c r="C397" s="10"/>
      <c r="D397" s="66" t="s">
        <v>383</v>
      </c>
      <c r="E397" s="10" t="s">
        <v>95</v>
      </c>
      <c r="F397" s="60">
        <v>632</v>
      </c>
      <c r="G397" s="10" t="s">
        <v>36</v>
      </c>
      <c r="H397" s="60">
        <v>11420</v>
      </c>
      <c r="I397" s="10">
        <f t="shared" si="42"/>
        <v>7217440</v>
      </c>
      <c r="J397" s="52" t="s">
        <v>90</v>
      </c>
      <c r="K397" s="60" t="s">
        <v>597</v>
      </c>
      <c r="L397" s="10" t="s">
        <v>603</v>
      </c>
      <c r="M397" s="12">
        <f t="shared" si="43"/>
        <v>0</v>
      </c>
      <c r="N397" s="12"/>
      <c r="O397" s="12"/>
      <c r="P397" s="12">
        <f t="shared" si="44"/>
        <v>0</v>
      </c>
      <c r="Q397" s="12"/>
      <c r="R397" s="12"/>
      <c r="S397" s="12">
        <f t="shared" si="45"/>
        <v>0</v>
      </c>
      <c r="T397" s="12"/>
      <c r="U397" s="12"/>
      <c r="V397" s="12">
        <f t="shared" si="46"/>
        <v>0</v>
      </c>
      <c r="W397" s="12"/>
      <c r="X397" s="12"/>
      <c r="Y397" s="12">
        <f t="shared" si="47"/>
        <v>0</v>
      </c>
      <c r="Z397" s="12"/>
      <c r="AA397" s="12"/>
      <c r="AB397" s="13">
        <f t="shared" si="48"/>
        <v>7217440</v>
      </c>
      <c r="AC397" s="14"/>
    </row>
    <row r="398" spans="1:29" ht="16.5" thickBot="1" x14ac:dyDescent="0.3">
      <c r="A398" s="53">
        <v>46087</v>
      </c>
      <c r="B398" s="31" t="s">
        <v>272</v>
      </c>
      <c r="C398" s="31"/>
      <c r="D398" s="31"/>
      <c r="E398" s="31" t="s">
        <v>93</v>
      </c>
      <c r="F398" s="129">
        <v>34.4</v>
      </c>
      <c r="G398" s="31" t="s">
        <v>36</v>
      </c>
      <c r="H398" s="129">
        <v>43000</v>
      </c>
      <c r="I398" s="31">
        <f t="shared" si="42"/>
        <v>1479200</v>
      </c>
      <c r="J398" s="116" t="s">
        <v>90</v>
      </c>
      <c r="K398" s="129"/>
      <c r="L398" s="31"/>
      <c r="M398" s="34">
        <f t="shared" si="43"/>
        <v>0</v>
      </c>
      <c r="N398" s="34"/>
      <c r="O398" s="34"/>
      <c r="P398" s="34">
        <f t="shared" si="44"/>
        <v>0</v>
      </c>
      <c r="Q398" s="34"/>
      <c r="R398" s="34"/>
      <c r="S398" s="34">
        <f t="shared" si="45"/>
        <v>0</v>
      </c>
      <c r="T398" s="34"/>
      <c r="U398" s="34"/>
      <c r="V398" s="34">
        <f t="shared" si="46"/>
        <v>0</v>
      </c>
      <c r="W398" s="34"/>
      <c r="X398" s="34"/>
      <c r="Y398" s="34">
        <f t="shared" si="47"/>
        <v>0</v>
      </c>
      <c r="Z398" s="34"/>
      <c r="AA398" s="34"/>
      <c r="AB398" s="35">
        <f t="shared" si="48"/>
        <v>1479200</v>
      </c>
      <c r="AC398" s="36"/>
    </row>
    <row r="399" spans="1:29" ht="15.75" x14ac:dyDescent="0.25">
      <c r="A399" s="65">
        <v>46088</v>
      </c>
      <c r="B399" s="66" t="s">
        <v>604</v>
      </c>
      <c r="C399" s="66"/>
      <c r="D399" s="66" t="s">
        <v>383</v>
      </c>
      <c r="E399" s="66" t="s">
        <v>141</v>
      </c>
      <c r="F399" s="92">
        <v>400</v>
      </c>
      <c r="G399" s="66" t="s">
        <v>26</v>
      </c>
      <c r="H399" s="66">
        <v>2000</v>
      </c>
      <c r="I399" s="45">
        <f t="shared" si="42"/>
        <v>800000</v>
      </c>
      <c r="J399" s="84" t="s">
        <v>113</v>
      </c>
      <c r="K399" s="92"/>
      <c r="L399" s="45"/>
      <c r="M399" s="48">
        <f t="shared" si="43"/>
        <v>800000</v>
      </c>
      <c r="N399" s="48">
        <v>800000</v>
      </c>
      <c r="O399" s="48"/>
      <c r="P399" s="48">
        <f t="shared" si="44"/>
        <v>0</v>
      </c>
      <c r="Q399" s="48"/>
      <c r="R399" s="48"/>
      <c r="S399" s="48">
        <f t="shared" si="45"/>
        <v>0</v>
      </c>
      <c r="T399" s="48"/>
      <c r="U399" s="48"/>
      <c r="V399" s="48">
        <f t="shared" si="46"/>
        <v>0</v>
      </c>
      <c r="W399" s="48"/>
      <c r="X399" s="48"/>
      <c r="Y399" s="48">
        <f t="shared" si="47"/>
        <v>0</v>
      </c>
      <c r="Z399" s="48"/>
      <c r="AA399" s="48"/>
      <c r="AB399" s="49">
        <f t="shared" si="48"/>
        <v>0</v>
      </c>
      <c r="AC399" s="50">
        <v>46088</v>
      </c>
    </row>
    <row r="400" spans="1:29" ht="15.75" x14ac:dyDescent="0.25">
      <c r="A400" s="65">
        <v>46088</v>
      </c>
      <c r="B400" s="10" t="s">
        <v>605</v>
      </c>
      <c r="C400" s="10"/>
      <c r="D400" s="66" t="s">
        <v>383</v>
      </c>
      <c r="E400" s="10" t="s">
        <v>129</v>
      </c>
      <c r="F400" s="10">
        <v>500</v>
      </c>
      <c r="G400" s="66" t="s">
        <v>26</v>
      </c>
      <c r="H400" s="10">
        <v>4000</v>
      </c>
      <c r="I400" s="10">
        <f t="shared" si="42"/>
        <v>2000000</v>
      </c>
      <c r="J400" s="29" t="s">
        <v>110</v>
      </c>
      <c r="K400" s="60"/>
      <c r="L400" s="10"/>
      <c r="M400" s="12">
        <f t="shared" si="43"/>
        <v>0</v>
      </c>
      <c r="N400" s="12"/>
      <c r="O400" s="12"/>
      <c r="P400" s="12">
        <f t="shared" si="44"/>
        <v>0</v>
      </c>
      <c r="Q400" s="12"/>
      <c r="R400" s="12"/>
      <c r="S400" s="12">
        <f t="shared" si="45"/>
        <v>2000000</v>
      </c>
      <c r="T400" s="12">
        <v>2000000</v>
      </c>
      <c r="U400" s="12"/>
      <c r="V400" s="12">
        <f t="shared" si="46"/>
        <v>0</v>
      </c>
      <c r="W400" s="12"/>
      <c r="X400" s="12"/>
      <c r="Y400" s="12">
        <f t="shared" si="47"/>
        <v>0</v>
      </c>
      <c r="Z400" s="12"/>
      <c r="AA400" s="12"/>
      <c r="AB400" s="13">
        <f t="shared" si="48"/>
        <v>0</v>
      </c>
      <c r="AC400" s="14">
        <v>46088</v>
      </c>
    </row>
    <row r="401" spans="1:29" ht="15.75" x14ac:dyDescent="0.25">
      <c r="A401" s="65">
        <v>46088</v>
      </c>
      <c r="B401" s="10" t="s">
        <v>606</v>
      </c>
      <c r="C401" s="10"/>
      <c r="D401" s="66" t="s">
        <v>383</v>
      </c>
      <c r="E401" s="66" t="s">
        <v>141</v>
      </c>
      <c r="F401" s="10">
        <v>10400</v>
      </c>
      <c r="G401" s="66" t="s">
        <v>26</v>
      </c>
      <c r="H401" s="10">
        <v>1950</v>
      </c>
      <c r="I401" s="10">
        <f t="shared" si="42"/>
        <v>20280000</v>
      </c>
      <c r="J401" s="29" t="s">
        <v>110</v>
      </c>
      <c r="K401" s="60"/>
      <c r="L401" s="10" t="s">
        <v>607</v>
      </c>
      <c r="M401" s="12">
        <f t="shared" si="43"/>
        <v>0</v>
      </c>
      <c r="N401" s="12"/>
      <c r="O401" s="12"/>
      <c r="P401" s="12">
        <f t="shared" si="44"/>
        <v>20280000</v>
      </c>
      <c r="Q401" s="12">
        <v>19800000</v>
      </c>
      <c r="R401" s="12">
        <v>480000</v>
      </c>
      <c r="S401" s="12">
        <f t="shared" si="45"/>
        <v>0</v>
      </c>
      <c r="T401" s="12"/>
      <c r="U401" s="12"/>
      <c r="V401" s="12">
        <f t="shared" si="46"/>
        <v>0</v>
      </c>
      <c r="W401" s="12"/>
      <c r="X401" s="12"/>
      <c r="Y401" s="12">
        <f t="shared" si="47"/>
        <v>0</v>
      </c>
      <c r="Z401" s="12"/>
      <c r="AA401" s="12"/>
      <c r="AB401" s="13">
        <f t="shared" si="48"/>
        <v>0</v>
      </c>
      <c r="AC401" s="14">
        <v>46091</v>
      </c>
    </row>
    <row r="402" spans="1:29" ht="15.75" x14ac:dyDescent="0.25">
      <c r="A402" s="65">
        <v>46088</v>
      </c>
      <c r="B402" s="10" t="s">
        <v>203</v>
      </c>
      <c r="C402" s="10"/>
      <c r="D402" s="66" t="s">
        <v>383</v>
      </c>
      <c r="E402" s="10" t="s">
        <v>65</v>
      </c>
      <c r="F402" s="10">
        <v>5200</v>
      </c>
      <c r="G402" s="66" t="s">
        <v>26</v>
      </c>
      <c r="H402" s="10">
        <v>3900</v>
      </c>
      <c r="I402" s="10">
        <f t="shared" si="42"/>
        <v>20280000</v>
      </c>
      <c r="J402" s="29" t="s">
        <v>110</v>
      </c>
      <c r="K402" s="60" t="s">
        <v>615</v>
      </c>
      <c r="L402" s="10"/>
      <c r="M402" s="12">
        <f t="shared" si="43"/>
        <v>0</v>
      </c>
      <c r="N402" s="12"/>
      <c r="O402" s="12"/>
      <c r="P402" s="12">
        <f t="shared" si="44"/>
        <v>0</v>
      </c>
      <c r="Q402" s="12"/>
      <c r="R402" s="12"/>
      <c r="S402" s="12">
        <f t="shared" si="45"/>
        <v>20280000</v>
      </c>
      <c r="T402" s="12">
        <v>6280000</v>
      </c>
      <c r="U402" s="12">
        <v>14000000</v>
      </c>
      <c r="V402" s="12">
        <f t="shared" si="46"/>
        <v>0</v>
      </c>
      <c r="W402" s="12"/>
      <c r="X402" s="12"/>
      <c r="Y402" s="12">
        <f t="shared" si="47"/>
        <v>0</v>
      </c>
      <c r="Z402" s="12"/>
      <c r="AA402" s="12"/>
      <c r="AB402" s="13">
        <f t="shared" si="48"/>
        <v>0</v>
      </c>
      <c r="AC402" s="14">
        <v>46093</v>
      </c>
    </row>
    <row r="403" spans="1:29" ht="15.75" x14ac:dyDescent="0.25">
      <c r="A403" s="65">
        <v>46088</v>
      </c>
      <c r="B403" s="10" t="s">
        <v>262</v>
      </c>
      <c r="C403" s="10"/>
      <c r="D403" s="66" t="s">
        <v>383</v>
      </c>
      <c r="E403" s="10" t="s">
        <v>160</v>
      </c>
      <c r="F403" s="10">
        <v>2</v>
      </c>
      <c r="G403" s="10" t="s">
        <v>22</v>
      </c>
      <c r="H403" s="10">
        <v>400000</v>
      </c>
      <c r="I403" s="10">
        <f t="shared" si="42"/>
        <v>800000</v>
      </c>
      <c r="J403" s="29" t="s">
        <v>110</v>
      </c>
      <c r="K403" s="60"/>
      <c r="L403" s="10"/>
      <c r="M403" s="12">
        <f t="shared" si="43"/>
        <v>0</v>
      </c>
      <c r="N403" s="12"/>
      <c r="O403" s="12"/>
      <c r="P403" s="12">
        <f t="shared" si="44"/>
        <v>0</v>
      </c>
      <c r="Q403" s="12"/>
      <c r="R403" s="12"/>
      <c r="S403" s="12">
        <f t="shared" si="45"/>
        <v>800000</v>
      </c>
      <c r="T403" s="12">
        <v>800000</v>
      </c>
      <c r="U403" s="12"/>
      <c r="V403" s="12">
        <f t="shared" si="46"/>
        <v>0</v>
      </c>
      <c r="W403" s="12"/>
      <c r="X403" s="12"/>
      <c r="Y403" s="12">
        <f t="shared" si="47"/>
        <v>0</v>
      </c>
      <c r="Z403" s="12"/>
      <c r="AA403" s="12"/>
      <c r="AB403" s="13">
        <f t="shared" si="48"/>
        <v>0</v>
      </c>
      <c r="AC403" s="14">
        <v>46088</v>
      </c>
    </row>
    <row r="404" spans="1:29" ht="15.75" x14ac:dyDescent="0.25">
      <c r="A404" s="65">
        <v>46088</v>
      </c>
      <c r="B404" s="10" t="s">
        <v>272</v>
      </c>
      <c r="C404" s="10"/>
      <c r="D404" s="10"/>
      <c r="E404" s="10" t="s">
        <v>168</v>
      </c>
      <c r="F404" s="10">
        <v>31.2</v>
      </c>
      <c r="G404" s="10" t="s">
        <v>36</v>
      </c>
      <c r="H404" s="10">
        <v>43000</v>
      </c>
      <c r="I404" s="10">
        <f t="shared" si="42"/>
        <v>1341600</v>
      </c>
      <c r="J404" s="115" t="s">
        <v>90</v>
      </c>
      <c r="K404" s="82"/>
      <c r="L404" s="10"/>
      <c r="M404" s="12">
        <f t="shared" si="43"/>
        <v>0</v>
      </c>
      <c r="N404" s="12"/>
      <c r="O404" s="12"/>
      <c r="P404" s="12">
        <f t="shared" si="44"/>
        <v>0</v>
      </c>
      <c r="Q404" s="12"/>
      <c r="R404" s="12"/>
      <c r="S404" s="12">
        <f t="shared" si="45"/>
        <v>0</v>
      </c>
      <c r="T404" s="12"/>
      <c r="U404" s="12"/>
      <c r="V404" s="12">
        <f t="shared" si="46"/>
        <v>0</v>
      </c>
      <c r="W404" s="12"/>
      <c r="X404" s="12"/>
      <c r="Y404" s="12">
        <f t="shared" si="47"/>
        <v>0</v>
      </c>
      <c r="Z404" s="12"/>
      <c r="AA404" s="12"/>
      <c r="AB404" s="13">
        <f t="shared" si="48"/>
        <v>1341600</v>
      </c>
      <c r="AC404" s="14"/>
    </row>
    <row r="405" spans="1:29" ht="15.75" x14ac:dyDescent="0.25">
      <c r="A405" s="65">
        <v>46088</v>
      </c>
      <c r="B405" s="10" t="s">
        <v>272</v>
      </c>
      <c r="C405" s="10"/>
      <c r="D405" s="10"/>
      <c r="E405" s="10" t="s">
        <v>307</v>
      </c>
      <c r="F405" s="10">
        <v>81.599999999999994</v>
      </c>
      <c r="G405" s="10" t="s">
        <v>36</v>
      </c>
      <c r="H405" s="10">
        <v>43000</v>
      </c>
      <c r="I405" s="10">
        <f t="shared" si="42"/>
        <v>3508799.9999999995</v>
      </c>
      <c r="J405" s="115" t="s">
        <v>90</v>
      </c>
      <c r="K405" s="82"/>
      <c r="L405" s="10"/>
      <c r="M405" s="12">
        <f t="shared" si="43"/>
        <v>0</v>
      </c>
      <c r="N405" s="12"/>
      <c r="O405" s="12"/>
      <c r="P405" s="12">
        <f t="shared" si="44"/>
        <v>0</v>
      </c>
      <c r="Q405" s="12"/>
      <c r="R405" s="12"/>
      <c r="S405" s="12">
        <f t="shared" si="45"/>
        <v>0</v>
      </c>
      <c r="T405" s="12"/>
      <c r="U405" s="12"/>
      <c r="V405" s="12">
        <f t="shared" si="46"/>
        <v>0</v>
      </c>
      <c r="W405" s="12"/>
      <c r="X405" s="12"/>
      <c r="Y405" s="12">
        <f t="shared" si="47"/>
        <v>0</v>
      </c>
      <c r="Z405" s="12"/>
      <c r="AA405" s="12"/>
      <c r="AB405" s="13">
        <f t="shared" si="48"/>
        <v>3508799.9999999995</v>
      </c>
      <c r="AC405" s="14"/>
    </row>
    <row r="406" spans="1:29" ht="15.75" x14ac:dyDescent="0.25">
      <c r="A406" s="28">
        <v>46088</v>
      </c>
      <c r="B406" s="10" t="s">
        <v>272</v>
      </c>
      <c r="C406" s="10"/>
      <c r="D406" s="10"/>
      <c r="E406" s="10" t="s">
        <v>338</v>
      </c>
      <c r="F406" s="10">
        <v>29.1</v>
      </c>
      <c r="G406" s="10" t="s">
        <v>36</v>
      </c>
      <c r="H406" s="10">
        <v>43000</v>
      </c>
      <c r="I406" s="10">
        <f t="shared" si="42"/>
        <v>1251300</v>
      </c>
      <c r="J406" s="115" t="s">
        <v>90</v>
      </c>
      <c r="K406" s="82"/>
      <c r="L406" s="10"/>
      <c r="M406" s="12">
        <f t="shared" si="43"/>
        <v>0</v>
      </c>
      <c r="N406" s="12"/>
      <c r="O406" s="12"/>
      <c r="P406" s="12">
        <f t="shared" si="44"/>
        <v>0</v>
      </c>
      <c r="Q406" s="12"/>
      <c r="R406" s="12"/>
      <c r="S406" s="12">
        <f t="shared" si="45"/>
        <v>0</v>
      </c>
      <c r="T406" s="12"/>
      <c r="U406" s="12"/>
      <c r="V406" s="12">
        <f t="shared" si="46"/>
        <v>0</v>
      </c>
      <c r="W406" s="12"/>
      <c r="X406" s="12"/>
      <c r="Y406" s="12">
        <f t="shared" si="47"/>
        <v>0</v>
      </c>
      <c r="Z406" s="12"/>
      <c r="AA406" s="12"/>
      <c r="AB406" s="13">
        <f t="shared" si="48"/>
        <v>1251300</v>
      </c>
      <c r="AC406" s="14"/>
    </row>
    <row r="407" spans="1:29" ht="15.75" x14ac:dyDescent="0.25">
      <c r="A407" s="65">
        <v>46088</v>
      </c>
      <c r="B407" s="10" t="s">
        <v>272</v>
      </c>
      <c r="C407" s="66"/>
      <c r="D407" s="66"/>
      <c r="E407" s="66" t="s">
        <v>86</v>
      </c>
      <c r="F407" s="66">
        <v>28.8</v>
      </c>
      <c r="G407" s="66" t="s">
        <v>36</v>
      </c>
      <c r="H407" s="66">
        <v>43000</v>
      </c>
      <c r="I407" s="10">
        <f t="shared" si="42"/>
        <v>1238400</v>
      </c>
      <c r="J407" s="86" t="s">
        <v>30</v>
      </c>
      <c r="K407" s="92"/>
      <c r="L407" s="10"/>
      <c r="M407" s="12">
        <f t="shared" si="43"/>
        <v>0</v>
      </c>
      <c r="N407" s="12"/>
      <c r="O407" s="12"/>
      <c r="P407" s="12">
        <f t="shared" si="44"/>
        <v>0</v>
      </c>
      <c r="Q407" s="12"/>
      <c r="R407" s="12"/>
      <c r="S407" s="12">
        <f t="shared" si="45"/>
        <v>0</v>
      </c>
      <c r="T407" s="12"/>
      <c r="U407" s="12"/>
      <c r="V407" s="12">
        <f t="shared" si="46"/>
        <v>0</v>
      </c>
      <c r="W407" s="12"/>
      <c r="X407" s="12"/>
      <c r="Y407" s="12">
        <f t="shared" si="47"/>
        <v>0</v>
      </c>
      <c r="Z407" s="12"/>
      <c r="AA407" s="12"/>
      <c r="AB407" s="13">
        <f t="shared" si="48"/>
        <v>1238400</v>
      </c>
      <c r="AC407" s="14"/>
    </row>
    <row r="408" spans="1:29" ht="15.75" x14ac:dyDescent="0.25">
      <c r="A408" s="65">
        <v>46088</v>
      </c>
      <c r="B408" s="10" t="s">
        <v>272</v>
      </c>
      <c r="C408" s="66"/>
      <c r="D408" s="66"/>
      <c r="E408" s="66" t="s">
        <v>86</v>
      </c>
      <c r="F408" s="66">
        <v>28.3</v>
      </c>
      <c r="G408" s="66" t="s">
        <v>36</v>
      </c>
      <c r="H408" s="66">
        <v>43000</v>
      </c>
      <c r="I408" s="10">
        <f t="shared" si="42"/>
        <v>1216900</v>
      </c>
      <c r="J408" s="115" t="s">
        <v>90</v>
      </c>
      <c r="K408" s="92"/>
      <c r="L408" s="10"/>
      <c r="M408" s="12">
        <f t="shared" si="43"/>
        <v>0</v>
      </c>
      <c r="N408" s="12"/>
      <c r="O408" s="12"/>
      <c r="P408" s="12">
        <f t="shared" si="44"/>
        <v>0</v>
      </c>
      <c r="Q408" s="12"/>
      <c r="R408" s="12"/>
      <c r="S408" s="12">
        <f t="shared" si="45"/>
        <v>0</v>
      </c>
      <c r="T408" s="12"/>
      <c r="U408" s="12"/>
      <c r="V408" s="12">
        <f t="shared" si="46"/>
        <v>0</v>
      </c>
      <c r="W408" s="12"/>
      <c r="X408" s="12"/>
      <c r="Y408" s="12">
        <f t="shared" si="47"/>
        <v>0</v>
      </c>
      <c r="Z408" s="12"/>
      <c r="AA408" s="12"/>
      <c r="AB408" s="13">
        <f t="shared" si="48"/>
        <v>1216900</v>
      </c>
      <c r="AC408" s="14"/>
    </row>
    <row r="409" spans="1:29" s="148" customFormat="1" ht="16.5" thickBot="1" x14ac:dyDescent="0.3">
      <c r="A409" s="65">
        <v>46088</v>
      </c>
      <c r="B409" s="10" t="s">
        <v>272</v>
      </c>
      <c r="C409" s="10"/>
      <c r="D409" s="10"/>
      <c r="E409" s="10" t="s">
        <v>307</v>
      </c>
      <c r="F409" s="10">
        <v>26.9</v>
      </c>
      <c r="G409" s="10" t="s">
        <v>36</v>
      </c>
      <c r="H409" s="10">
        <v>43000</v>
      </c>
      <c r="I409" s="10">
        <f t="shared" si="42"/>
        <v>1156700</v>
      </c>
      <c r="J409" s="86" t="s">
        <v>30</v>
      </c>
      <c r="K409" s="60"/>
      <c r="L409" s="10"/>
      <c r="M409" s="12">
        <f t="shared" si="43"/>
        <v>0</v>
      </c>
      <c r="N409" s="12"/>
      <c r="O409" s="12"/>
      <c r="P409" s="12">
        <f t="shared" si="44"/>
        <v>0</v>
      </c>
      <c r="Q409" s="12"/>
      <c r="R409" s="12"/>
      <c r="S409" s="12">
        <f t="shared" si="45"/>
        <v>0</v>
      </c>
      <c r="T409" s="12"/>
      <c r="U409" s="12"/>
      <c r="V409" s="12">
        <f t="shared" si="46"/>
        <v>0</v>
      </c>
      <c r="W409" s="12"/>
      <c r="X409" s="12"/>
      <c r="Y409" s="12">
        <f t="shared" si="47"/>
        <v>0</v>
      </c>
      <c r="Z409" s="12"/>
      <c r="AA409" s="12"/>
      <c r="AB409" s="13">
        <f t="shared" si="48"/>
        <v>1156700</v>
      </c>
      <c r="AC409" s="14"/>
    </row>
    <row r="410" spans="1:29" ht="16.5" thickBot="1" x14ac:dyDescent="0.3">
      <c r="A410" s="53">
        <v>46088</v>
      </c>
      <c r="B410" s="31" t="s">
        <v>267</v>
      </c>
      <c r="C410" s="31"/>
      <c r="D410" s="31" t="s">
        <v>383</v>
      </c>
      <c r="E410" s="31" t="s">
        <v>104</v>
      </c>
      <c r="F410" s="31">
        <v>600</v>
      </c>
      <c r="G410" s="31" t="s">
        <v>26</v>
      </c>
      <c r="H410" s="31">
        <v>1900</v>
      </c>
      <c r="I410" s="31">
        <f t="shared" si="42"/>
        <v>1140000</v>
      </c>
      <c r="J410" s="51" t="s">
        <v>113</v>
      </c>
      <c r="K410" s="129"/>
      <c r="L410" s="31"/>
      <c r="M410" s="34">
        <f t="shared" si="43"/>
        <v>1140000</v>
      </c>
      <c r="N410" s="34">
        <v>1140000</v>
      </c>
      <c r="O410" s="34"/>
      <c r="P410" s="34">
        <f t="shared" si="44"/>
        <v>0</v>
      </c>
      <c r="Q410" s="34"/>
      <c r="R410" s="34"/>
      <c r="S410" s="34">
        <f t="shared" si="45"/>
        <v>0</v>
      </c>
      <c r="T410" s="34"/>
      <c r="U410" s="34"/>
      <c r="V410" s="34">
        <f t="shared" si="46"/>
        <v>0</v>
      </c>
      <c r="W410" s="34"/>
      <c r="X410" s="34"/>
      <c r="Y410" s="34">
        <f t="shared" si="47"/>
        <v>0</v>
      </c>
      <c r="Z410" s="34"/>
      <c r="AA410" s="34"/>
      <c r="AB410" s="35">
        <f t="shared" si="48"/>
        <v>0</v>
      </c>
      <c r="AC410" s="36">
        <v>46088</v>
      </c>
    </row>
    <row r="411" spans="1:29" ht="15.75" x14ac:dyDescent="0.25">
      <c r="A411" s="65">
        <v>46091</v>
      </c>
      <c r="B411" s="66" t="s">
        <v>272</v>
      </c>
      <c r="C411" s="66"/>
      <c r="D411" s="66"/>
      <c r="E411" s="66" t="s">
        <v>307</v>
      </c>
      <c r="F411" s="66">
        <v>82.3</v>
      </c>
      <c r="G411" s="66" t="s">
        <v>36</v>
      </c>
      <c r="H411" s="66">
        <v>43000</v>
      </c>
      <c r="I411" s="10">
        <f t="shared" si="42"/>
        <v>3538900</v>
      </c>
      <c r="J411" s="115" t="s">
        <v>90</v>
      </c>
      <c r="K411" s="104"/>
      <c r="L411" s="10"/>
      <c r="M411" s="12">
        <f t="shared" si="43"/>
        <v>0</v>
      </c>
      <c r="N411" s="12"/>
      <c r="O411" s="12"/>
      <c r="P411" s="12">
        <f t="shared" si="44"/>
        <v>0</v>
      </c>
      <c r="Q411" s="12"/>
      <c r="R411" s="12"/>
      <c r="S411" s="12">
        <f t="shared" si="45"/>
        <v>0</v>
      </c>
      <c r="T411" s="12"/>
      <c r="U411" s="12"/>
      <c r="V411" s="12">
        <f t="shared" si="46"/>
        <v>0</v>
      </c>
      <c r="W411" s="12"/>
      <c r="X411" s="12"/>
      <c r="Y411" s="12">
        <f t="shared" si="47"/>
        <v>0</v>
      </c>
      <c r="Z411" s="12"/>
      <c r="AA411" s="12"/>
      <c r="AB411" s="13">
        <f t="shared" si="48"/>
        <v>3538900</v>
      </c>
      <c r="AC411" s="14"/>
    </row>
    <row r="412" spans="1:29" ht="15.75" x14ac:dyDescent="0.25">
      <c r="A412" s="65">
        <v>46091</v>
      </c>
      <c r="B412" s="66" t="s">
        <v>272</v>
      </c>
      <c r="C412" s="10"/>
      <c r="D412" s="10"/>
      <c r="E412" s="10" t="s">
        <v>265</v>
      </c>
      <c r="F412" s="10">
        <v>22.8</v>
      </c>
      <c r="G412" s="10" t="s">
        <v>36</v>
      </c>
      <c r="H412" s="10">
        <v>43000</v>
      </c>
      <c r="I412" s="10">
        <f t="shared" si="42"/>
        <v>980400</v>
      </c>
      <c r="J412" s="115" t="s">
        <v>90</v>
      </c>
      <c r="K412" s="60"/>
      <c r="L412" s="10"/>
      <c r="M412" s="12">
        <f t="shared" si="43"/>
        <v>0</v>
      </c>
      <c r="N412" s="12"/>
      <c r="O412" s="12"/>
      <c r="P412" s="12">
        <f t="shared" si="44"/>
        <v>0</v>
      </c>
      <c r="Q412" s="12"/>
      <c r="R412" s="12"/>
      <c r="S412" s="12">
        <f t="shared" si="45"/>
        <v>0</v>
      </c>
      <c r="T412" s="12"/>
      <c r="U412" s="12"/>
      <c r="V412" s="12">
        <f t="shared" si="46"/>
        <v>0</v>
      </c>
      <c r="W412" s="12"/>
      <c r="X412" s="12"/>
      <c r="Y412" s="12">
        <f t="shared" si="47"/>
        <v>0</v>
      </c>
      <c r="Z412" s="12"/>
      <c r="AA412" s="12"/>
      <c r="AB412" s="13">
        <f t="shared" si="48"/>
        <v>980400</v>
      </c>
      <c r="AC412" s="14"/>
    </row>
    <row r="413" spans="1:29" ht="15.75" x14ac:dyDescent="0.25">
      <c r="A413" s="65">
        <v>46091</v>
      </c>
      <c r="B413" s="66" t="s">
        <v>272</v>
      </c>
      <c r="C413" s="10"/>
      <c r="D413" s="10"/>
      <c r="E413" s="10" t="s">
        <v>80</v>
      </c>
      <c r="F413" s="10">
        <v>22.8</v>
      </c>
      <c r="G413" s="10" t="s">
        <v>36</v>
      </c>
      <c r="H413" s="10">
        <v>43000</v>
      </c>
      <c r="I413" s="10">
        <f t="shared" si="42"/>
        <v>980400</v>
      </c>
      <c r="J413" s="86" t="s">
        <v>30</v>
      </c>
      <c r="K413" s="60"/>
      <c r="L413" s="10"/>
      <c r="M413" s="12">
        <f t="shared" si="43"/>
        <v>0</v>
      </c>
      <c r="N413" s="12"/>
      <c r="O413" s="12"/>
      <c r="P413" s="12">
        <f t="shared" si="44"/>
        <v>0</v>
      </c>
      <c r="Q413" s="12"/>
      <c r="R413" s="12"/>
      <c r="S413" s="12">
        <f t="shared" si="45"/>
        <v>0</v>
      </c>
      <c r="T413" s="12"/>
      <c r="U413" s="12"/>
      <c r="V413" s="12">
        <f t="shared" si="46"/>
        <v>0</v>
      </c>
      <c r="W413" s="12"/>
      <c r="X413" s="12"/>
      <c r="Y413" s="12">
        <f t="shared" si="47"/>
        <v>0</v>
      </c>
      <c r="Z413" s="12"/>
      <c r="AA413" s="12"/>
      <c r="AB413" s="13">
        <f t="shared" si="48"/>
        <v>980400</v>
      </c>
      <c r="AC413" s="14"/>
    </row>
    <row r="414" spans="1:29" ht="15.75" x14ac:dyDescent="0.25">
      <c r="A414" s="65">
        <v>46091</v>
      </c>
      <c r="B414" s="66" t="s">
        <v>272</v>
      </c>
      <c r="C414" s="10"/>
      <c r="D414" s="10"/>
      <c r="E414" s="10" t="s">
        <v>463</v>
      </c>
      <c r="F414" s="10">
        <v>39.799999999999997</v>
      </c>
      <c r="G414" s="10" t="s">
        <v>36</v>
      </c>
      <c r="H414" s="10">
        <v>43000</v>
      </c>
      <c r="I414" s="10">
        <f t="shared" si="42"/>
        <v>1711399.9999999998</v>
      </c>
      <c r="J414" s="115" t="s">
        <v>90</v>
      </c>
      <c r="K414" s="60"/>
      <c r="L414" s="10"/>
      <c r="M414" s="12">
        <f t="shared" si="43"/>
        <v>0</v>
      </c>
      <c r="N414" s="12"/>
      <c r="O414" s="12"/>
      <c r="P414" s="12">
        <f t="shared" si="44"/>
        <v>0</v>
      </c>
      <c r="Q414" s="12"/>
      <c r="R414" s="12"/>
      <c r="S414" s="12">
        <f t="shared" si="45"/>
        <v>0</v>
      </c>
      <c r="T414" s="12"/>
      <c r="U414" s="12"/>
      <c r="V414" s="12">
        <f t="shared" si="46"/>
        <v>0</v>
      </c>
      <c r="W414" s="12"/>
      <c r="X414" s="12"/>
      <c r="Y414" s="12">
        <f t="shared" si="47"/>
        <v>0</v>
      </c>
      <c r="Z414" s="12"/>
      <c r="AA414" s="12"/>
      <c r="AB414" s="13">
        <f t="shared" si="48"/>
        <v>1711399.9999999998</v>
      </c>
      <c r="AC414" s="14"/>
    </row>
    <row r="415" spans="1:29" ht="15.75" x14ac:dyDescent="0.25">
      <c r="A415" s="65">
        <v>46091</v>
      </c>
      <c r="B415" s="10" t="s">
        <v>233</v>
      </c>
      <c r="C415" s="10"/>
      <c r="D415" s="10" t="s">
        <v>195</v>
      </c>
      <c r="E415" s="10" t="s">
        <v>65</v>
      </c>
      <c r="F415" s="10">
        <v>900</v>
      </c>
      <c r="G415" s="10" t="s">
        <v>26</v>
      </c>
      <c r="H415" s="10">
        <v>4000</v>
      </c>
      <c r="I415" s="10">
        <f t="shared" si="42"/>
        <v>3600000</v>
      </c>
      <c r="J415" s="29" t="s">
        <v>113</v>
      </c>
      <c r="K415" s="60"/>
      <c r="L415" s="10"/>
      <c r="M415" s="12">
        <f t="shared" si="43"/>
        <v>0</v>
      </c>
      <c r="N415" s="12"/>
      <c r="O415" s="12"/>
      <c r="P415" s="12">
        <f t="shared" si="44"/>
        <v>0</v>
      </c>
      <c r="Q415" s="12"/>
      <c r="R415" s="12"/>
      <c r="S415" s="12">
        <f t="shared" si="45"/>
        <v>0</v>
      </c>
      <c r="T415" s="12"/>
      <c r="U415" s="12"/>
      <c r="V415" s="12">
        <f t="shared" si="46"/>
        <v>3600000</v>
      </c>
      <c r="W415" s="12">
        <v>3600000</v>
      </c>
      <c r="X415" s="12"/>
      <c r="Y415" s="12">
        <f t="shared" si="47"/>
        <v>0</v>
      </c>
      <c r="Z415" s="12"/>
      <c r="AA415" s="12"/>
      <c r="AB415" s="13">
        <f t="shared" si="48"/>
        <v>0</v>
      </c>
      <c r="AC415" s="14">
        <v>46090</v>
      </c>
    </row>
    <row r="416" spans="1:29" ht="15.75" x14ac:dyDescent="0.25">
      <c r="A416" s="65">
        <v>46091</v>
      </c>
      <c r="B416" s="10" t="s">
        <v>438</v>
      </c>
      <c r="C416" s="10"/>
      <c r="D416" s="10" t="s">
        <v>195</v>
      </c>
      <c r="E416" s="10" t="s">
        <v>439</v>
      </c>
      <c r="F416" s="10">
        <v>4000</v>
      </c>
      <c r="G416" s="10" t="s">
        <v>407</v>
      </c>
      <c r="H416" s="10">
        <v>3800</v>
      </c>
      <c r="I416" s="10">
        <f t="shared" si="42"/>
        <v>15200000</v>
      </c>
      <c r="J416" s="29" t="s">
        <v>110</v>
      </c>
      <c r="K416" s="10"/>
      <c r="L416" s="10" t="s">
        <v>577</v>
      </c>
      <c r="M416" s="12">
        <f t="shared" si="43"/>
        <v>0</v>
      </c>
      <c r="N416" s="12"/>
      <c r="O416" s="12"/>
      <c r="P416" s="12">
        <f t="shared" si="44"/>
        <v>15200000</v>
      </c>
      <c r="Q416" s="12">
        <v>15200000</v>
      </c>
      <c r="R416" s="12"/>
      <c r="S416" s="12">
        <f t="shared" si="45"/>
        <v>0</v>
      </c>
      <c r="T416" s="12"/>
      <c r="U416" s="12"/>
      <c r="V416" s="12">
        <f t="shared" si="46"/>
        <v>0</v>
      </c>
      <c r="W416" s="12"/>
      <c r="X416" s="12"/>
      <c r="Y416" s="12">
        <f t="shared" si="47"/>
        <v>0</v>
      </c>
      <c r="Z416" s="12"/>
      <c r="AA416" s="12"/>
      <c r="AB416" s="13">
        <f t="shared" si="48"/>
        <v>0</v>
      </c>
      <c r="AC416" s="14">
        <v>46091</v>
      </c>
    </row>
    <row r="417" spans="1:29" ht="15.75" x14ac:dyDescent="0.25">
      <c r="A417" s="65">
        <v>46091</v>
      </c>
      <c r="B417" s="66" t="s">
        <v>608</v>
      </c>
      <c r="C417" s="66"/>
      <c r="D417" s="10" t="s">
        <v>383</v>
      </c>
      <c r="E417" s="66" t="s">
        <v>160</v>
      </c>
      <c r="F417" s="66">
        <v>1</v>
      </c>
      <c r="G417" s="66" t="s">
        <v>22</v>
      </c>
      <c r="H417" s="66">
        <v>400000</v>
      </c>
      <c r="I417" s="10">
        <f t="shared" si="42"/>
        <v>400000</v>
      </c>
      <c r="J417" s="29" t="s">
        <v>110</v>
      </c>
      <c r="K417" s="66"/>
      <c r="L417" s="10"/>
      <c r="M417" s="12">
        <f t="shared" si="43"/>
        <v>0</v>
      </c>
      <c r="N417" s="12"/>
      <c r="O417" s="12"/>
      <c r="P417" s="12">
        <f t="shared" si="44"/>
        <v>0</v>
      </c>
      <c r="Q417" s="12"/>
      <c r="R417" s="12"/>
      <c r="S417" s="12">
        <f t="shared" si="45"/>
        <v>400000</v>
      </c>
      <c r="T417" s="12">
        <v>400000</v>
      </c>
      <c r="U417" s="12"/>
      <c r="V417" s="12">
        <f t="shared" si="46"/>
        <v>0</v>
      </c>
      <c r="W417" s="12"/>
      <c r="X417" s="12"/>
      <c r="Y417" s="12">
        <f t="shared" si="47"/>
        <v>0</v>
      </c>
      <c r="Z417" s="12"/>
      <c r="AA417" s="12"/>
      <c r="AB417" s="13">
        <f t="shared" si="48"/>
        <v>0</v>
      </c>
      <c r="AC417" s="14">
        <v>46090</v>
      </c>
    </row>
    <row r="418" spans="1:29" ht="15.75" x14ac:dyDescent="0.25">
      <c r="A418" s="65">
        <v>46091</v>
      </c>
      <c r="B418" s="66" t="s">
        <v>69</v>
      </c>
      <c r="C418" s="10"/>
      <c r="D418" s="66" t="s">
        <v>195</v>
      </c>
      <c r="E418" s="10" t="s">
        <v>136</v>
      </c>
      <c r="F418" s="10">
        <v>46.4</v>
      </c>
      <c r="G418" s="10" t="s">
        <v>36</v>
      </c>
      <c r="H418" s="10">
        <v>43000</v>
      </c>
      <c r="I418" s="10">
        <f t="shared" si="42"/>
        <v>1995200</v>
      </c>
      <c r="J418" s="29" t="s">
        <v>110</v>
      </c>
      <c r="K418" s="10"/>
      <c r="L418" s="10" t="s">
        <v>553</v>
      </c>
      <c r="M418" s="12">
        <f t="shared" si="43"/>
        <v>0</v>
      </c>
      <c r="N418" s="12"/>
      <c r="O418" s="12"/>
      <c r="P418" s="12">
        <f t="shared" si="44"/>
        <v>1995200</v>
      </c>
      <c r="Q418" s="12">
        <v>1995200</v>
      </c>
      <c r="R418" s="12"/>
      <c r="S418" s="12">
        <f t="shared" si="45"/>
        <v>0</v>
      </c>
      <c r="T418" s="12"/>
      <c r="U418" s="12"/>
      <c r="V418" s="12">
        <f t="shared" si="46"/>
        <v>0</v>
      </c>
      <c r="W418" s="12"/>
      <c r="X418" s="12"/>
      <c r="Y418" s="12">
        <f t="shared" si="47"/>
        <v>0</v>
      </c>
      <c r="Z418" s="12"/>
      <c r="AA418" s="12"/>
      <c r="AB418" s="13">
        <f t="shared" si="48"/>
        <v>0</v>
      </c>
      <c r="AC418" s="14">
        <v>46087</v>
      </c>
    </row>
    <row r="419" spans="1:29" ht="15.75" x14ac:dyDescent="0.25">
      <c r="A419" s="65">
        <v>46091</v>
      </c>
      <c r="B419" s="66" t="s">
        <v>272</v>
      </c>
      <c r="C419" s="10"/>
      <c r="D419" s="66"/>
      <c r="E419" s="10" t="s">
        <v>168</v>
      </c>
      <c r="F419" s="10">
        <v>62.5</v>
      </c>
      <c r="G419" s="10" t="s">
        <v>36</v>
      </c>
      <c r="H419" s="10">
        <v>43000</v>
      </c>
      <c r="I419" s="10">
        <f t="shared" si="42"/>
        <v>2687500</v>
      </c>
      <c r="J419" s="115" t="s">
        <v>90</v>
      </c>
      <c r="K419" s="10"/>
      <c r="L419" s="10"/>
      <c r="M419" s="12">
        <f t="shared" si="43"/>
        <v>0</v>
      </c>
      <c r="N419" s="12"/>
      <c r="O419" s="12"/>
      <c r="P419" s="12">
        <f t="shared" si="44"/>
        <v>0</v>
      </c>
      <c r="Q419" s="12"/>
      <c r="R419" s="12"/>
      <c r="S419" s="12">
        <f t="shared" si="45"/>
        <v>0</v>
      </c>
      <c r="T419" s="12"/>
      <c r="U419" s="12"/>
      <c r="V419" s="12">
        <f t="shared" si="46"/>
        <v>0</v>
      </c>
      <c r="W419" s="12"/>
      <c r="X419" s="12"/>
      <c r="Y419" s="12">
        <f t="shared" si="47"/>
        <v>0</v>
      </c>
      <c r="Z419" s="12"/>
      <c r="AA419" s="12"/>
      <c r="AB419" s="13">
        <f t="shared" si="48"/>
        <v>2687500</v>
      </c>
      <c r="AC419" s="14"/>
    </row>
    <row r="420" spans="1:29" ht="15.75" x14ac:dyDescent="0.25">
      <c r="A420" s="65">
        <v>46091</v>
      </c>
      <c r="B420" s="66" t="s">
        <v>275</v>
      </c>
      <c r="C420" s="10"/>
      <c r="D420" s="66" t="s">
        <v>383</v>
      </c>
      <c r="E420" s="10" t="s">
        <v>276</v>
      </c>
      <c r="F420" s="10">
        <v>25</v>
      </c>
      <c r="G420" s="10" t="s">
        <v>36</v>
      </c>
      <c r="H420" s="10">
        <v>55000</v>
      </c>
      <c r="I420" s="10">
        <f t="shared" si="42"/>
        <v>1375000</v>
      </c>
      <c r="J420" s="29" t="s">
        <v>113</v>
      </c>
      <c r="K420" s="10"/>
      <c r="L420" s="10"/>
      <c r="M420" s="12">
        <f t="shared" si="43"/>
        <v>1375000</v>
      </c>
      <c r="N420" s="12">
        <v>1375000</v>
      </c>
      <c r="O420" s="12"/>
      <c r="P420" s="12">
        <f t="shared" si="44"/>
        <v>0</v>
      </c>
      <c r="Q420" s="12"/>
      <c r="R420" s="12"/>
      <c r="S420" s="12">
        <f t="shared" si="45"/>
        <v>0</v>
      </c>
      <c r="T420" s="12"/>
      <c r="U420" s="12"/>
      <c r="V420" s="12">
        <f t="shared" si="46"/>
        <v>0</v>
      </c>
      <c r="W420" s="12"/>
      <c r="X420" s="12"/>
      <c r="Y420" s="12">
        <f t="shared" si="47"/>
        <v>0</v>
      </c>
      <c r="Z420" s="12"/>
      <c r="AA420" s="12"/>
      <c r="AB420" s="13">
        <f t="shared" si="48"/>
        <v>0</v>
      </c>
      <c r="AC420" s="14">
        <v>46091</v>
      </c>
    </row>
    <row r="421" spans="1:29" ht="15.75" x14ac:dyDescent="0.25">
      <c r="A421" s="65">
        <v>46091</v>
      </c>
      <c r="B421" s="10" t="s">
        <v>609</v>
      </c>
      <c r="C421" s="10"/>
      <c r="D421" s="10" t="s">
        <v>195</v>
      </c>
      <c r="E421" s="10" t="s">
        <v>118</v>
      </c>
      <c r="F421" s="10">
        <v>10</v>
      </c>
      <c r="G421" s="10" t="s">
        <v>22</v>
      </c>
      <c r="H421" s="10">
        <v>400000</v>
      </c>
      <c r="I421" s="10">
        <f t="shared" si="42"/>
        <v>4000000</v>
      </c>
      <c r="J421" s="29" t="s">
        <v>110</v>
      </c>
      <c r="K421" s="10"/>
      <c r="L421" s="10" t="s">
        <v>613</v>
      </c>
      <c r="M421" s="12">
        <f t="shared" si="43"/>
        <v>0</v>
      </c>
      <c r="N421" s="12"/>
      <c r="O421" s="12"/>
      <c r="P421" s="12">
        <f t="shared" si="44"/>
        <v>4000000</v>
      </c>
      <c r="Q421" s="12">
        <v>4000000</v>
      </c>
      <c r="R421" s="12"/>
      <c r="S421" s="12">
        <f t="shared" si="45"/>
        <v>0</v>
      </c>
      <c r="T421" s="12"/>
      <c r="U421" s="12"/>
      <c r="V421" s="12">
        <f t="shared" si="46"/>
        <v>0</v>
      </c>
      <c r="W421" s="12"/>
      <c r="X421" s="12"/>
      <c r="Y421" s="12">
        <f t="shared" si="47"/>
        <v>0</v>
      </c>
      <c r="Z421" s="12"/>
      <c r="AA421" s="12"/>
      <c r="AB421" s="13">
        <f t="shared" si="48"/>
        <v>0</v>
      </c>
      <c r="AC421" s="14">
        <v>46091</v>
      </c>
    </row>
    <row r="422" spans="1:29" ht="15.75" x14ac:dyDescent="0.25">
      <c r="A422" s="65">
        <v>46091</v>
      </c>
      <c r="B422" s="10" t="s">
        <v>234</v>
      </c>
      <c r="C422" s="10"/>
      <c r="D422" s="10" t="s">
        <v>383</v>
      </c>
      <c r="E422" s="10" t="s">
        <v>175</v>
      </c>
      <c r="F422" s="10">
        <v>41600</v>
      </c>
      <c r="G422" s="10" t="s">
        <v>26</v>
      </c>
      <c r="H422" s="10">
        <v>950</v>
      </c>
      <c r="I422" s="10">
        <f t="shared" si="42"/>
        <v>39520000</v>
      </c>
      <c r="J422" s="29" t="s">
        <v>110</v>
      </c>
      <c r="K422" s="10" t="s">
        <v>616</v>
      </c>
      <c r="L422" s="10" t="s">
        <v>568</v>
      </c>
      <c r="M422" s="12">
        <f t="shared" si="43"/>
        <v>0</v>
      </c>
      <c r="N422" s="12"/>
      <c r="O422" s="12"/>
      <c r="P422" s="12">
        <f t="shared" si="44"/>
        <v>39520000</v>
      </c>
      <c r="Q422" s="12">
        <v>9480000</v>
      </c>
      <c r="R422" s="12">
        <v>30040000</v>
      </c>
      <c r="S422" s="12">
        <f t="shared" si="45"/>
        <v>0</v>
      </c>
      <c r="T422" s="12"/>
      <c r="U422" s="12"/>
      <c r="V422" s="12">
        <f t="shared" si="46"/>
        <v>0</v>
      </c>
      <c r="W422" s="12"/>
      <c r="X422" s="12"/>
      <c r="Y422" s="12">
        <f t="shared" si="47"/>
        <v>0</v>
      </c>
      <c r="Z422" s="12"/>
      <c r="AA422" s="12"/>
      <c r="AB422" s="13">
        <f t="shared" si="48"/>
        <v>0</v>
      </c>
      <c r="AC422" s="14">
        <v>46094</v>
      </c>
    </row>
    <row r="423" spans="1:29" ht="15.75" x14ac:dyDescent="0.25">
      <c r="A423" s="65">
        <v>46091</v>
      </c>
      <c r="B423" s="10" t="s">
        <v>272</v>
      </c>
      <c r="C423" s="10"/>
      <c r="D423" s="10"/>
      <c r="E423" s="10" t="s">
        <v>307</v>
      </c>
      <c r="F423" s="10">
        <v>107.6</v>
      </c>
      <c r="G423" s="10" t="s">
        <v>36</v>
      </c>
      <c r="H423" s="10">
        <v>43000</v>
      </c>
      <c r="I423" s="10">
        <f t="shared" si="42"/>
        <v>4626800</v>
      </c>
      <c r="J423" s="115" t="s">
        <v>90</v>
      </c>
      <c r="K423" s="10"/>
      <c r="L423" s="10"/>
      <c r="M423" s="12">
        <f t="shared" si="43"/>
        <v>0</v>
      </c>
      <c r="N423" s="12"/>
      <c r="O423" s="12"/>
      <c r="P423" s="12">
        <f t="shared" si="44"/>
        <v>0</v>
      </c>
      <c r="Q423" s="12"/>
      <c r="R423" s="12"/>
      <c r="S423" s="12">
        <f t="shared" si="45"/>
        <v>0</v>
      </c>
      <c r="T423" s="12"/>
      <c r="U423" s="12"/>
      <c r="V423" s="12">
        <f t="shared" si="46"/>
        <v>0</v>
      </c>
      <c r="W423" s="12"/>
      <c r="X423" s="12"/>
      <c r="Y423" s="12">
        <f t="shared" si="47"/>
        <v>0</v>
      </c>
      <c r="Z423" s="12"/>
      <c r="AA423" s="12"/>
      <c r="AB423" s="13">
        <f t="shared" si="48"/>
        <v>4626800</v>
      </c>
      <c r="AC423" s="14"/>
    </row>
    <row r="424" spans="1:29" ht="15.75" x14ac:dyDescent="0.25">
      <c r="A424" s="65">
        <v>46091</v>
      </c>
      <c r="B424" s="10" t="s">
        <v>272</v>
      </c>
      <c r="C424" s="10"/>
      <c r="D424" s="10"/>
      <c r="E424" s="10" t="s">
        <v>304</v>
      </c>
      <c r="F424" s="10">
        <v>35.6</v>
      </c>
      <c r="G424" s="10" t="s">
        <v>36</v>
      </c>
      <c r="H424" s="10">
        <v>90000</v>
      </c>
      <c r="I424" s="10">
        <f t="shared" si="42"/>
        <v>3204000</v>
      </c>
      <c r="J424" s="115" t="s">
        <v>90</v>
      </c>
      <c r="K424" s="10"/>
      <c r="L424" s="10"/>
      <c r="M424" s="12">
        <f t="shared" si="43"/>
        <v>0</v>
      </c>
      <c r="N424" s="12"/>
      <c r="O424" s="12"/>
      <c r="P424" s="12">
        <f t="shared" si="44"/>
        <v>0</v>
      </c>
      <c r="Q424" s="12"/>
      <c r="R424" s="12"/>
      <c r="S424" s="12">
        <f t="shared" si="45"/>
        <v>0</v>
      </c>
      <c r="T424" s="12"/>
      <c r="U424" s="12"/>
      <c r="V424" s="12">
        <f t="shared" si="46"/>
        <v>0</v>
      </c>
      <c r="W424" s="12"/>
      <c r="X424" s="12"/>
      <c r="Y424" s="12">
        <f t="shared" si="47"/>
        <v>0</v>
      </c>
      <c r="Z424" s="12"/>
      <c r="AA424" s="12"/>
      <c r="AB424" s="13">
        <f t="shared" si="48"/>
        <v>3204000</v>
      </c>
      <c r="AC424" s="14"/>
    </row>
    <row r="425" spans="1:29" ht="15.75" x14ac:dyDescent="0.25">
      <c r="A425" s="65">
        <v>46091</v>
      </c>
      <c r="B425" s="10" t="s">
        <v>297</v>
      </c>
      <c r="C425" s="10"/>
      <c r="D425" s="10" t="s">
        <v>383</v>
      </c>
      <c r="E425" s="10" t="s">
        <v>119</v>
      </c>
      <c r="F425" s="10">
        <v>25</v>
      </c>
      <c r="G425" s="10" t="s">
        <v>36</v>
      </c>
      <c r="H425" s="10">
        <v>180000</v>
      </c>
      <c r="I425" s="10">
        <f t="shared" si="42"/>
        <v>4500000</v>
      </c>
      <c r="J425" s="52" t="s">
        <v>30</v>
      </c>
      <c r="K425" s="88" t="s">
        <v>615</v>
      </c>
      <c r="L425" s="10"/>
      <c r="M425" s="12">
        <f t="shared" si="43"/>
        <v>45000</v>
      </c>
      <c r="N425" s="12">
        <v>45000</v>
      </c>
      <c r="O425" s="12"/>
      <c r="P425" s="12">
        <f t="shared" si="44"/>
        <v>0</v>
      </c>
      <c r="Q425" s="12"/>
      <c r="R425" s="12"/>
      <c r="S425" s="12">
        <f t="shared" si="45"/>
        <v>0</v>
      </c>
      <c r="T425" s="12"/>
      <c r="U425" s="12"/>
      <c r="V425" s="12">
        <f t="shared" si="46"/>
        <v>0</v>
      </c>
      <c r="W425" s="12"/>
      <c r="X425" s="12"/>
      <c r="Y425" s="12">
        <f t="shared" si="47"/>
        <v>0</v>
      </c>
      <c r="Z425" s="12"/>
      <c r="AA425" s="12"/>
      <c r="AB425" s="13">
        <f t="shared" si="48"/>
        <v>4455000</v>
      </c>
      <c r="AC425" s="14">
        <v>46091</v>
      </c>
    </row>
    <row r="426" spans="1:29" ht="15.75" x14ac:dyDescent="0.25">
      <c r="A426" s="65">
        <v>46091</v>
      </c>
      <c r="B426" s="10" t="s">
        <v>395</v>
      </c>
      <c r="C426" s="10"/>
      <c r="D426" s="10" t="s">
        <v>195</v>
      </c>
      <c r="E426" s="10" t="s">
        <v>104</v>
      </c>
      <c r="F426" s="10">
        <v>600</v>
      </c>
      <c r="G426" s="10" t="s">
        <v>26</v>
      </c>
      <c r="H426" s="10">
        <v>2000</v>
      </c>
      <c r="I426" s="10">
        <f t="shared" si="42"/>
        <v>1200000</v>
      </c>
      <c r="J426" s="29" t="s">
        <v>110</v>
      </c>
      <c r="K426" s="10"/>
      <c r="L426" s="10" t="s">
        <v>512</v>
      </c>
      <c r="M426" s="12">
        <f t="shared" si="43"/>
        <v>0</v>
      </c>
      <c r="N426" s="12"/>
      <c r="O426" s="12"/>
      <c r="P426" s="12">
        <f t="shared" si="44"/>
        <v>1200000</v>
      </c>
      <c r="Q426" s="12">
        <v>1200000</v>
      </c>
      <c r="R426" s="12"/>
      <c r="S426" s="12">
        <f t="shared" si="45"/>
        <v>0</v>
      </c>
      <c r="T426" s="12"/>
      <c r="U426" s="12"/>
      <c r="V426" s="12">
        <f t="shared" si="46"/>
        <v>0</v>
      </c>
      <c r="W426" s="12"/>
      <c r="X426" s="12"/>
      <c r="Y426" s="12">
        <f t="shared" si="47"/>
        <v>0</v>
      </c>
      <c r="Z426" s="12"/>
      <c r="AA426" s="12"/>
      <c r="AB426" s="13">
        <f t="shared" si="48"/>
        <v>0</v>
      </c>
      <c r="AC426" s="14">
        <v>46091</v>
      </c>
    </row>
    <row r="427" spans="1:29" ht="15.75" x14ac:dyDescent="0.25">
      <c r="A427" s="65">
        <v>46091</v>
      </c>
      <c r="B427" s="10" t="s">
        <v>610</v>
      </c>
      <c r="C427" s="10"/>
      <c r="D427" s="10" t="s">
        <v>383</v>
      </c>
      <c r="E427" s="10" t="s">
        <v>114</v>
      </c>
      <c r="F427" s="10">
        <v>10</v>
      </c>
      <c r="G427" s="10" t="s">
        <v>67</v>
      </c>
      <c r="H427" s="10">
        <v>50000</v>
      </c>
      <c r="I427" s="10">
        <f t="shared" si="42"/>
        <v>500000</v>
      </c>
      <c r="J427" s="29" t="s">
        <v>113</v>
      </c>
      <c r="K427" s="10"/>
      <c r="L427" s="10"/>
      <c r="M427" s="12">
        <f t="shared" si="43"/>
        <v>0</v>
      </c>
      <c r="N427" s="12"/>
      <c r="O427" s="12"/>
      <c r="P427" s="12">
        <f t="shared" si="44"/>
        <v>0</v>
      </c>
      <c r="Q427" s="12"/>
      <c r="R427" s="12"/>
      <c r="S427" s="12">
        <f t="shared" si="45"/>
        <v>0</v>
      </c>
      <c r="T427" s="12"/>
      <c r="U427" s="12"/>
      <c r="V427" s="12">
        <f t="shared" si="46"/>
        <v>500000</v>
      </c>
      <c r="W427" s="12">
        <v>500000</v>
      </c>
      <c r="X427" s="12"/>
      <c r="Y427" s="12">
        <f t="shared" si="47"/>
        <v>0</v>
      </c>
      <c r="Z427" s="12"/>
      <c r="AA427" s="12"/>
      <c r="AB427" s="13">
        <f t="shared" si="48"/>
        <v>0</v>
      </c>
      <c r="AC427" s="14">
        <v>46091</v>
      </c>
    </row>
    <row r="428" spans="1:29" ht="15.75" x14ac:dyDescent="0.25">
      <c r="A428" s="65">
        <v>46091</v>
      </c>
      <c r="B428" s="10" t="s">
        <v>611</v>
      </c>
      <c r="C428" s="10"/>
      <c r="D428" s="10" t="s">
        <v>195</v>
      </c>
      <c r="E428" s="10" t="s">
        <v>612</v>
      </c>
      <c r="F428" s="10">
        <v>1</v>
      </c>
      <c r="G428" s="10" t="s">
        <v>36</v>
      </c>
      <c r="H428" s="10">
        <v>155000</v>
      </c>
      <c r="I428" s="10">
        <f t="shared" si="42"/>
        <v>155000</v>
      </c>
      <c r="J428" s="29" t="s">
        <v>113</v>
      </c>
      <c r="K428" s="10"/>
      <c r="L428" s="10"/>
      <c r="M428" s="12">
        <f t="shared" si="43"/>
        <v>0</v>
      </c>
      <c r="N428" s="12"/>
      <c r="O428" s="12"/>
      <c r="P428" s="12">
        <f t="shared" si="44"/>
        <v>0</v>
      </c>
      <c r="Q428" s="12"/>
      <c r="R428" s="12"/>
      <c r="S428" s="12">
        <f t="shared" si="45"/>
        <v>0</v>
      </c>
      <c r="T428" s="12"/>
      <c r="U428" s="12"/>
      <c r="V428" s="12">
        <f t="shared" si="46"/>
        <v>155000</v>
      </c>
      <c r="W428" s="12">
        <v>155000</v>
      </c>
      <c r="X428" s="12"/>
      <c r="Y428" s="12">
        <f t="shared" si="47"/>
        <v>0</v>
      </c>
      <c r="Z428" s="12"/>
      <c r="AA428" s="12"/>
      <c r="AB428" s="13">
        <f t="shared" si="48"/>
        <v>0</v>
      </c>
      <c r="AC428" s="14">
        <v>46091</v>
      </c>
    </row>
    <row r="429" spans="1:29" ht="15.75" x14ac:dyDescent="0.25">
      <c r="A429" s="28">
        <v>46091</v>
      </c>
      <c r="B429" s="10" t="s">
        <v>204</v>
      </c>
      <c r="C429" s="10"/>
      <c r="D429" s="10" t="s">
        <v>383</v>
      </c>
      <c r="E429" s="10" t="s">
        <v>104</v>
      </c>
      <c r="F429" s="10">
        <v>600</v>
      </c>
      <c r="G429" s="10" t="s">
        <v>26</v>
      </c>
      <c r="H429" s="10">
        <v>2000</v>
      </c>
      <c r="I429" s="10">
        <f t="shared" si="42"/>
        <v>1200000</v>
      </c>
      <c r="J429" s="29" t="s">
        <v>110</v>
      </c>
      <c r="K429" s="95" t="s">
        <v>617</v>
      </c>
      <c r="L429" s="10"/>
      <c r="M429" s="12">
        <f t="shared" si="43"/>
        <v>0</v>
      </c>
      <c r="N429" s="12"/>
      <c r="O429" s="12"/>
      <c r="P429" s="12">
        <f t="shared" si="44"/>
        <v>0</v>
      </c>
      <c r="Q429" s="12"/>
      <c r="R429" s="12"/>
      <c r="S429" s="12">
        <f t="shared" si="45"/>
        <v>1200000</v>
      </c>
      <c r="T429" s="12">
        <v>1200000</v>
      </c>
      <c r="U429" s="12"/>
      <c r="V429" s="12">
        <f t="shared" si="46"/>
        <v>0</v>
      </c>
      <c r="W429" s="12"/>
      <c r="X429" s="12"/>
      <c r="Y429" s="12">
        <f t="shared" si="47"/>
        <v>0</v>
      </c>
      <c r="Z429" s="12"/>
      <c r="AA429" s="12"/>
      <c r="AB429" s="13">
        <f t="shared" si="48"/>
        <v>0</v>
      </c>
      <c r="AC429" s="14">
        <v>46097</v>
      </c>
    </row>
    <row r="430" spans="1:29" ht="15.75" x14ac:dyDescent="0.25">
      <c r="A430" s="28">
        <v>46091</v>
      </c>
      <c r="B430" s="10" t="s">
        <v>402</v>
      </c>
      <c r="C430" s="10"/>
      <c r="D430" s="10" t="s">
        <v>383</v>
      </c>
      <c r="E430" s="10" t="s">
        <v>404</v>
      </c>
      <c r="F430" s="10">
        <v>10</v>
      </c>
      <c r="G430" s="10" t="s">
        <v>61</v>
      </c>
      <c r="H430" s="10"/>
      <c r="I430" s="10">
        <f>F430*H430</f>
        <v>0</v>
      </c>
      <c r="J430" s="29" t="s">
        <v>217</v>
      </c>
      <c r="K430" s="10" t="s">
        <v>405</v>
      </c>
      <c r="L430" s="10"/>
      <c r="M430" s="12">
        <f t="shared" si="43"/>
        <v>0</v>
      </c>
      <c r="N430" s="12"/>
      <c r="O430" s="12"/>
      <c r="P430" s="12">
        <f t="shared" si="44"/>
        <v>0</v>
      </c>
      <c r="Q430" s="12"/>
      <c r="R430" s="12"/>
      <c r="S430" s="12">
        <f t="shared" si="45"/>
        <v>0</v>
      </c>
      <c r="T430" s="12"/>
      <c r="U430" s="12"/>
      <c r="V430" s="12">
        <f t="shared" si="46"/>
        <v>0</v>
      </c>
      <c r="W430" s="12"/>
      <c r="X430" s="12"/>
      <c r="Y430" s="12">
        <f t="shared" si="47"/>
        <v>0</v>
      </c>
      <c r="Z430" s="12"/>
      <c r="AA430" s="12"/>
      <c r="AB430" s="13">
        <f>C430+I430-M430-P430-V430-Y430-S430</f>
        <v>0</v>
      </c>
      <c r="AC430" s="14"/>
    </row>
    <row r="431" spans="1:29" ht="15.75" x14ac:dyDescent="0.25">
      <c r="A431" s="65">
        <v>46091</v>
      </c>
      <c r="B431" s="10" t="s">
        <v>149</v>
      </c>
      <c r="C431" s="10"/>
      <c r="D431" s="10" t="s">
        <v>383</v>
      </c>
      <c r="E431" s="10" t="s">
        <v>107</v>
      </c>
      <c r="F431" s="10">
        <v>300</v>
      </c>
      <c r="G431" s="10" t="s">
        <v>36</v>
      </c>
      <c r="H431" s="10">
        <v>62500</v>
      </c>
      <c r="I431" s="10">
        <f>F431*H431</f>
        <v>18750000</v>
      </c>
      <c r="J431" s="52" t="s">
        <v>90</v>
      </c>
      <c r="K431" s="10" t="s">
        <v>616</v>
      </c>
      <c r="L431" s="10"/>
      <c r="M431" s="12">
        <f t="shared" si="43"/>
        <v>0</v>
      </c>
      <c r="N431" s="12"/>
      <c r="O431" s="12"/>
      <c r="P431" s="12">
        <f t="shared" si="44"/>
        <v>0</v>
      </c>
      <c r="Q431" s="12"/>
      <c r="R431" s="12"/>
      <c r="S431" s="12">
        <f t="shared" si="45"/>
        <v>0</v>
      </c>
      <c r="T431" s="12"/>
      <c r="U431" s="12"/>
      <c r="V431" s="12">
        <f t="shared" si="46"/>
        <v>0</v>
      </c>
      <c r="W431" s="12"/>
      <c r="X431" s="12"/>
      <c r="Y431" s="12">
        <f t="shared" si="47"/>
        <v>0</v>
      </c>
      <c r="Z431" s="12"/>
      <c r="AA431" s="12"/>
      <c r="AB431" s="13">
        <f>C431+I431-M431-P431-V431-Y431-S431</f>
        <v>18750000</v>
      </c>
      <c r="AC431" s="14"/>
    </row>
    <row r="432" spans="1:29" ht="16.5" thickBot="1" x14ac:dyDescent="0.3">
      <c r="A432" s="53">
        <v>46091</v>
      </c>
      <c r="B432" s="31" t="s">
        <v>272</v>
      </c>
      <c r="C432" s="31"/>
      <c r="D432" s="31"/>
      <c r="E432" s="31" t="s">
        <v>80</v>
      </c>
      <c r="F432" s="31">
        <v>22.4</v>
      </c>
      <c r="G432" s="31" t="s">
        <v>36</v>
      </c>
      <c r="H432" s="31">
        <v>43000</v>
      </c>
      <c r="I432" s="31">
        <f>F432*H432</f>
        <v>963199.99999999988</v>
      </c>
      <c r="J432" s="116" t="s">
        <v>90</v>
      </c>
      <c r="K432" s="31"/>
      <c r="L432" s="31"/>
      <c r="M432" s="34">
        <f t="shared" si="43"/>
        <v>0</v>
      </c>
      <c r="N432" s="34"/>
      <c r="O432" s="34"/>
      <c r="P432" s="34">
        <f t="shared" si="44"/>
        <v>0</v>
      </c>
      <c r="Q432" s="34"/>
      <c r="R432" s="34"/>
      <c r="S432" s="34">
        <f t="shared" si="45"/>
        <v>0</v>
      </c>
      <c r="T432" s="34"/>
      <c r="U432" s="34"/>
      <c r="V432" s="34">
        <f t="shared" si="46"/>
        <v>0</v>
      </c>
      <c r="W432" s="34"/>
      <c r="X432" s="34"/>
      <c r="Y432" s="34">
        <f t="shared" si="47"/>
        <v>0</v>
      </c>
      <c r="Z432" s="34"/>
      <c r="AA432" s="34"/>
      <c r="AB432" s="35">
        <f>C432+I432-M432-P432-V432-Y432-S432</f>
        <v>963199.99999999988</v>
      </c>
      <c r="AC432" s="36"/>
    </row>
    <row r="433" spans="1:29" ht="15.75" x14ac:dyDescent="0.25">
      <c r="A433" s="65">
        <v>46092</v>
      </c>
      <c r="B433" s="66" t="s">
        <v>253</v>
      </c>
      <c r="C433" s="66"/>
      <c r="D433" s="66" t="s">
        <v>195</v>
      </c>
      <c r="E433" s="66" t="s">
        <v>104</v>
      </c>
      <c r="F433" s="66">
        <v>2000</v>
      </c>
      <c r="G433" s="66" t="s">
        <v>26</v>
      </c>
      <c r="H433" s="66">
        <v>2000</v>
      </c>
      <c r="I433" s="10">
        <f>F433*H433</f>
        <v>4000000</v>
      </c>
      <c r="J433" s="84" t="s">
        <v>113</v>
      </c>
      <c r="K433" s="66"/>
      <c r="L433" s="10"/>
      <c r="M433" s="12">
        <f t="shared" si="43"/>
        <v>0</v>
      </c>
      <c r="N433" s="12"/>
      <c r="O433" s="12"/>
      <c r="P433" s="12">
        <f t="shared" si="44"/>
        <v>0</v>
      </c>
      <c r="Q433" s="12"/>
      <c r="R433" s="12"/>
      <c r="S433" s="12">
        <f t="shared" si="45"/>
        <v>0</v>
      </c>
      <c r="T433" s="12"/>
      <c r="U433" s="12"/>
      <c r="V433" s="12">
        <f t="shared" si="46"/>
        <v>4000000</v>
      </c>
      <c r="W433" s="12">
        <v>4000000</v>
      </c>
      <c r="X433" s="12"/>
      <c r="Y433" s="12">
        <f t="shared" si="47"/>
        <v>0</v>
      </c>
      <c r="Z433" s="12"/>
      <c r="AA433" s="12"/>
      <c r="AB433" s="13">
        <f>C433+I433-M433-P433-V433-Y433-S433</f>
        <v>0</v>
      </c>
      <c r="AC433" s="14">
        <v>46091</v>
      </c>
    </row>
    <row r="434" spans="1:29" ht="15.75" x14ac:dyDescent="0.25">
      <c r="A434" s="65">
        <v>46092</v>
      </c>
      <c r="B434" s="66" t="s">
        <v>253</v>
      </c>
      <c r="C434" s="10"/>
      <c r="D434" s="66" t="s">
        <v>195</v>
      </c>
      <c r="E434" s="10" t="s">
        <v>51</v>
      </c>
      <c r="F434" s="10">
        <v>1</v>
      </c>
      <c r="G434" s="10" t="s">
        <v>22</v>
      </c>
      <c r="H434" s="10">
        <v>400000</v>
      </c>
      <c r="I434" s="10">
        <f t="shared" ref="I434:I448" si="49">F434*H434</f>
        <v>400000</v>
      </c>
      <c r="J434" s="84" t="s">
        <v>113</v>
      </c>
      <c r="K434" s="10"/>
      <c r="L434" s="10"/>
      <c r="M434" s="12">
        <f t="shared" si="43"/>
        <v>0</v>
      </c>
      <c r="N434" s="12"/>
      <c r="O434" s="12"/>
      <c r="P434" s="12">
        <f t="shared" si="44"/>
        <v>0</v>
      </c>
      <c r="Q434" s="12"/>
      <c r="R434" s="12"/>
      <c r="S434" s="12">
        <f t="shared" si="45"/>
        <v>0</v>
      </c>
      <c r="T434" s="12"/>
      <c r="U434" s="12"/>
      <c r="V434" s="12">
        <f t="shared" si="46"/>
        <v>400000</v>
      </c>
      <c r="W434" s="12">
        <v>400000</v>
      </c>
      <c r="X434" s="12"/>
      <c r="Y434" s="12">
        <f t="shared" si="47"/>
        <v>0</v>
      </c>
      <c r="Z434" s="12"/>
      <c r="AA434" s="12"/>
      <c r="AB434" s="13">
        <f t="shared" ref="AB434:AB446" si="50">C434+I434-M434-P434-V434-Y434-S434</f>
        <v>0</v>
      </c>
      <c r="AC434" s="14">
        <v>46091</v>
      </c>
    </row>
    <row r="435" spans="1:29" ht="15.75" x14ac:dyDescent="0.25">
      <c r="A435" s="65">
        <v>46092</v>
      </c>
      <c r="B435" s="10" t="s">
        <v>318</v>
      </c>
      <c r="C435" s="10"/>
      <c r="D435" s="10" t="s">
        <v>195</v>
      </c>
      <c r="E435" s="10" t="s">
        <v>66</v>
      </c>
      <c r="F435" s="10">
        <v>20</v>
      </c>
      <c r="G435" s="10" t="s">
        <v>67</v>
      </c>
      <c r="H435" s="10">
        <v>50000</v>
      </c>
      <c r="I435" s="10">
        <f t="shared" si="49"/>
        <v>1000000</v>
      </c>
      <c r="J435" s="29" t="s">
        <v>110</v>
      </c>
      <c r="K435" s="10"/>
      <c r="L435" s="10" t="s">
        <v>619</v>
      </c>
      <c r="M435" s="12">
        <f t="shared" si="43"/>
        <v>0</v>
      </c>
      <c r="N435" s="12"/>
      <c r="O435" s="12"/>
      <c r="P435" s="12">
        <f t="shared" si="44"/>
        <v>1000000</v>
      </c>
      <c r="Q435" s="12">
        <v>1000000</v>
      </c>
      <c r="R435" s="12"/>
      <c r="S435" s="12">
        <f t="shared" si="45"/>
        <v>0</v>
      </c>
      <c r="T435" s="12"/>
      <c r="U435" s="12"/>
      <c r="V435" s="12">
        <f t="shared" si="46"/>
        <v>0</v>
      </c>
      <c r="W435" s="12"/>
      <c r="X435" s="12"/>
      <c r="Y435" s="12">
        <f t="shared" si="47"/>
        <v>0</v>
      </c>
      <c r="Z435" s="12"/>
      <c r="AA435" s="12"/>
      <c r="AB435" s="13">
        <f t="shared" si="50"/>
        <v>0</v>
      </c>
      <c r="AC435" s="14">
        <v>46091</v>
      </c>
    </row>
    <row r="436" spans="1:29" ht="15.75" x14ac:dyDescent="0.25">
      <c r="A436" s="65">
        <v>46092</v>
      </c>
      <c r="B436" s="10" t="s">
        <v>55</v>
      </c>
      <c r="C436" s="10"/>
      <c r="D436" s="10" t="s">
        <v>195</v>
      </c>
      <c r="E436" s="10" t="s">
        <v>104</v>
      </c>
      <c r="F436" s="10">
        <v>2000</v>
      </c>
      <c r="G436" s="10" t="s">
        <v>26</v>
      </c>
      <c r="H436" s="10">
        <v>2000</v>
      </c>
      <c r="I436" s="10">
        <f t="shared" si="49"/>
        <v>4000000</v>
      </c>
      <c r="J436" s="29" t="s">
        <v>110</v>
      </c>
      <c r="K436" s="10"/>
      <c r="L436" s="10" t="s">
        <v>555</v>
      </c>
      <c r="M436" s="12">
        <f t="shared" si="43"/>
        <v>0</v>
      </c>
      <c r="N436" s="12"/>
      <c r="O436" s="12"/>
      <c r="P436" s="12">
        <f t="shared" si="44"/>
        <v>4000000</v>
      </c>
      <c r="Q436" s="12">
        <v>4000000</v>
      </c>
      <c r="R436" s="12"/>
      <c r="S436" s="12">
        <f t="shared" si="45"/>
        <v>0</v>
      </c>
      <c r="T436" s="12"/>
      <c r="U436" s="12"/>
      <c r="V436" s="12">
        <f t="shared" si="46"/>
        <v>0</v>
      </c>
      <c r="W436" s="12"/>
      <c r="X436" s="12"/>
      <c r="Y436" s="12">
        <f t="shared" si="47"/>
        <v>0</v>
      </c>
      <c r="Z436" s="12"/>
      <c r="AA436" s="12"/>
      <c r="AB436" s="13">
        <f t="shared" si="50"/>
        <v>0</v>
      </c>
      <c r="AC436" s="14">
        <v>46092</v>
      </c>
    </row>
    <row r="437" spans="1:29" ht="15.75" x14ac:dyDescent="0.25">
      <c r="A437" s="65">
        <v>46092</v>
      </c>
      <c r="B437" s="10" t="s">
        <v>618</v>
      </c>
      <c r="C437" s="10"/>
      <c r="D437" s="10" t="s">
        <v>195</v>
      </c>
      <c r="E437" s="10" t="s">
        <v>160</v>
      </c>
      <c r="F437" s="10">
        <v>1</v>
      </c>
      <c r="G437" s="10" t="s">
        <v>22</v>
      </c>
      <c r="H437" s="10">
        <v>400000</v>
      </c>
      <c r="I437" s="10">
        <f t="shared" si="49"/>
        <v>400000</v>
      </c>
      <c r="J437" s="84" t="s">
        <v>113</v>
      </c>
      <c r="K437" s="10"/>
      <c r="L437" s="10"/>
      <c r="M437" s="12">
        <f t="shared" si="43"/>
        <v>0</v>
      </c>
      <c r="N437" s="12"/>
      <c r="O437" s="12"/>
      <c r="P437" s="12">
        <f t="shared" si="44"/>
        <v>0</v>
      </c>
      <c r="Q437" s="12"/>
      <c r="R437" s="12"/>
      <c r="S437" s="12">
        <f t="shared" si="45"/>
        <v>0</v>
      </c>
      <c r="T437" s="12"/>
      <c r="U437" s="12"/>
      <c r="V437" s="12">
        <f t="shared" si="46"/>
        <v>400000</v>
      </c>
      <c r="W437" s="12">
        <v>400000</v>
      </c>
      <c r="X437" s="12"/>
      <c r="Y437" s="12">
        <f t="shared" si="47"/>
        <v>0</v>
      </c>
      <c r="Z437" s="12"/>
      <c r="AA437" s="12"/>
      <c r="AB437" s="13">
        <f t="shared" si="50"/>
        <v>0</v>
      </c>
      <c r="AC437" s="14">
        <v>46092</v>
      </c>
    </row>
    <row r="438" spans="1:29" ht="15.75" x14ac:dyDescent="0.25">
      <c r="A438" s="65">
        <v>46092</v>
      </c>
      <c r="B438" s="10" t="s">
        <v>178</v>
      </c>
      <c r="C438" s="10"/>
      <c r="D438" s="10" t="s">
        <v>195</v>
      </c>
      <c r="E438" s="10" t="s">
        <v>129</v>
      </c>
      <c r="F438" s="10">
        <v>2000</v>
      </c>
      <c r="G438" s="10" t="s">
        <v>26</v>
      </c>
      <c r="H438" s="10">
        <v>3900</v>
      </c>
      <c r="I438" s="10">
        <f t="shared" si="49"/>
        <v>7800000</v>
      </c>
      <c r="J438" s="84" t="s">
        <v>217</v>
      </c>
      <c r="K438" s="10"/>
      <c r="L438" s="10"/>
      <c r="M438" s="12">
        <f t="shared" si="43"/>
        <v>780000</v>
      </c>
      <c r="N438" s="12">
        <v>780000</v>
      </c>
      <c r="O438" s="12"/>
      <c r="P438" s="12">
        <f t="shared" si="44"/>
        <v>0</v>
      </c>
      <c r="Q438" s="12"/>
      <c r="R438" s="12"/>
      <c r="S438" s="12">
        <f t="shared" si="45"/>
        <v>0</v>
      </c>
      <c r="T438" s="12"/>
      <c r="U438" s="12"/>
      <c r="V438" s="12">
        <f t="shared" si="46"/>
        <v>0</v>
      </c>
      <c r="W438" s="12"/>
      <c r="X438" s="12"/>
      <c r="Y438" s="12">
        <f t="shared" si="47"/>
        <v>7020000</v>
      </c>
      <c r="Z438" s="12">
        <v>7020000</v>
      </c>
      <c r="AA438" s="12"/>
      <c r="AB438" s="13">
        <f t="shared" si="50"/>
        <v>0</v>
      </c>
      <c r="AC438" s="14">
        <v>46092</v>
      </c>
    </row>
    <row r="439" spans="1:29" ht="15.75" x14ac:dyDescent="0.25">
      <c r="A439" s="65">
        <v>46092</v>
      </c>
      <c r="B439" s="10" t="s">
        <v>346</v>
      </c>
      <c r="C439" s="10"/>
      <c r="D439" s="10" t="s">
        <v>195</v>
      </c>
      <c r="E439" s="10" t="s">
        <v>60</v>
      </c>
      <c r="F439" s="10">
        <v>6</v>
      </c>
      <c r="G439" s="10" t="s">
        <v>61</v>
      </c>
      <c r="H439" s="10">
        <v>150000</v>
      </c>
      <c r="I439" s="10">
        <f t="shared" si="49"/>
        <v>900000</v>
      </c>
      <c r="J439" s="29" t="s">
        <v>113</v>
      </c>
      <c r="K439" s="10"/>
      <c r="L439" s="10"/>
      <c r="M439" s="12">
        <f t="shared" si="43"/>
        <v>900000</v>
      </c>
      <c r="N439" s="12">
        <v>900000</v>
      </c>
      <c r="O439" s="12"/>
      <c r="P439" s="12">
        <f t="shared" si="44"/>
        <v>0</v>
      </c>
      <c r="Q439" s="12"/>
      <c r="R439" s="12"/>
      <c r="S439" s="12">
        <f t="shared" si="45"/>
        <v>0</v>
      </c>
      <c r="T439" s="12"/>
      <c r="U439" s="12"/>
      <c r="V439" s="12">
        <f t="shared" si="46"/>
        <v>0</v>
      </c>
      <c r="W439" s="12"/>
      <c r="X439" s="12"/>
      <c r="Y439" s="12">
        <f t="shared" si="47"/>
        <v>0</v>
      </c>
      <c r="Z439" s="12"/>
      <c r="AA439" s="12"/>
      <c r="AB439" s="13">
        <f t="shared" si="50"/>
        <v>0</v>
      </c>
      <c r="AC439" s="14">
        <v>46092</v>
      </c>
    </row>
    <row r="440" spans="1:29" ht="15.75" x14ac:dyDescent="0.25">
      <c r="A440" s="65">
        <v>46092</v>
      </c>
      <c r="B440" s="10" t="s">
        <v>292</v>
      </c>
      <c r="C440" s="10"/>
      <c r="D440" s="10" t="s">
        <v>195</v>
      </c>
      <c r="E440" s="10" t="s">
        <v>130</v>
      </c>
      <c r="F440" s="10">
        <v>10</v>
      </c>
      <c r="G440" s="10" t="s">
        <v>67</v>
      </c>
      <c r="H440" s="10">
        <v>50000</v>
      </c>
      <c r="I440" s="10">
        <f t="shared" si="49"/>
        <v>500000</v>
      </c>
      <c r="J440" s="29" t="s">
        <v>113</v>
      </c>
      <c r="K440" s="10"/>
      <c r="L440" s="10"/>
      <c r="M440" s="12">
        <f t="shared" si="43"/>
        <v>0</v>
      </c>
      <c r="N440" s="12"/>
      <c r="O440" s="12"/>
      <c r="P440" s="12">
        <f t="shared" si="44"/>
        <v>0</v>
      </c>
      <c r="Q440" s="12"/>
      <c r="R440" s="12"/>
      <c r="S440" s="12">
        <f t="shared" si="45"/>
        <v>0</v>
      </c>
      <c r="T440" s="12"/>
      <c r="U440" s="12"/>
      <c r="V440" s="12">
        <f t="shared" si="46"/>
        <v>500000</v>
      </c>
      <c r="W440" s="12">
        <v>500000</v>
      </c>
      <c r="X440" s="12"/>
      <c r="Y440" s="12">
        <f t="shared" si="47"/>
        <v>0</v>
      </c>
      <c r="Z440" s="12"/>
      <c r="AA440" s="12"/>
      <c r="AB440" s="13">
        <f t="shared" si="50"/>
        <v>0</v>
      </c>
      <c r="AC440" s="14">
        <v>46092</v>
      </c>
    </row>
    <row r="441" spans="1:29" ht="15.75" x14ac:dyDescent="0.25">
      <c r="A441" s="65">
        <v>46092</v>
      </c>
      <c r="B441" s="10" t="s">
        <v>292</v>
      </c>
      <c r="C441" s="10"/>
      <c r="D441" s="10" t="s">
        <v>195</v>
      </c>
      <c r="E441" s="10" t="s">
        <v>116</v>
      </c>
      <c r="F441" s="10">
        <v>2</v>
      </c>
      <c r="G441" s="10" t="s">
        <v>67</v>
      </c>
      <c r="H441" s="10">
        <v>65000</v>
      </c>
      <c r="I441" s="10">
        <f t="shared" si="49"/>
        <v>130000</v>
      </c>
      <c r="J441" s="29" t="s">
        <v>113</v>
      </c>
      <c r="K441" s="10"/>
      <c r="L441" s="10"/>
      <c r="M441" s="12">
        <f t="shared" si="43"/>
        <v>0</v>
      </c>
      <c r="N441" s="12"/>
      <c r="O441" s="12"/>
      <c r="P441" s="12">
        <f t="shared" si="44"/>
        <v>0</v>
      </c>
      <c r="Q441" s="12"/>
      <c r="R441" s="12"/>
      <c r="S441" s="12">
        <f t="shared" si="45"/>
        <v>0</v>
      </c>
      <c r="T441" s="12"/>
      <c r="U441" s="12"/>
      <c r="V441" s="12">
        <f t="shared" si="46"/>
        <v>130000</v>
      </c>
      <c r="W441" s="12">
        <v>130000</v>
      </c>
      <c r="X441" s="12"/>
      <c r="Y441" s="12">
        <f t="shared" si="47"/>
        <v>0</v>
      </c>
      <c r="Z441" s="12"/>
      <c r="AA441" s="12"/>
      <c r="AB441" s="13">
        <f t="shared" si="50"/>
        <v>0</v>
      </c>
      <c r="AC441" s="14">
        <v>46092</v>
      </c>
    </row>
    <row r="442" spans="1:29" ht="15.75" x14ac:dyDescent="0.25">
      <c r="A442" s="65">
        <v>46092</v>
      </c>
      <c r="B442" s="10" t="s">
        <v>292</v>
      </c>
      <c r="C442" s="10"/>
      <c r="D442" s="10" t="s">
        <v>195</v>
      </c>
      <c r="E442" s="10" t="s">
        <v>290</v>
      </c>
      <c r="F442" s="10">
        <v>3</v>
      </c>
      <c r="G442" s="10" t="s">
        <v>39</v>
      </c>
      <c r="H442" s="10">
        <v>25000</v>
      </c>
      <c r="I442" s="10">
        <f t="shared" si="49"/>
        <v>75000</v>
      </c>
      <c r="J442" s="29" t="s">
        <v>113</v>
      </c>
      <c r="K442" s="10"/>
      <c r="L442" s="10"/>
      <c r="M442" s="12">
        <f t="shared" si="43"/>
        <v>0</v>
      </c>
      <c r="N442" s="12"/>
      <c r="O442" s="12"/>
      <c r="P442" s="12">
        <f t="shared" si="44"/>
        <v>0</v>
      </c>
      <c r="Q442" s="12"/>
      <c r="R442" s="12"/>
      <c r="S442" s="12">
        <f t="shared" si="45"/>
        <v>0</v>
      </c>
      <c r="T442" s="12"/>
      <c r="U442" s="12"/>
      <c r="V442" s="12">
        <f t="shared" si="46"/>
        <v>75000</v>
      </c>
      <c r="W442" s="12">
        <v>75000</v>
      </c>
      <c r="X442" s="12"/>
      <c r="Y442" s="12">
        <f t="shared" si="47"/>
        <v>0</v>
      </c>
      <c r="Z442" s="12"/>
      <c r="AA442" s="12"/>
      <c r="AB442" s="13">
        <f t="shared" si="50"/>
        <v>0</v>
      </c>
      <c r="AC442" s="14">
        <v>46092</v>
      </c>
    </row>
    <row r="443" spans="1:29" ht="15.75" x14ac:dyDescent="0.25">
      <c r="A443" s="28">
        <v>46092</v>
      </c>
      <c r="B443" s="10" t="s">
        <v>302</v>
      </c>
      <c r="C443" s="10"/>
      <c r="D443" s="10" t="s">
        <v>195</v>
      </c>
      <c r="E443" s="10" t="s">
        <v>65</v>
      </c>
      <c r="F443" s="10">
        <v>2000</v>
      </c>
      <c r="G443" s="10" t="s">
        <v>26</v>
      </c>
      <c r="H443" s="10">
        <v>4000</v>
      </c>
      <c r="I443" s="10">
        <f t="shared" si="49"/>
        <v>8000000</v>
      </c>
      <c r="J443" s="29" t="s">
        <v>110</v>
      </c>
      <c r="K443" s="10"/>
      <c r="L443" s="10" t="s">
        <v>621</v>
      </c>
      <c r="M443" s="12">
        <f t="shared" si="43"/>
        <v>0</v>
      </c>
      <c r="N443" s="12"/>
      <c r="O443" s="12"/>
      <c r="P443" s="12">
        <f t="shared" si="44"/>
        <v>8000000</v>
      </c>
      <c r="Q443" s="12">
        <v>8000000</v>
      </c>
      <c r="R443" s="12"/>
      <c r="S443" s="12">
        <f t="shared" si="45"/>
        <v>0</v>
      </c>
      <c r="T443" s="12"/>
      <c r="U443" s="12"/>
      <c r="V443" s="12">
        <f t="shared" si="46"/>
        <v>0</v>
      </c>
      <c r="W443" s="12"/>
      <c r="X443" s="12"/>
      <c r="Y443" s="12">
        <f t="shared" si="47"/>
        <v>0</v>
      </c>
      <c r="Z443" s="12"/>
      <c r="AA443" s="12"/>
      <c r="AB443" s="13">
        <f t="shared" si="50"/>
        <v>0</v>
      </c>
      <c r="AC443" s="14">
        <v>46092</v>
      </c>
    </row>
    <row r="444" spans="1:29" ht="15.75" x14ac:dyDescent="0.25">
      <c r="A444" s="65">
        <v>46092</v>
      </c>
      <c r="B444" s="10" t="s">
        <v>231</v>
      </c>
      <c r="C444" s="10"/>
      <c r="D444" s="10" t="s">
        <v>195</v>
      </c>
      <c r="E444" s="10" t="s">
        <v>116</v>
      </c>
      <c r="F444" s="10">
        <v>12</v>
      </c>
      <c r="G444" s="10" t="s">
        <v>67</v>
      </c>
      <c r="H444" s="10">
        <v>65000</v>
      </c>
      <c r="I444" s="10">
        <f t="shared" si="49"/>
        <v>780000</v>
      </c>
      <c r="J444" s="29" t="s">
        <v>113</v>
      </c>
      <c r="K444" s="10"/>
      <c r="L444" s="10"/>
      <c r="M444" s="12">
        <f t="shared" si="43"/>
        <v>780000</v>
      </c>
      <c r="N444" s="12">
        <v>780000</v>
      </c>
      <c r="O444" s="12"/>
      <c r="P444" s="12">
        <f t="shared" si="44"/>
        <v>0</v>
      </c>
      <c r="Q444" s="12"/>
      <c r="R444" s="12"/>
      <c r="S444" s="12">
        <f t="shared" si="45"/>
        <v>0</v>
      </c>
      <c r="T444" s="12"/>
      <c r="U444" s="12"/>
      <c r="V444" s="12">
        <f t="shared" si="46"/>
        <v>0</v>
      </c>
      <c r="W444" s="12"/>
      <c r="X444" s="12"/>
      <c r="Y444" s="12">
        <f t="shared" si="47"/>
        <v>0</v>
      </c>
      <c r="Z444" s="12"/>
      <c r="AA444" s="12"/>
      <c r="AB444" s="13">
        <f t="shared" si="50"/>
        <v>0</v>
      </c>
      <c r="AC444" s="14">
        <v>46092</v>
      </c>
    </row>
    <row r="445" spans="1:29" ht="15.75" x14ac:dyDescent="0.25">
      <c r="A445" s="28">
        <v>46092</v>
      </c>
      <c r="B445" s="10" t="s">
        <v>231</v>
      </c>
      <c r="C445" s="10"/>
      <c r="D445" s="10" t="s">
        <v>195</v>
      </c>
      <c r="E445" s="10" t="s">
        <v>114</v>
      </c>
      <c r="F445" s="10">
        <v>20</v>
      </c>
      <c r="G445" s="10" t="s">
        <v>67</v>
      </c>
      <c r="H445" s="10">
        <v>50000</v>
      </c>
      <c r="I445" s="10">
        <f t="shared" si="49"/>
        <v>1000000</v>
      </c>
      <c r="J445" s="29" t="s">
        <v>113</v>
      </c>
      <c r="K445" s="10"/>
      <c r="L445" s="10"/>
      <c r="M445" s="12">
        <f t="shared" si="43"/>
        <v>1000000</v>
      </c>
      <c r="N445" s="12">
        <v>1000000</v>
      </c>
      <c r="O445" s="12"/>
      <c r="P445" s="12">
        <f t="shared" si="44"/>
        <v>0</v>
      </c>
      <c r="Q445" s="12"/>
      <c r="R445" s="12"/>
      <c r="S445" s="12">
        <f t="shared" si="45"/>
        <v>0</v>
      </c>
      <c r="T445" s="12"/>
      <c r="U445" s="12"/>
      <c r="V445" s="12">
        <f t="shared" si="46"/>
        <v>0</v>
      </c>
      <c r="W445" s="12"/>
      <c r="X445" s="12"/>
      <c r="Y445" s="12">
        <f t="shared" si="47"/>
        <v>0</v>
      </c>
      <c r="Z445" s="12"/>
      <c r="AA445" s="12"/>
      <c r="AB445" s="13">
        <f t="shared" si="50"/>
        <v>0</v>
      </c>
      <c r="AC445" s="14">
        <v>46092</v>
      </c>
    </row>
    <row r="446" spans="1:29" ht="15.75" x14ac:dyDescent="0.25">
      <c r="A446" s="65">
        <v>46092</v>
      </c>
      <c r="B446" s="10" t="s">
        <v>269</v>
      </c>
      <c r="C446" s="10"/>
      <c r="D446" s="10" t="s">
        <v>195</v>
      </c>
      <c r="E446" s="10" t="s">
        <v>65</v>
      </c>
      <c r="F446" s="10">
        <v>700</v>
      </c>
      <c r="G446" s="10" t="s">
        <v>26</v>
      </c>
      <c r="H446" s="10">
        <v>4000</v>
      </c>
      <c r="I446" s="10">
        <f t="shared" si="49"/>
        <v>2800000</v>
      </c>
      <c r="J446" s="29" t="s">
        <v>110</v>
      </c>
      <c r="K446" s="10"/>
      <c r="L446" s="10" t="s">
        <v>622</v>
      </c>
      <c r="M446" s="12">
        <f t="shared" si="43"/>
        <v>0</v>
      </c>
      <c r="N446" s="12"/>
      <c r="O446" s="12"/>
      <c r="P446" s="12">
        <f t="shared" si="44"/>
        <v>2800000</v>
      </c>
      <c r="Q446" s="12">
        <v>2800000</v>
      </c>
      <c r="R446" s="12"/>
      <c r="S446" s="12">
        <f t="shared" si="45"/>
        <v>0</v>
      </c>
      <c r="T446" s="12"/>
      <c r="U446" s="12"/>
      <c r="V446" s="12">
        <f t="shared" si="46"/>
        <v>0</v>
      </c>
      <c r="W446" s="12"/>
      <c r="X446" s="12"/>
      <c r="Y446" s="12">
        <f t="shared" si="47"/>
        <v>0</v>
      </c>
      <c r="Z446" s="12"/>
      <c r="AA446" s="12"/>
      <c r="AB446" s="13">
        <f t="shared" si="50"/>
        <v>0</v>
      </c>
      <c r="AC446" s="14">
        <v>46092</v>
      </c>
    </row>
    <row r="447" spans="1:29" ht="15.75" x14ac:dyDescent="0.25">
      <c r="A447" s="65">
        <v>46092</v>
      </c>
      <c r="B447" s="10" t="s">
        <v>234</v>
      </c>
      <c r="C447" s="10"/>
      <c r="D447" s="10" t="s">
        <v>383</v>
      </c>
      <c r="E447" s="10" t="s">
        <v>209</v>
      </c>
      <c r="F447" s="10">
        <v>4</v>
      </c>
      <c r="G447" s="10" t="s">
        <v>61</v>
      </c>
      <c r="H447" s="10">
        <v>230000</v>
      </c>
      <c r="I447" s="10">
        <f t="shared" si="49"/>
        <v>920000</v>
      </c>
      <c r="J447" s="29" t="s">
        <v>40</v>
      </c>
      <c r="K447" s="10" t="s">
        <v>497</v>
      </c>
      <c r="L447" s="10" t="s">
        <v>568</v>
      </c>
      <c r="M447" s="12">
        <f t="shared" si="43"/>
        <v>0</v>
      </c>
      <c r="N447" s="12"/>
      <c r="O447" s="12"/>
      <c r="P447" s="12">
        <f t="shared" si="44"/>
        <v>1440000</v>
      </c>
      <c r="Q447" s="12"/>
      <c r="R447" s="12">
        <v>1440000</v>
      </c>
      <c r="S447" s="12">
        <f t="shared" si="45"/>
        <v>0</v>
      </c>
      <c r="T447" s="12"/>
      <c r="U447" s="12"/>
      <c r="V447" s="12">
        <f t="shared" si="46"/>
        <v>0</v>
      </c>
      <c r="W447" s="12"/>
      <c r="X447" s="12"/>
      <c r="Y447" s="12">
        <f t="shared" si="47"/>
        <v>0</v>
      </c>
      <c r="Z447" s="12"/>
      <c r="AA447" s="12"/>
      <c r="AB447" s="13">
        <f>C447+I447-M447-P447-V447-Y447-S447</f>
        <v>-520000</v>
      </c>
      <c r="AC447" s="14">
        <v>46097</v>
      </c>
    </row>
    <row r="448" spans="1:29" ht="16.5" thickBot="1" x14ac:dyDescent="0.3">
      <c r="A448" s="53">
        <v>46092</v>
      </c>
      <c r="B448" s="54" t="s">
        <v>623</v>
      </c>
      <c r="C448" s="54"/>
      <c r="D448" s="31" t="s">
        <v>383</v>
      </c>
      <c r="E448" s="54" t="s">
        <v>168</v>
      </c>
      <c r="F448" s="54">
        <v>31.3</v>
      </c>
      <c r="G448" s="54" t="s">
        <v>36</v>
      </c>
      <c r="H448" s="54">
        <v>43000</v>
      </c>
      <c r="I448" s="31">
        <f t="shared" si="49"/>
        <v>1345900</v>
      </c>
      <c r="J448" s="55" t="s">
        <v>113</v>
      </c>
      <c r="K448" s="54"/>
      <c r="L448" s="31"/>
      <c r="M448" s="34">
        <f t="shared" si="43"/>
        <v>0</v>
      </c>
      <c r="N448" s="34"/>
      <c r="O448" s="34"/>
      <c r="P448" s="34">
        <f t="shared" si="44"/>
        <v>0</v>
      </c>
      <c r="Q448" s="34"/>
      <c r="R448" s="34"/>
      <c r="S448" s="34">
        <f t="shared" si="45"/>
        <v>0</v>
      </c>
      <c r="T448" s="34"/>
      <c r="U448" s="34"/>
      <c r="V448" s="34">
        <f t="shared" si="46"/>
        <v>1345900</v>
      </c>
      <c r="W448" s="34">
        <v>1345900</v>
      </c>
      <c r="X448" s="34"/>
      <c r="Y448" s="34">
        <f t="shared" si="47"/>
        <v>0</v>
      </c>
      <c r="Z448" s="34"/>
      <c r="AA448" s="34"/>
      <c r="AB448" s="35">
        <f>C448+I448-M448-P448-V448-Y448-S448</f>
        <v>0</v>
      </c>
      <c r="AC448" s="36">
        <v>46092</v>
      </c>
    </row>
    <row r="449" spans="1:29" ht="15.75" x14ac:dyDescent="0.25">
      <c r="A449" s="65">
        <v>46093</v>
      </c>
      <c r="B449" s="66" t="s">
        <v>243</v>
      </c>
      <c r="C449" s="66"/>
      <c r="D449" s="66" t="s">
        <v>383</v>
      </c>
      <c r="E449" s="128" t="s">
        <v>265</v>
      </c>
      <c r="F449" s="128">
        <v>70</v>
      </c>
      <c r="G449" s="128" t="s">
        <v>36</v>
      </c>
      <c r="H449" s="128">
        <v>43000</v>
      </c>
      <c r="I449" s="77">
        <f>F449*H449</f>
        <v>3010000</v>
      </c>
      <c r="J449" s="52" t="s">
        <v>30</v>
      </c>
      <c r="K449" s="102" t="s">
        <v>615</v>
      </c>
      <c r="L449" s="10"/>
      <c r="M449" s="12">
        <f t="shared" si="43"/>
        <v>0</v>
      </c>
      <c r="N449" s="12"/>
      <c r="O449" s="12"/>
      <c r="P449" s="12">
        <f t="shared" si="44"/>
        <v>0</v>
      </c>
      <c r="Q449" s="12"/>
      <c r="R449" s="12"/>
      <c r="S449" s="12">
        <f t="shared" si="45"/>
        <v>0</v>
      </c>
      <c r="T449" s="12"/>
      <c r="U449" s="12"/>
      <c r="V449" s="12">
        <f t="shared" si="46"/>
        <v>0</v>
      </c>
      <c r="W449" s="12"/>
      <c r="X449" s="12"/>
      <c r="Y449" s="12">
        <f t="shared" si="47"/>
        <v>0</v>
      </c>
      <c r="Z449" s="12"/>
      <c r="AA449" s="12"/>
      <c r="AB449" s="13">
        <f>C449+I449-M449-P449-V449-Y449-S449</f>
        <v>3010000</v>
      </c>
      <c r="AC449" s="14"/>
    </row>
    <row r="450" spans="1:29" ht="15.75" x14ac:dyDescent="0.25">
      <c r="A450" s="65">
        <v>46093</v>
      </c>
      <c r="B450" s="66" t="s">
        <v>243</v>
      </c>
      <c r="C450" s="10"/>
      <c r="D450" s="66" t="s">
        <v>383</v>
      </c>
      <c r="E450" s="77" t="s">
        <v>436</v>
      </c>
      <c r="F450" s="77">
        <v>33.200000000000003</v>
      </c>
      <c r="G450" s="77" t="s">
        <v>36</v>
      </c>
      <c r="H450" s="77">
        <v>43000</v>
      </c>
      <c r="I450" s="77">
        <f t="shared" ref="I450:I461" si="51">F450*H450</f>
        <v>1427600.0000000002</v>
      </c>
      <c r="J450" s="52" t="s">
        <v>30</v>
      </c>
      <c r="K450" s="102" t="s">
        <v>615</v>
      </c>
      <c r="L450" s="10"/>
      <c r="M450" s="12">
        <f t="shared" si="43"/>
        <v>0</v>
      </c>
      <c r="N450" s="12"/>
      <c r="O450" s="12"/>
      <c r="P450" s="12">
        <f t="shared" si="44"/>
        <v>0</v>
      </c>
      <c r="Q450" s="12"/>
      <c r="R450" s="12"/>
      <c r="S450" s="12">
        <f t="shared" si="45"/>
        <v>0</v>
      </c>
      <c r="T450" s="12"/>
      <c r="U450" s="12"/>
      <c r="V450" s="12">
        <f t="shared" si="46"/>
        <v>0</v>
      </c>
      <c r="W450" s="12"/>
      <c r="X450" s="12"/>
      <c r="Y450" s="12">
        <f t="shared" si="47"/>
        <v>0</v>
      </c>
      <c r="Z450" s="12"/>
      <c r="AA450" s="12"/>
      <c r="AB450" s="13">
        <f t="shared" ref="AB450:AB461" si="52">C450+I450-M450-P450-V450-Y450-S450</f>
        <v>1427600.0000000002</v>
      </c>
      <c r="AC450" s="14"/>
    </row>
    <row r="451" spans="1:29" ht="15.75" x14ac:dyDescent="0.25">
      <c r="A451" s="65">
        <v>46093</v>
      </c>
      <c r="B451" s="10" t="s">
        <v>437</v>
      </c>
      <c r="C451" s="10"/>
      <c r="D451" s="66" t="s">
        <v>383</v>
      </c>
      <c r="E451" s="10" t="s">
        <v>38</v>
      </c>
      <c r="F451" s="10">
        <v>8</v>
      </c>
      <c r="G451" s="10" t="s">
        <v>39</v>
      </c>
      <c r="H451" s="10">
        <v>45000</v>
      </c>
      <c r="I451" s="10">
        <f t="shared" si="51"/>
        <v>360000</v>
      </c>
      <c r="J451" s="52" t="s">
        <v>90</v>
      </c>
      <c r="K451" s="102" t="s">
        <v>615</v>
      </c>
      <c r="L451" s="10"/>
      <c r="M451" s="12">
        <f t="shared" si="43"/>
        <v>0</v>
      </c>
      <c r="N451" s="12"/>
      <c r="O451" s="12"/>
      <c r="P451" s="12">
        <f t="shared" si="44"/>
        <v>0</v>
      </c>
      <c r="Q451" s="12"/>
      <c r="R451" s="12"/>
      <c r="S451" s="12">
        <f t="shared" si="45"/>
        <v>0</v>
      </c>
      <c r="T451" s="12"/>
      <c r="U451" s="12"/>
      <c r="V451" s="12">
        <f t="shared" si="46"/>
        <v>0</v>
      </c>
      <c r="W451" s="12"/>
      <c r="X451" s="12"/>
      <c r="Y451" s="12">
        <f t="shared" si="47"/>
        <v>0</v>
      </c>
      <c r="Z451" s="12"/>
      <c r="AA451" s="12"/>
      <c r="AB451" s="13">
        <f t="shared" si="52"/>
        <v>360000</v>
      </c>
      <c r="AC451" s="14"/>
    </row>
    <row r="452" spans="1:29" ht="15.75" x14ac:dyDescent="0.25">
      <c r="A452" s="65">
        <v>46093</v>
      </c>
      <c r="B452" s="10" t="s">
        <v>624</v>
      </c>
      <c r="C452" s="10"/>
      <c r="D452" s="10" t="s">
        <v>195</v>
      </c>
      <c r="E452" s="10" t="s">
        <v>116</v>
      </c>
      <c r="F452" s="10">
        <v>2</v>
      </c>
      <c r="G452" s="10" t="s">
        <v>67</v>
      </c>
      <c r="H452" s="10">
        <v>65000</v>
      </c>
      <c r="I452" s="10">
        <f t="shared" si="51"/>
        <v>130000</v>
      </c>
      <c r="J452" s="29" t="s">
        <v>113</v>
      </c>
      <c r="K452" s="10"/>
      <c r="L452" s="10"/>
      <c r="M452" s="12">
        <f t="shared" si="43"/>
        <v>130000</v>
      </c>
      <c r="N452" s="12">
        <v>130000</v>
      </c>
      <c r="O452" s="12"/>
      <c r="P452" s="12">
        <f t="shared" si="44"/>
        <v>0</v>
      </c>
      <c r="Q452" s="12"/>
      <c r="R452" s="12"/>
      <c r="S452" s="12">
        <f t="shared" si="45"/>
        <v>0</v>
      </c>
      <c r="T452" s="12"/>
      <c r="U452" s="12"/>
      <c r="V452" s="12">
        <f t="shared" si="46"/>
        <v>0</v>
      </c>
      <c r="W452" s="12"/>
      <c r="X452" s="12"/>
      <c r="Y452" s="12">
        <f t="shared" si="47"/>
        <v>0</v>
      </c>
      <c r="Z452" s="12"/>
      <c r="AA452" s="12"/>
      <c r="AB452" s="13">
        <f t="shared" si="52"/>
        <v>0</v>
      </c>
      <c r="AC452" s="14">
        <v>46093</v>
      </c>
    </row>
    <row r="453" spans="1:29" ht="15.75" x14ac:dyDescent="0.25">
      <c r="A453" s="65">
        <v>46093</v>
      </c>
      <c r="B453" s="10" t="s">
        <v>322</v>
      </c>
      <c r="C453" s="10"/>
      <c r="D453" s="10" t="s">
        <v>195</v>
      </c>
      <c r="E453" s="10" t="s">
        <v>214</v>
      </c>
      <c r="F453" s="10">
        <v>200</v>
      </c>
      <c r="G453" s="10" t="s">
        <v>26</v>
      </c>
      <c r="H453" s="10">
        <v>1700</v>
      </c>
      <c r="I453" s="10">
        <f t="shared" si="51"/>
        <v>340000</v>
      </c>
      <c r="J453" s="29" t="s">
        <v>113</v>
      </c>
      <c r="K453" s="10"/>
      <c r="L453" s="10"/>
      <c r="M453" s="12">
        <f t="shared" ref="M453:M516" si="53">N453+O453</f>
        <v>0</v>
      </c>
      <c r="N453" s="12"/>
      <c r="O453" s="12"/>
      <c r="P453" s="12">
        <f t="shared" ref="P453:P516" si="54">Q453+R453</f>
        <v>0</v>
      </c>
      <c r="Q453" s="12"/>
      <c r="R453" s="12"/>
      <c r="S453" s="12">
        <f t="shared" ref="S453:S516" si="55">T453+U453</f>
        <v>0</v>
      </c>
      <c r="T453" s="12"/>
      <c r="U453" s="12"/>
      <c r="V453" s="12">
        <f t="shared" ref="V453:V516" si="56">W453+X453</f>
        <v>340000</v>
      </c>
      <c r="W453" s="12">
        <v>340000</v>
      </c>
      <c r="X453" s="12"/>
      <c r="Y453" s="12">
        <f t="shared" ref="Y453:Y516" si="57">Z453+AA453</f>
        <v>0</v>
      </c>
      <c r="Z453" s="12"/>
      <c r="AA453" s="12"/>
      <c r="AB453" s="13">
        <f t="shared" si="52"/>
        <v>0</v>
      </c>
      <c r="AC453" s="14">
        <v>46093</v>
      </c>
    </row>
    <row r="454" spans="1:29" ht="15.75" x14ac:dyDescent="0.25">
      <c r="A454" s="65">
        <v>46093</v>
      </c>
      <c r="B454" s="10" t="s">
        <v>109</v>
      </c>
      <c r="C454" s="10"/>
      <c r="D454" s="10" t="s">
        <v>195</v>
      </c>
      <c r="E454" s="10" t="s">
        <v>141</v>
      </c>
      <c r="F454" s="10">
        <v>2000</v>
      </c>
      <c r="G454" s="10" t="s">
        <v>26</v>
      </c>
      <c r="H454" s="10">
        <v>2000</v>
      </c>
      <c r="I454" s="10">
        <f t="shared" si="51"/>
        <v>4000000</v>
      </c>
      <c r="J454" s="29" t="s">
        <v>113</v>
      </c>
      <c r="K454" s="10"/>
      <c r="L454" s="10"/>
      <c r="M454" s="12">
        <f t="shared" si="53"/>
        <v>4000000</v>
      </c>
      <c r="N454" s="12">
        <v>4000000</v>
      </c>
      <c r="O454" s="12"/>
      <c r="P454" s="12">
        <f t="shared" si="54"/>
        <v>0</v>
      </c>
      <c r="Q454" s="12"/>
      <c r="R454" s="12"/>
      <c r="S454" s="12">
        <f t="shared" si="55"/>
        <v>0</v>
      </c>
      <c r="T454" s="12"/>
      <c r="U454" s="12"/>
      <c r="V454" s="12">
        <f t="shared" si="56"/>
        <v>0</v>
      </c>
      <c r="W454" s="12"/>
      <c r="X454" s="12"/>
      <c r="Y454" s="12">
        <f t="shared" si="57"/>
        <v>0</v>
      </c>
      <c r="Z454" s="12"/>
      <c r="AA454" s="12"/>
      <c r="AB454" s="13">
        <f t="shared" si="52"/>
        <v>0</v>
      </c>
      <c r="AC454" s="14">
        <v>46093</v>
      </c>
    </row>
    <row r="455" spans="1:29" ht="15.75" x14ac:dyDescent="0.25">
      <c r="A455" s="65">
        <v>46093</v>
      </c>
      <c r="B455" s="10" t="s">
        <v>109</v>
      </c>
      <c r="C455" s="10"/>
      <c r="D455" s="10" t="s">
        <v>195</v>
      </c>
      <c r="E455" s="10" t="s">
        <v>116</v>
      </c>
      <c r="F455" s="10">
        <v>4</v>
      </c>
      <c r="G455" s="10" t="s">
        <v>67</v>
      </c>
      <c r="H455" s="10">
        <v>65000</v>
      </c>
      <c r="I455" s="10">
        <f t="shared" si="51"/>
        <v>260000</v>
      </c>
      <c r="J455" s="29" t="s">
        <v>113</v>
      </c>
      <c r="K455" s="10"/>
      <c r="L455" s="10"/>
      <c r="M455" s="12">
        <f t="shared" si="53"/>
        <v>260000</v>
      </c>
      <c r="N455" s="12">
        <v>260000</v>
      </c>
      <c r="O455" s="12"/>
      <c r="P455" s="12">
        <f t="shared" si="54"/>
        <v>0</v>
      </c>
      <c r="Q455" s="12"/>
      <c r="R455" s="12"/>
      <c r="S455" s="12">
        <f t="shared" si="55"/>
        <v>0</v>
      </c>
      <c r="T455" s="12"/>
      <c r="U455" s="12"/>
      <c r="V455" s="12">
        <f t="shared" si="56"/>
        <v>0</v>
      </c>
      <c r="W455" s="12"/>
      <c r="X455" s="12"/>
      <c r="Y455" s="12">
        <f t="shared" si="57"/>
        <v>0</v>
      </c>
      <c r="Z455" s="12"/>
      <c r="AA455" s="12"/>
      <c r="AB455" s="13">
        <f t="shared" si="52"/>
        <v>0</v>
      </c>
      <c r="AC455" s="14">
        <v>46093</v>
      </c>
    </row>
    <row r="456" spans="1:29" ht="15.75" x14ac:dyDescent="0.25">
      <c r="A456" s="65">
        <v>46093</v>
      </c>
      <c r="B456" s="10" t="s">
        <v>109</v>
      </c>
      <c r="C456" s="10"/>
      <c r="D456" s="10" t="s">
        <v>195</v>
      </c>
      <c r="E456" s="10" t="s">
        <v>114</v>
      </c>
      <c r="F456" s="10">
        <v>10</v>
      </c>
      <c r="G456" s="10" t="s">
        <v>67</v>
      </c>
      <c r="H456" s="10">
        <v>50000</v>
      </c>
      <c r="I456" s="10">
        <f t="shared" si="51"/>
        <v>500000</v>
      </c>
      <c r="J456" s="29" t="s">
        <v>113</v>
      </c>
      <c r="K456" s="10"/>
      <c r="L456" s="10"/>
      <c r="M456" s="12">
        <f t="shared" si="53"/>
        <v>500000</v>
      </c>
      <c r="N456" s="12">
        <v>500000</v>
      </c>
      <c r="O456" s="12"/>
      <c r="P456" s="12">
        <f t="shared" si="54"/>
        <v>0</v>
      </c>
      <c r="Q456" s="12"/>
      <c r="R456" s="12"/>
      <c r="S456" s="12">
        <f t="shared" si="55"/>
        <v>0</v>
      </c>
      <c r="T456" s="12"/>
      <c r="U456" s="12"/>
      <c r="V456" s="12">
        <f t="shared" si="56"/>
        <v>0</v>
      </c>
      <c r="W456" s="12"/>
      <c r="X456" s="12"/>
      <c r="Y456" s="12">
        <f t="shared" si="57"/>
        <v>0</v>
      </c>
      <c r="Z456" s="12"/>
      <c r="AA456" s="12"/>
      <c r="AB456" s="13">
        <f t="shared" si="52"/>
        <v>0</v>
      </c>
      <c r="AC456" s="14">
        <v>46093</v>
      </c>
    </row>
    <row r="457" spans="1:29" ht="15.75" x14ac:dyDescent="0.25">
      <c r="A457" s="28">
        <v>46093</v>
      </c>
      <c r="B457" s="10" t="s">
        <v>109</v>
      </c>
      <c r="C457" s="10"/>
      <c r="D457" s="10" t="s">
        <v>195</v>
      </c>
      <c r="E457" s="10" t="s">
        <v>130</v>
      </c>
      <c r="F457" s="10">
        <v>10</v>
      </c>
      <c r="G457" s="10" t="s">
        <v>67</v>
      </c>
      <c r="H457" s="10">
        <v>50000</v>
      </c>
      <c r="I457" s="10">
        <f t="shared" si="51"/>
        <v>500000</v>
      </c>
      <c r="J457" s="29" t="s">
        <v>113</v>
      </c>
      <c r="K457" s="10"/>
      <c r="L457" s="10"/>
      <c r="M457" s="12">
        <f t="shared" si="53"/>
        <v>500000</v>
      </c>
      <c r="N457" s="12">
        <v>500000</v>
      </c>
      <c r="O457" s="12"/>
      <c r="P457" s="12">
        <f t="shared" si="54"/>
        <v>0</v>
      </c>
      <c r="Q457" s="12"/>
      <c r="R457" s="12"/>
      <c r="S457" s="12">
        <f t="shared" si="55"/>
        <v>0</v>
      </c>
      <c r="T457" s="12"/>
      <c r="U457" s="12"/>
      <c r="V457" s="12">
        <f t="shared" si="56"/>
        <v>0</v>
      </c>
      <c r="W457" s="12"/>
      <c r="X457" s="12"/>
      <c r="Y457" s="12">
        <f t="shared" si="57"/>
        <v>0</v>
      </c>
      <c r="Z457" s="12"/>
      <c r="AA457" s="12"/>
      <c r="AB457" s="13">
        <f t="shared" si="52"/>
        <v>0</v>
      </c>
      <c r="AC457" s="14">
        <v>46093</v>
      </c>
    </row>
    <row r="458" spans="1:29" ht="15.75" x14ac:dyDescent="0.25">
      <c r="A458" s="28">
        <v>46093</v>
      </c>
      <c r="B458" s="10" t="s">
        <v>272</v>
      </c>
      <c r="C458" s="10"/>
      <c r="D458" s="10"/>
      <c r="E458" s="10" t="s">
        <v>315</v>
      </c>
      <c r="F458" s="10">
        <v>53.7</v>
      </c>
      <c r="G458" s="10" t="s">
        <v>36</v>
      </c>
      <c r="H458" s="10">
        <v>43000</v>
      </c>
      <c r="I458" s="10">
        <f t="shared" si="51"/>
        <v>2309100</v>
      </c>
      <c r="J458" s="115" t="s">
        <v>90</v>
      </c>
      <c r="K458" s="10"/>
      <c r="L458" s="10"/>
      <c r="M458" s="12">
        <f t="shared" si="53"/>
        <v>0</v>
      </c>
      <c r="N458" s="12"/>
      <c r="O458" s="12"/>
      <c r="P458" s="12">
        <f t="shared" si="54"/>
        <v>0</v>
      </c>
      <c r="Q458" s="12"/>
      <c r="R458" s="12"/>
      <c r="S458" s="12">
        <f t="shared" si="55"/>
        <v>0</v>
      </c>
      <c r="T458" s="12"/>
      <c r="U458" s="12"/>
      <c r="V458" s="12">
        <f t="shared" si="56"/>
        <v>0</v>
      </c>
      <c r="W458" s="12"/>
      <c r="X458" s="12"/>
      <c r="Y458" s="12">
        <f t="shared" si="57"/>
        <v>0</v>
      </c>
      <c r="Z458" s="12"/>
      <c r="AA458" s="12"/>
      <c r="AB458" s="13">
        <f t="shared" si="52"/>
        <v>2309100</v>
      </c>
      <c r="AC458" s="14"/>
    </row>
    <row r="459" spans="1:29" ht="15.75" x14ac:dyDescent="0.25">
      <c r="A459" s="65">
        <v>46093</v>
      </c>
      <c r="B459" s="10" t="s">
        <v>272</v>
      </c>
      <c r="C459" s="10"/>
      <c r="D459" s="10"/>
      <c r="E459" s="10" t="s">
        <v>86</v>
      </c>
      <c r="F459" s="10">
        <v>59.1</v>
      </c>
      <c r="G459" s="10" t="s">
        <v>36</v>
      </c>
      <c r="H459" s="10">
        <v>43000</v>
      </c>
      <c r="I459" s="10">
        <f t="shared" si="51"/>
        <v>2541300</v>
      </c>
      <c r="J459" s="115" t="s">
        <v>90</v>
      </c>
      <c r="K459" s="10"/>
      <c r="L459" s="10"/>
      <c r="M459" s="12">
        <f t="shared" si="53"/>
        <v>0</v>
      </c>
      <c r="N459" s="12"/>
      <c r="O459" s="12"/>
      <c r="P459" s="12">
        <f t="shared" si="54"/>
        <v>0</v>
      </c>
      <c r="Q459" s="12"/>
      <c r="R459" s="12"/>
      <c r="S459" s="12">
        <f t="shared" si="55"/>
        <v>0</v>
      </c>
      <c r="T459" s="12"/>
      <c r="U459" s="12"/>
      <c r="V459" s="12">
        <f t="shared" si="56"/>
        <v>0</v>
      </c>
      <c r="W459" s="12"/>
      <c r="X459" s="12"/>
      <c r="Y459" s="12">
        <f t="shared" si="57"/>
        <v>0</v>
      </c>
      <c r="Z459" s="12"/>
      <c r="AA459" s="12"/>
      <c r="AB459" s="13">
        <f t="shared" si="52"/>
        <v>2541300</v>
      </c>
      <c r="AC459" s="14"/>
    </row>
    <row r="460" spans="1:29" ht="15.75" x14ac:dyDescent="0.25">
      <c r="A460" s="65">
        <v>46093</v>
      </c>
      <c r="B460" s="10" t="s">
        <v>272</v>
      </c>
      <c r="C460" s="10"/>
      <c r="D460" s="10"/>
      <c r="E460" s="10" t="s">
        <v>136</v>
      </c>
      <c r="F460" s="10">
        <v>97.3</v>
      </c>
      <c r="G460" s="10" t="s">
        <v>36</v>
      </c>
      <c r="H460" s="10">
        <v>43000</v>
      </c>
      <c r="I460" s="10">
        <f t="shared" si="51"/>
        <v>4183900</v>
      </c>
      <c r="J460" s="115" t="s">
        <v>90</v>
      </c>
      <c r="K460" s="10"/>
      <c r="L460" s="10"/>
      <c r="M460" s="12">
        <f t="shared" si="53"/>
        <v>0</v>
      </c>
      <c r="N460" s="12"/>
      <c r="O460" s="12"/>
      <c r="P460" s="12">
        <f t="shared" si="54"/>
        <v>0</v>
      </c>
      <c r="Q460" s="12"/>
      <c r="R460" s="12"/>
      <c r="S460" s="12">
        <f t="shared" si="55"/>
        <v>0</v>
      </c>
      <c r="T460" s="12"/>
      <c r="U460" s="12"/>
      <c r="V460" s="12">
        <f t="shared" si="56"/>
        <v>0</v>
      </c>
      <c r="W460" s="12"/>
      <c r="X460" s="12"/>
      <c r="Y460" s="12">
        <f t="shared" si="57"/>
        <v>0</v>
      </c>
      <c r="Z460" s="12"/>
      <c r="AA460" s="12"/>
      <c r="AB460" s="13">
        <f t="shared" si="52"/>
        <v>4183900</v>
      </c>
      <c r="AC460" s="14"/>
    </row>
    <row r="461" spans="1:29" ht="16.5" thickBot="1" x14ac:dyDescent="0.3">
      <c r="A461" s="53">
        <v>46093</v>
      </c>
      <c r="B461" s="54" t="s">
        <v>272</v>
      </c>
      <c r="C461" s="54"/>
      <c r="D461" s="54"/>
      <c r="E461" s="54" t="s">
        <v>377</v>
      </c>
      <c r="F461" s="54">
        <v>32.200000000000003</v>
      </c>
      <c r="G461" s="54" t="s">
        <v>36</v>
      </c>
      <c r="H461" s="54">
        <v>43000</v>
      </c>
      <c r="I461" s="31">
        <f t="shared" si="51"/>
        <v>1384600.0000000002</v>
      </c>
      <c r="J461" s="116" t="s">
        <v>90</v>
      </c>
      <c r="K461" s="54"/>
      <c r="L461" s="31"/>
      <c r="M461" s="34">
        <f t="shared" si="53"/>
        <v>0</v>
      </c>
      <c r="N461" s="34"/>
      <c r="O461" s="34"/>
      <c r="P461" s="34">
        <f t="shared" si="54"/>
        <v>0</v>
      </c>
      <c r="Q461" s="34"/>
      <c r="R461" s="34"/>
      <c r="S461" s="34">
        <f t="shared" si="55"/>
        <v>0</v>
      </c>
      <c r="T461" s="34"/>
      <c r="U461" s="34"/>
      <c r="V461" s="34">
        <f t="shared" si="56"/>
        <v>0</v>
      </c>
      <c r="W461" s="34"/>
      <c r="X461" s="34"/>
      <c r="Y461" s="34">
        <f t="shared" si="57"/>
        <v>0</v>
      </c>
      <c r="Z461" s="34"/>
      <c r="AA461" s="34"/>
      <c r="AB461" s="35">
        <f t="shared" si="52"/>
        <v>1384600.0000000002</v>
      </c>
      <c r="AC461" s="36"/>
    </row>
    <row r="462" spans="1:29" ht="15.75" x14ac:dyDescent="0.25">
      <c r="A462" s="65">
        <v>46094</v>
      </c>
      <c r="B462" s="66" t="s">
        <v>626</v>
      </c>
      <c r="C462" s="66"/>
      <c r="D462" s="66" t="s">
        <v>195</v>
      </c>
      <c r="E462" s="66" t="s">
        <v>131</v>
      </c>
      <c r="F462" s="66">
        <v>25</v>
      </c>
      <c r="G462" s="66" t="s">
        <v>36</v>
      </c>
      <c r="H462" s="66">
        <v>125000</v>
      </c>
      <c r="I462" s="10">
        <f>F462*H462</f>
        <v>3125000</v>
      </c>
      <c r="J462" s="84" t="s">
        <v>110</v>
      </c>
      <c r="K462" s="66"/>
      <c r="L462" s="10" t="s">
        <v>630</v>
      </c>
      <c r="M462" s="12">
        <f t="shared" si="53"/>
        <v>0</v>
      </c>
      <c r="N462" s="12"/>
      <c r="O462" s="12"/>
      <c r="P462" s="12">
        <f t="shared" si="54"/>
        <v>3125000</v>
      </c>
      <c r="Q462" s="12">
        <v>3125000</v>
      </c>
      <c r="R462" s="12"/>
      <c r="S462" s="12">
        <f t="shared" si="55"/>
        <v>0</v>
      </c>
      <c r="T462" s="12"/>
      <c r="U462" s="12"/>
      <c r="V462" s="12">
        <f t="shared" si="56"/>
        <v>0</v>
      </c>
      <c r="W462" s="12"/>
      <c r="X462" s="12"/>
      <c r="Y462" s="12">
        <f t="shared" si="57"/>
        <v>0</v>
      </c>
      <c r="Z462" s="12"/>
      <c r="AA462" s="12"/>
      <c r="AB462" s="13">
        <f>C462+I462-M462-P462-V462-Y462-S462</f>
        <v>0</v>
      </c>
      <c r="AC462" s="14">
        <v>46094</v>
      </c>
    </row>
    <row r="463" spans="1:29" ht="15.75" x14ac:dyDescent="0.25">
      <c r="A463" s="65">
        <v>46094</v>
      </c>
      <c r="B463" s="10" t="s">
        <v>627</v>
      </c>
      <c r="C463" s="10"/>
      <c r="D463" s="66" t="s">
        <v>195</v>
      </c>
      <c r="E463" s="10" t="s">
        <v>118</v>
      </c>
      <c r="F463" s="10">
        <v>1</v>
      </c>
      <c r="G463" s="10" t="s">
        <v>22</v>
      </c>
      <c r="H463" s="10">
        <v>400000</v>
      </c>
      <c r="I463" s="10">
        <f t="shared" ref="I463:I475" si="58">F463*H463</f>
        <v>400000</v>
      </c>
      <c r="J463" s="84" t="s">
        <v>113</v>
      </c>
      <c r="K463" s="10"/>
      <c r="L463" s="10"/>
      <c r="M463" s="12">
        <f t="shared" si="53"/>
        <v>400000</v>
      </c>
      <c r="N463" s="12">
        <v>400000</v>
      </c>
      <c r="O463" s="12"/>
      <c r="P463" s="12">
        <f t="shared" si="54"/>
        <v>0</v>
      </c>
      <c r="Q463" s="12"/>
      <c r="R463" s="12"/>
      <c r="S463" s="12">
        <f t="shared" si="55"/>
        <v>0</v>
      </c>
      <c r="T463" s="12"/>
      <c r="U463" s="12"/>
      <c r="V463" s="12">
        <f t="shared" si="56"/>
        <v>0</v>
      </c>
      <c r="W463" s="12"/>
      <c r="X463" s="12"/>
      <c r="Y463" s="12">
        <f t="shared" si="57"/>
        <v>0</v>
      </c>
      <c r="Z463" s="12"/>
      <c r="AA463" s="12"/>
      <c r="AB463" s="13">
        <f t="shared" ref="AB463:AB475" si="59">C463+I463-M463-P463-V463-Y463-S463</f>
        <v>0</v>
      </c>
      <c r="AC463" s="14">
        <v>46094</v>
      </c>
    </row>
    <row r="464" spans="1:29" ht="15.75" x14ac:dyDescent="0.25">
      <c r="A464" s="65">
        <v>46094</v>
      </c>
      <c r="B464" s="10" t="s">
        <v>425</v>
      </c>
      <c r="C464" s="10"/>
      <c r="D464" s="66" t="s">
        <v>195</v>
      </c>
      <c r="E464" s="10" t="s">
        <v>25</v>
      </c>
      <c r="F464" s="10">
        <v>200</v>
      </c>
      <c r="G464" s="10" t="s">
        <v>26</v>
      </c>
      <c r="H464" s="10">
        <v>2700</v>
      </c>
      <c r="I464" s="10">
        <f t="shared" si="58"/>
        <v>540000</v>
      </c>
      <c r="J464" s="84" t="s">
        <v>110</v>
      </c>
      <c r="K464" s="10"/>
      <c r="L464" s="10"/>
      <c r="M464" s="12">
        <f t="shared" si="53"/>
        <v>0</v>
      </c>
      <c r="N464" s="12"/>
      <c r="O464" s="12"/>
      <c r="P464" s="12">
        <f t="shared" si="54"/>
        <v>0</v>
      </c>
      <c r="Q464" s="12"/>
      <c r="R464" s="12"/>
      <c r="S464" s="12">
        <f t="shared" si="55"/>
        <v>540000</v>
      </c>
      <c r="T464" s="12">
        <v>540000</v>
      </c>
      <c r="U464" s="12"/>
      <c r="V464" s="12">
        <f t="shared" si="56"/>
        <v>0</v>
      </c>
      <c r="W464" s="12"/>
      <c r="X464" s="12"/>
      <c r="Y464" s="12">
        <f t="shared" si="57"/>
        <v>0</v>
      </c>
      <c r="Z464" s="12"/>
      <c r="AA464" s="12"/>
      <c r="AB464" s="13">
        <f t="shared" si="59"/>
        <v>0</v>
      </c>
      <c r="AC464" s="14">
        <v>46094</v>
      </c>
    </row>
    <row r="465" spans="1:29" ht="15.75" x14ac:dyDescent="0.25">
      <c r="A465" s="65">
        <v>46094</v>
      </c>
      <c r="B465" s="10" t="s">
        <v>275</v>
      </c>
      <c r="C465" s="10"/>
      <c r="D465" s="66" t="s">
        <v>195</v>
      </c>
      <c r="E465" s="10" t="s">
        <v>276</v>
      </c>
      <c r="F465" s="10">
        <v>25</v>
      </c>
      <c r="G465" s="10" t="s">
        <v>36</v>
      </c>
      <c r="H465" s="10">
        <v>55000</v>
      </c>
      <c r="I465" s="10">
        <f t="shared" si="58"/>
        <v>1375000</v>
      </c>
      <c r="J465" s="84" t="s">
        <v>113</v>
      </c>
      <c r="K465" s="10"/>
      <c r="L465" s="10"/>
      <c r="M465" s="12">
        <f t="shared" si="53"/>
        <v>1375000</v>
      </c>
      <c r="N465" s="12">
        <v>1375000</v>
      </c>
      <c r="O465" s="12"/>
      <c r="P465" s="12">
        <f t="shared" si="54"/>
        <v>0</v>
      </c>
      <c r="Q465" s="12"/>
      <c r="R465" s="12"/>
      <c r="S465" s="12">
        <f t="shared" si="55"/>
        <v>0</v>
      </c>
      <c r="T465" s="12"/>
      <c r="U465" s="12"/>
      <c r="V465" s="12">
        <f t="shared" si="56"/>
        <v>0</v>
      </c>
      <c r="W465" s="12"/>
      <c r="X465" s="12"/>
      <c r="Y465" s="12">
        <f t="shared" si="57"/>
        <v>0</v>
      </c>
      <c r="Z465" s="12"/>
      <c r="AA465" s="12"/>
      <c r="AB465" s="13">
        <f t="shared" si="59"/>
        <v>0</v>
      </c>
      <c r="AC465" s="14">
        <v>46094</v>
      </c>
    </row>
    <row r="466" spans="1:29" ht="15.75" x14ac:dyDescent="0.25">
      <c r="A466" s="65">
        <v>46094</v>
      </c>
      <c r="B466" s="10" t="s">
        <v>272</v>
      </c>
      <c r="C466" s="10"/>
      <c r="D466" s="10"/>
      <c r="E466" s="10" t="s">
        <v>443</v>
      </c>
      <c r="F466" s="10">
        <v>28.1</v>
      </c>
      <c r="G466" s="10" t="s">
        <v>36</v>
      </c>
      <c r="H466" s="10">
        <v>43000</v>
      </c>
      <c r="I466" s="10">
        <f t="shared" si="58"/>
        <v>1208300</v>
      </c>
      <c r="J466" s="115" t="s">
        <v>90</v>
      </c>
      <c r="K466" s="10"/>
      <c r="L466" s="10"/>
      <c r="M466" s="12">
        <f t="shared" si="53"/>
        <v>0</v>
      </c>
      <c r="N466" s="12"/>
      <c r="O466" s="12"/>
      <c r="P466" s="12">
        <f t="shared" si="54"/>
        <v>0</v>
      </c>
      <c r="Q466" s="12"/>
      <c r="R466" s="12"/>
      <c r="S466" s="12">
        <f t="shared" si="55"/>
        <v>0</v>
      </c>
      <c r="T466" s="12"/>
      <c r="U466" s="12"/>
      <c r="V466" s="12">
        <f t="shared" si="56"/>
        <v>0</v>
      </c>
      <c r="W466" s="12"/>
      <c r="X466" s="12"/>
      <c r="Y466" s="12">
        <f t="shared" si="57"/>
        <v>0</v>
      </c>
      <c r="Z466" s="12"/>
      <c r="AA466" s="12"/>
      <c r="AB466" s="13">
        <f t="shared" si="59"/>
        <v>1208300</v>
      </c>
      <c r="AC466" s="14"/>
    </row>
    <row r="467" spans="1:29" s="148" customFormat="1" ht="16.5" thickBot="1" x14ac:dyDescent="0.3">
      <c r="A467" s="65">
        <v>46094</v>
      </c>
      <c r="B467" s="10" t="s">
        <v>272</v>
      </c>
      <c r="C467" s="10"/>
      <c r="D467" s="10"/>
      <c r="E467" s="10" t="s">
        <v>307</v>
      </c>
      <c r="F467" s="10">
        <v>27.1</v>
      </c>
      <c r="G467" s="10" t="s">
        <v>36</v>
      </c>
      <c r="H467" s="10">
        <v>43000</v>
      </c>
      <c r="I467" s="10">
        <f t="shared" si="58"/>
        <v>1165300</v>
      </c>
      <c r="J467" s="115" t="s">
        <v>90</v>
      </c>
      <c r="K467" s="10"/>
      <c r="L467" s="10"/>
      <c r="M467" s="12">
        <f t="shared" si="53"/>
        <v>0</v>
      </c>
      <c r="N467" s="12"/>
      <c r="O467" s="12"/>
      <c r="P467" s="12">
        <f t="shared" si="54"/>
        <v>0</v>
      </c>
      <c r="Q467" s="12"/>
      <c r="R467" s="12"/>
      <c r="S467" s="12">
        <f t="shared" si="55"/>
        <v>0</v>
      </c>
      <c r="T467" s="12"/>
      <c r="U467" s="12"/>
      <c r="V467" s="12">
        <f t="shared" si="56"/>
        <v>0</v>
      </c>
      <c r="W467" s="12"/>
      <c r="X467" s="12"/>
      <c r="Y467" s="12">
        <f t="shared" si="57"/>
        <v>0</v>
      </c>
      <c r="Z467" s="12"/>
      <c r="AA467" s="12"/>
      <c r="AB467" s="13">
        <f t="shared" si="59"/>
        <v>1165300</v>
      </c>
      <c r="AC467" s="14"/>
    </row>
    <row r="468" spans="1:29" ht="15.75" x14ac:dyDescent="0.25">
      <c r="A468" s="65">
        <v>46094</v>
      </c>
      <c r="B468" s="66" t="s">
        <v>79</v>
      </c>
      <c r="C468" s="66"/>
      <c r="D468" s="66" t="s">
        <v>383</v>
      </c>
      <c r="E468" s="66" t="s">
        <v>51</v>
      </c>
      <c r="F468" s="66">
        <v>1</v>
      </c>
      <c r="G468" s="66" t="s">
        <v>22</v>
      </c>
      <c r="H468" s="66">
        <v>400000</v>
      </c>
      <c r="I468" s="10">
        <f t="shared" si="58"/>
        <v>400000</v>
      </c>
      <c r="J468" s="84" t="s">
        <v>110</v>
      </c>
      <c r="K468" s="66"/>
      <c r="L468" s="10"/>
      <c r="M468" s="12">
        <f t="shared" si="53"/>
        <v>0</v>
      </c>
      <c r="N468" s="12"/>
      <c r="O468" s="12"/>
      <c r="P468" s="12">
        <f t="shared" si="54"/>
        <v>0</v>
      </c>
      <c r="Q468" s="12"/>
      <c r="R468" s="12"/>
      <c r="S468" s="12">
        <f t="shared" si="55"/>
        <v>400000</v>
      </c>
      <c r="T468" s="12">
        <v>400000</v>
      </c>
      <c r="U468" s="12"/>
      <c r="V468" s="12">
        <f t="shared" si="56"/>
        <v>0</v>
      </c>
      <c r="W468" s="12"/>
      <c r="X468" s="12"/>
      <c r="Y468" s="12">
        <f t="shared" si="57"/>
        <v>0</v>
      </c>
      <c r="Z468" s="12"/>
      <c r="AA468" s="12"/>
      <c r="AB468" s="13">
        <f t="shared" si="59"/>
        <v>0</v>
      </c>
      <c r="AC468" s="14">
        <v>46094</v>
      </c>
    </row>
    <row r="469" spans="1:29" ht="15.75" x14ac:dyDescent="0.25">
      <c r="A469" s="65">
        <v>46094</v>
      </c>
      <c r="B469" s="66" t="s">
        <v>79</v>
      </c>
      <c r="C469" s="10"/>
      <c r="D469" s="66" t="s">
        <v>383</v>
      </c>
      <c r="E469" s="10" t="s">
        <v>290</v>
      </c>
      <c r="F469" s="10">
        <v>4</v>
      </c>
      <c r="G469" s="10" t="s">
        <v>39</v>
      </c>
      <c r="H469" s="10">
        <v>25000</v>
      </c>
      <c r="I469" s="10">
        <f t="shared" si="58"/>
        <v>100000</v>
      </c>
      <c r="J469" s="84" t="s">
        <v>110</v>
      </c>
      <c r="K469" s="10"/>
      <c r="L469" s="10"/>
      <c r="M469" s="12">
        <f t="shared" si="53"/>
        <v>0</v>
      </c>
      <c r="N469" s="12"/>
      <c r="O469" s="12"/>
      <c r="P469" s="12">
        <f t="shared" si="54"/>
        <v>0</v>
      </c>
      <c r="Q469" s="12"/>
      <c r="R469" s="12"/>
      <c r="S469" s="12">
        <f t="shared" si="55"/>
        <v>80000</v>
      </c>
      <c r="T469" s="12">
        <v>80000</v>
      </c>
      <c r="U469" s="12"/>
      <c r="V469" s="12">
        <f t="shared" si="56"/>
        <v>20000</v>
      </c>
      <c r="W469" s="12">
        <v>20000</v>
      </c>
      <c r="X469" s="12"/>
      <c r="Y469" s="12">
        <f t="shared" si="57"/>
        <v>0</v>
      </c>
      <c r="Z469" s="12"/>
      <c r="AA469" s="12"/>
      <c r="AB469" s="13">
        <f t="shared" si="59"/>
        <v>0</v>
      </c>
      <c r="AC469" s="14">
        <v>46094</v>
      </c>
    </row>
    <row r="470" spans="1:29" ht="15.75" x14ac:dyDescent="0.25">
      <c r="A470" s="65">
        <v>46094</v>
      </c>
      <c r="B470" s="10" t="s">
        <v>246</v>
      </c>
      <c r="C470" s="10"/>
      <c r="D470" s="10" t="s">
        <v>383</v>
      </c>
      <c r="E470" s="10" t="s">
        <v>265</v>
      </c>
      <c r="F470" s="10">
        <v>69.3</v>
      </c>
      <c r="G470" s="10" t="s">
        <v>36</v>
      </c>
      <c r="H470" s="10">
        <v>43000</v>
      </c>
      <c r="I470" s="10">
        <f t="shared" si="58"/>
        <v>2979900</v>
      </c>
      <c r="J470" s="52" t="s">
        <v>90</v>
      </c>
      <c r="K470" s="10" t="s">
        <v>497</v>
      </c>
      <c r="L470" s="10"/>
      <c r="M470" s="12">
        <f t="shared" si="53"/>
        <v>0</v>
      </c>
      <c r="N470" s="12"/>
      <c r="O470" s="12"/>
      <c r="P470" s="12">
        <f t="shared" si="54"/>
        <v>0</v>
      </c>
      <c r="Q470" s="12"/>
      <c r="R470" s="12"/>
      <c r="S470" s="12">
        <f t="shared" si="55"/>
        <v>0</v>
      </c>
      <c r="T470" s="12"/>
      <c r="U470" s="12"/>
      <c r="V470" s="12">
        <f t="shared" si="56"/>
        <v>0</v>
      </c>
      <c r="W470" s="12"/>
      <c r="X470" s="12"/>
      <c r="Y470" s="12">
        <f t="shared" si="57"/>
        <v>0</v>
      </c>
      <c r="Z470" s="12"/>
      <c r="AA470" s="12"/>
      <c r="AB470" s="13">
        <f t="shared" si="59"/>
        <v>2979900</v>
      </c>
      <c r="AC470" s="14"/>
    </row>
    <row r="471" spans="1:29" ht="15.75" x14ac:dyDescent="0.25">
      <c r="A471" s="65">
        <v>46094</v>
      </c>
      <c r="B471" s="10" t="s">
        <v>628</v>
      </c>
      <c r="C471" s="10"/>
      <c r="D471" s="10" t="s">
        <v>195</v>
      </c>
      <c r="E471" s="10" t="s">
        <v>594</v>
      </c>
      <c r="F471" s="10">
        <v>300</v>
      </c>
      <c r="G471" s="10" t="s">
        <v>39</v>
      </c>
      <c r="H471" s="10">
        <v>42000</v>
      </c>
      <c r="I471" s="10">
        <f t="shared" si="58"/>
        <v>12600000</v>
      </c>
      <c r="J471" s="29" t="s">
        <v>110</v>
      </c>
      <c r="K471" s="10" t="s">
        <v>497</v>
      </c>
      <c r="L471" s="10"/>
      <c r="M471" s="12">
        <f t="shared" si="53"/>
        <v>0</v>
      </c>
      <c r="N471" s="12"/>
      <c r="O471" s="12"/>
      <c r="P471" s="12">
        <f t="shared" si="54"/>
        <v>2200000</v>
      </c>
      <c r="Q471" s="12">
        <v>2200000</v>
      </c>
      <c r="R471" s="12"/>
      <c r="S471" s="12">
        <f t="shared" si="55"/>
        <v>10400000</v>
      </c>
      <c r="T471" s="12">
        <v>10000000</v>
      </c>
      <c r="U471" s="12">
        <v>400000</v>
      </c>
      <c r="V471" s="12">
        <f t="shared" si="56"/>
        <v>0</v>
      </c>
      <c r="W471" s="12"/>
      <c r="X471" s="12"/>
      <c r="Y471" s="12">
        <f t="shared" si="57"/>
        <v>0</v>
      </c>
      <c r="Z471" s="12"/>
      <c r="AA471" s="12"/>
      <c r="AB471" s="13">
        <f t="shared" si="59"/>
        <v>0</v>
      </c>
      <c r="AC471" s="14">
        <v>46094</v>
      </c>
    </row>
    <row r="472" spans="1:29" ht="15.75" x14ac:dyDescent="0.25">
      <c r="A472" s="28">
        <v>46094</v>
      </c>
      <c r="B472" s="10" t="s">
        <v>628</v>
      </c>
      <c r="C472" s="10"/>
      <c r="D472" s="10" t="s">
        <v>195</v>
      </c>
      <c r="E472" s="10" t="s">
        <v>186</v>
      </c>
      <c r="F472" s="10">
        <v>2</v>
      </c>
      <c r="G472" s="10" t="s">
        <v>22</v>
      </c>
      <c r="H472" s="10">
        <v>1200000</v>
      </c>
      <c r="I472" s="10">
        <f t="shared" si="58"/>
        <v>2400000</v>
      </c>
      <c r="J472" s="29" t="s">
        <v>110</v>
      </c>
      <c r="K472" s="10"/>
      <c r="L472" s="10"/>
      <c r="M472" s="12">
        <f t="shared" si="53"/>
        <v>0</v>
      </c>
      <c r="N472" s="12"/>
      <c r="O472" s="12"/>
      <c r="P472" s="12">
        <f t="shared" si="54"/>
        <v>0</v>
      </c>
      <c r="Q472" s="12"/>
      <c r="R472" s="12"/>
      <c r="S472" s="12">
        <f t="shared" si="55"/>
        <v>2400000</v>
      </c>
      <c r="T472" s="12">
        <v>2400000</v>
      </c>
      <c r="U472" s="12"/>
      <c r="V472" s="12">
        <f t="shared" si="56"/>
        <v>0</v>
      </c>
      <c r="W472" s="12"/>
      <c r="X472" s="12"/>
      <c r="Y472" s="12">
        <f t="shared" si="57"/>
        <v>0</v>
      </c>
      <c r="Z472" s="12"/>
      <c r="AA472" s="12"/>
      <c r="AB472" s="13">
        <f t="shared" si="59"/>
        <v>0</v>
      </c>
      <c r="AC472" s="14">
        <v>46094</v>
      </c>
    </row>
    <row r="473" spans="1:29" ht="15.75" x14ac:dyDescent="0.25">
      <c r="A473" s="65">
        <v>46094</v>
      </c>
      <c r="B473" s="10" t="s">
        <v>628</v>
      </c>
      <c r="C473" s="10"/>
      <c r="D473" s="10" t="s">
        <v>195</v>
      </c>
      <c r="E473" s="10" t="s">
        <v>412</v>
      </c>
      <c r="F473" s="10">
        <v>40</v>
      </c>
      <c r="G473" s="10" t="s">
        <v>67</v>
      </c>
      <c r="H473" s="10">
        <v>55000</v>
      </c>
      <c r="I473" s="10">
        <f t="shared" si="58"/>
        <v>2200000</v>
      </c>
      <c r="J473" s="84" t="s">
        <v>110</v>
      </c>
      <c r="K473" s="10"/>
      <c r="L473" s="10"/>
      <c r="M473" s="12">
        <f t="shared" si="53"/>
        <v>0</v>
      </c>
      <c r="N473" s="12"/>
      <c r="O473" s="12"/>
      <c r="P473" s="12">
        <f t="shared" si="54"/>
        <v>0</v>
      </c>
      <c r="Q473" s="12"/>
      <c r="R473" s="12"/>
      <c r="S473" s="12">
        <f t="shared" si="55"/>
        <v>2200000</v>
      </c>
      <c r="T473" s="12">
        <v>2200000</v>
      </c>
      <c r="U473" s="12"/>
      <c r="V473" s="12">
        <f t="shared" si="56"/>
        <v>0</v>
      </c>
      <c r="W473" s="12"/>
      <c r="X473" s="12"/>
      <c r="Y473" s="12">
        <f t="shared" si="57"/>
        <v>0</v>
      </c>
      <c r="Z473" s="12"/>
      <c r="AA473" s="12"/>
      <c r="AB473" s="13">
        <f t="shared" si="59"/>
        <v>0</v>
      </c>
      <c r="AC473" s="14">
        <v>46094</v>
      </c>
    </row>
    <row r="474" spans="1:29" ht="15.75" x14ac:dyDescent="0.25">
      <c r="A474" s="65">
        <v>46094</v>
      </c>
      <c r="B474" s="10" t="s">
        <v>628</v>
      </c>
      <c r="C474" s="10"/>
      <c r="D474" s="10" t="s">
        <v>195</v>
      </c>
      <c r="E474" s="10" t="s">
        <v>130</v>
      </c>
      <c r="F474" s="10">
        <v>100</v>
      </c>
      <c r="G474" s="10" t="s">
        <v>67</v>
      </c>
      <c r="H474" s="10">
        <v>50000</v>
      </c>
      <c r="I474" s="10">
        <f t="shared" si="58"/>
        <v>5000000</v>
      </c>
      <c r="J474" s="84" t="s">
        <v>110</v>
      </c>
      <c r="K474" s="10"/>
      <c r="L474" s="10"/>
      <c r="M474" s="12">
        <f t="shared" si="53"/>
        <v>0</v>
      </c>
      <c r="N474" s="12"/>
      <c r="O474" s="12"/>
      <c r="P474" s="12">
        <f t="shared" si="54"/>
        <v>0</v>
      </c>
      <c r="Q474" s="12"/>
      <c r="R474" s="12"/>
      <c r="S474" s="12">
        <f t="shared" si="55"/>
        <v>5000000</v>
      </c>
      <c r="T474" s="12">
        <v>5000000</v>
      </c>
      <c r="U474" s="12"/>
      <c r="V474" s="12">
        <f t="shared" si="56"/>
        <v>0</v>
      </c>
      <c r="W474" s="12"/>
      <c r="X474" s="12"/>
      <c r="Y474" s="12">
        <f t="shared" si="57"/>
        <v>0</v>
      </c>
      <c r="Z474" s="12"/>
      <c r="AA474" s="12"/>
      <c r="AB474" s="13">
        <f t="shared" si="59"/>
        <v>0</v>
      </c>
      <c r="AC474" s="14">
        <v>46094</v>
      </c>
    </row>
    <row r="475" spans="1:29" ht="16.5" thickBot="1" x14ac:dyDescent="0.3">
      <c r="A475" s="53">
        <v>46094</v>
      </c>
      <c r="B475" s="31" t="s">
        <v>238</v>
      </c>
      <c r="C475" s="31"/>
      <c r="D475" s="31" t="s">
        <v>195</v>
      </c>
      <c r="E475" s="31" t="s">
        <v>175</v>
      </c>
      <c r="F475" s="31">
        <v>2800</v>
      </c>
      <c r="G475" s="31" t="s">
        <v>26</v>
      </c>
      <c r="H475" s="31">
        <v>1000</v>
      </c>
      <c r="I475" s="31">
        <f t="shared" si="58"/>
        <v>2800000</v>
      </c>
      <c r="J475" s="51" t="s">
        <v>110</v>
      </c>
      <c r="K475" s="31"/>
      <c r="L475" s="31" t="s">
        <v>629</v>
      </c>
      <c r="M475" s="34">
        <f t="shared" si="53"/>
        <v>0</v>
      </c>
      <c r="N475" s="34"/>
      <c r="O475" s="34"/>
      <c r="P475" s="34">
        <f t="shared" si="54"/>
        <v>2800000</v>
      </c>
      <c r="Q475" s="34">
        <v>2800000</v>
      </c>
      <c r="R475" s="34"/>
      <c r="S475" s="34">
        <f t="shared" si="55"/>
        <v>0</v>
      </c>
      <c r="T475" s="34"/>
      <c r="U475" s="34"/>
      <c r="V475" s="34">
        <f t="shared" si="56"/>
        <v>0</v>
      </c>
      <c r="W475" s="34"/>
      <c r="X475" s="34"/>
      <c r="Y475" s="34">
        <f t="shared" si="57"/>
        <v>0</v>
      </c>
      <c r="Z475" s="34"/>
      <c r="AA475" s="34"/>
      <c r="AB475" s="35">
        <f t="shared" si="59"/>
        <v>0</v>
      </c>
      <c r="AC475" s="36">
        <v>46094</v>
      </c>
    </row>
    <row r="476" spans="1:29" ht="15.75" x14ac:dyDescent="0.25">
      <c r="A476" s="65">
        <v>46095</v>
      </c>
      <c r="B476" s="66" t="s">
        <v>330</v>
      </c>
      <c r="C476" s="66"/>
      <c r="D476" s="66" t="s">
        <v>195</v>
      </c>
      <c r="E476" s="66" t="s">
        <v>130</v>
      </c>
      <c r="F476" s="66">
        <v>130</v>
      </c>
      <c r="G476" s="66" t="s">
        <v>67</v>
      </c>
      <c r="H476" s="66">
        <v>50000</v>
      </c>
      <c r="I476" s="45">
        <f>F476*H476</f>
        <v>6500000</v>
      </c>
      <c r="J476" s="84" t="s">
        <v>113</v>
      </c>
      <c r="K476" s="66"/>
      <c r="L476" s="10"/>
      <c r="M476" s="12">
        <f t="shared" si="53"/>
        <v>6500000</v>
      </c>
      <c r="N476" s="12">
        <v>6500000</v>
      </c>
      <c r="O476" s="12"/>
      <c r="P476" s="12">
        <f t="shared" si="54"/>
        <v>0</v>
      </c>
      <c r="Q476" s="12"/>
      <c r="R476" s="12"/>
      <c r="S476" s="12">
        <f t="shared" si="55"/>
        <v>0</v>
      </c>
      <c r="T476" s="12"/>
      <c r="U476" s="12"/>
      <c r="V476" s="12">
        <f t="shared" si="56"/>
        <v>0</v>
      </c>
      <c r="W476" s="12"/>
      <c r="X476" s="12"/>
      <c r="Y476" s="12">
        <f t="shared" si="57"/>
        <v>0</v>
      </c>
      <c r="Z476" s="12"/>
      <c r="AA476" s="12"/>
      <c r="AB476" s="13">
        <f>C476+I476-M476-P476-V476-Y476-S476</f>
        <v>0</v>
      </c>
      <c r="AC476" s="14">
        <v>46095</v>
      </c>
    </row>
    <row r="477" spans="1:29" ht="15.75" x14ac:dyDescent="0.25">
      <c r="A477" s="65">
        <v>46095</v>
      </c>
      <c r="B477" s="66" t="s">
        <v>330</v>
      </c>
      <c r="C477" s="10"/>
      <c r="D477" s="66" t="s">
        <v>195</v>
      </c>
      <c r="E477" s="10" t="s">
        <v>114</v>
      </c>
      <c r="F477" s="10">
        <v>20</v>
      </c>
      <c r="G477" s="66" t="s">
        <v>67</v>
      </c>
      <c r="H477" s="10">
        <v>50000</v>
      </c>
      <c r="I477" s="10">
        <f t="shared" ref="I477:I519" si="60">F477*H477</f>
        <v>1000000</v>
      </c>
      <c r="J477" s="84" t="s">
        <v>113</v>
      </c>
      <c r="K477" s="10"/>
      <c r="L477" s="10"/>
      <c r="M477" s="12">
        <f t="shared" si="53"/>
        <v>1000000</v>
      </c>
      <c r="N477" s="12">
        <v>1000000</v>
      </c>
      <c r="O477" s="12"/>
      <c r="P477" s="12">
        <f t="shared" si="54"/>
        <v>0</v>
      </c>
      <c r="Q477" s="12"/>
      <c r="R477" s="12"/>
      <c r="S477" s="12">
        <f t="shared" si="55"/>
        <v>0</v>
      </c>
      <c r="T477" s="12"/>
      <c r="U477" s="12"/>
      <c r="V477" s="12">
        <f t="shared" si="56"/>
        <v>0</v>
      </c>
      <c r="W477" s="12"/>
      <c r="X477" s="12"/>
      <c r="Y477" s="12">
        <f t="shared" si="57"/>
        <v>0</v>
      </c>
      <c r="Z477" s="12"/>
      <c r="AA477" s="12"/>
      <c r="AB477" s="13">
        <f t="shared" ref="AB477:AB501" si="61">C477+I477-M477-P477-V477-Y477-S477</f>
        <v>0</v>
      </c>
      <c r="AC477" s="14">
        <v>46095</v>
      </c>
    </row>
    <row r="478" spans="1:29" ht="15.75" x14ac:dyDescent="0.25">
      <c r="A478" s="65">
        <v>46095</v>
      </c>
      <c r="B478" s="66" t="s">
        <v>330</v>
      </c>
      <c r="C478" s="10"/>
      <c r="D478" s="66" t="s">
        <v>195</v>
      </c>
      <c r="E478" s="10" t="s">
        <v>116</v>
      </c>
      <c r="F478" s="10">
        <v>24</v>
      </c>
      <c r="G478" s="10" t="s">
        <v>67</v>
      </c>
      <c r="H478" s="10">
        <v>65000</v>
      </c>
      <c r="I478" s="10">
        <f t="shared" si="60"/>
        <v>1560000</v>
      </c>
      <c r="J478" s="84" t="s">
        <v>113</v>
      </c>
      <c r="K478" s="10"/>
      <c r="L478" s="10"/>
      <c r="M478" s="12">
        <f t="shared" si="53"/>
        <v>1560000</v>
      </c>
      <c r="N478" s="12">
        <v>1560000</v>
      </c>
      <c r="O478" s="12"/>
      <c r="P478" s="12">
        <f t="shared" si="54"/>
        <v>0</v>
      </c>
      <c r="Q478" s="12"/>
      <c r="R478" s="12"/>
      <c r="S478" s="12">
        <f t="shared" si="55"/>
        <v>0</v>
      </c>
      <c r="T478" s="12"/>
      <c r="U478" s="12"/>
      <c r="V478" s="12">
        <f t="shared" si="56"/>
        <v>0</v>
      </c>
      <c r="W478" s="12"/>
      <c r="X478" s="12"/>
      <c r="Y478" s="12">
        <f t="shared" si="57"/>
        <v>0</v>
      </c>
      <c r="Z478" s="12"/>
      <c r="AA478" s="12"/>
      <c r="AB478" s="13">
        <f t="shared" si="61"/>
        <v>0</v>
      </c>
      <c r="AC478" s="14">
        <v>46095</v>
      </c>
    </row>
    <row r="479" spans="1:29" ht="15.75" x14ac:dyDescent="0.25">
      <c r="A479" s="65">
        <v>46095</v>
      </c>
      <c r="B479" s="66" t="s">
        <v>330</v>
      </c>
      <c r="C479" s="10"/>
      <c r="D479" s="66" t="s">
        <v>195</v>
      </c>
      <c r="E479" s="10" t="s">
        <v>290</v>
      </c>
      <c r="F479" s="10">
        <v>15</v>
      </c>
      <c r="G479" s="10" t="s">
        <v>39</v>
      </c>
      <c r="H479" s="10">
        <v>25000</v>
      </c>
      <c r="I479" s="10">
        <f t="shared" si="60"/>
        <v>375000</v>
      </c>
      <c r="J479" s="84" t="s">
        <v>113</v>
      </c>
      <c r="K479" s="10"/>
      <c r="L479" s="10"/>
      <c r="M479" s="12">
        <f t="shared" si="53"/>
        <v>375000</v>
      </c>
      <c r="N479" s="12">
        <v>375000</v>
      </c>
      <c r="O479" s="12"/>
      <c r="P479" s="12">
        <f t="shared" si="54"/>
        <v>0</v>
      </c>
      <c r="Q479" s="12"/>
      <c r="R479" s="12"/>
      <c r="S479" s="12">
        <f t="shared" si="55"/>
        <v>0</v>
      </c>
      <c r="T479" s="12"/>
      <c r="U479" s="12"/>
      <c r="V479" s="12">
        <f t="shared" si="56"/>
        <v>0</v>
      </c>
      <c r="W479" s="12"/>
      <c r="X479" s="12"/>
      <c r="Y479" s="12">
        <f t="shared" si="57"/>
        <v>0</v>
      </c>
      <c r="Z479" s="12"/>
      <c r="AA479" s="12"/>
      <c r="AB479" s="13">
        <f t="shared" si="61"/>
        <v>0</v>
      </c>
      <c r="AC479" s="14">
        <v>46095</v>
      </c>
    </row>
    <row r="480" spans="1:29" ht="15.75" x14ac:dyDescent="0.25">
      <c r="A480" s="65">
        <v>46095</v>
      </c>
      <c r="B480" s="10" t="s">
        <v>632</v>
      </c>
      <c r="C480" s="10"/>
      <c r="D480" s="10" t="s">
        <v>383</v>
      </c>
      <c r="E480" s="10" t="s">
        <v>114</v>
      </c>
      <c r="F480" s="10">
        <v>20</v>
      </c>
      <c r="G480" s="10" t="s">
        <v>67</v>
      </c>
      <c r="H480" s="10">
        <v>50000</v>
      </c>
      <c r="I480" s="10">
        <f t="shared" si="60"/>
        <v>1000000</v>
      </c>
      <c r="J480" s="84" t="s">
        <v>110</v>
      </c>
      <c r="K480" s="10"/>
      <c r="L480" s="10"/>
      <c r="M480" s="12">
        <f t="shared" si="53"/>
        <v>0</v>
      </c>
      <c r="N480" s="12"/>
      <c r="O480" s="12"/>
      <c r="P480" s="12">
        <f t="shared" si="54"/>
        <v>1000000</v>
      </c>
      <c r="Q480" s="12">
        <v>1000000</v>
      </c>
      <c r="R480" s="12"/>
      <c r="S480" s="12">
        <f t="shared" si="55"/>
        <v>0</v>
      </c>
      <c r="T480" s="12"/>
      <c r="U480" s="12"/>
      <c r="V480" s="12">
        <f t="shared" si="56"/>
        <v>0</v>
      </c>
      <c r="W480" s="12"/>
      <c r="X480" s="12"/>
      <c r="Y480" s="12">
        <f t="shared" si="57"/>
        <v>0</v>
      </c>
      <c r="Z480" s="12"/>
      <c r="AA480" s="12"/>
      <c r="AB480" s="13">
        <f t="shared" si="61"/>
        <v>0</v>
      </c>
      <c r="AC480" s="14">
        <v>46094</v>
      </c>
    </row>
    <row r="481" spans="1:29" ht="15.75" x14ac:dyDescent="0.25">
      <c r="A481" s="65">
        <v>46095</v>
      </c>
      <c r="B481" s="10" t="s">
        <v>632</v>
      </c>
      <c r="C481" s="10"/>
      <c r="D481" s="10" t="s">
        <v>383</v>
      </c>
      <c r="E481" s="10" t="s">
        <v>130</v>
      </c>
      <c r="F481" s="10">
        <v>20</v>
      </c>
      <c r="G481" s="10" t="s">
        <v>633</v>
      </c>
      <c r="H481" s="10">
        <v>50000</v>
      </c>
      <c r="I481" s="10">
        <f t="shared" si="60"/>
        <v>1000000</v>
      </c>
      <c r="J481" s="84" t="s">
        <v>110</v>
      </c>
      <c r="K481" s="10"/>
      <c r="L481" s="10"/>
      <c r="M481" s="12">
        <f t="shared" si="53"/>
        <v>0</v>
      </c>
      <c r="N481" s="12"/>
      <c r="O481" s="12"/>
      <c r="P481" s="12">
        <f t="shared" si="54"/>
        <v>1000000</v>
      </c>
      <c r="Q481" s="12">
        <v>1000000</v>
      </c>
      <c r="R481" s="12"/>
      <c r="S481" s="12">
        <f t="shared" si="55"/>
        <v>0</v>
      </c>
      <c r="T481" s="12"/>
      <c r="U481" s="12"/>
      <c r="V481" s="12">
        <f t="shared" si="56"/>
        <v>0</v>
      </c>
      <c r="W481" s="12"/>
      <c r="X481" s="12"/>
      <c r="Y481" s="12">
        <f t="shared" si="57"/>
        <v>0</v>
      </c>
      <c r="Z481" s="12"/>
      <c r="AA481" s="12"/>
      <c r="AB481" s="13">
        <f t="shared" si="61"/>
        <v>0</v>
      </c>
      <c r="AC481" s="14">
        <v>46094</v>
      </c>
    </row>
    <row r="482" spans="1:29" ht="15.75" x14ac:dyDescent="0.25">
      <c r="A482" s="65">
        <v>46095</v>
      </c>
      <c r="B482" s="10" t="s">
        <v>632</v>
      </c>
      <c r="C482" s="66"/>
      <c r="D482" s="10" t="s">
        <v>383</v>
      </c>
      <c r="E482" s="66" t="s">
        <v>116</v>
      </c>
      <c r="F482" s="66">
        <v>12</v>
      </c>
      <c r="G482" s="66" t="s">
        <v>67</v>
      </c>
      <c r="H482" s="66">
        <v>65000</v>
      </c>
      <c r="I482" s="10">
        <f t="shared" si="60"/>
        <v>780000</v>
      </c>
      <c r="J482" s="84" t="s">
        <v>110</v>
      </c>
      <c r="K482" s="66"/>
      <c r="L482" s="10"/>
      <c r="M482" s="12">
        <f t="shared" si="53"/>
        <v>0</v>
      </c>
      <c r="N482" s="12"/>
      <c r="O482" s="12"/>
      <c r="P482" s="12">
        <f t="shared" si="54"/>
        <v>780000</v>
      </c>
      <c r="Q482" s="12">
        <v>780000</v>
      </c>
      <c r="R482" s="12"/>
      <c r="S482" s="12">
        <f t="shared" si="55"/>
        <v>0</v>
      </c>
      <c r="T482" s="12"/>
      <c r="U482" s="12"/>
      <c r="V482" s="12">
        <f t="shared" si="56"/>
        <v>0</v>
      </c>
      <c r="W482" s="12"/>
      <c r="X482" s="12"/>
      <c r="Y482" s="12">
        <f t="shared" si="57"/>
        <v>0</v>
      </c>
      <c r="Z482" s="12"/>
      <c r="AA482" s="12"/>
      <c r="AB482" s="13">
        <f t="shared" si="61"/>
        <v>0</v>
      </c>
      <c r="AC482" s="14">
        <v>46094</v>
      </c>
    </row>
    <row r="483" spans="1:29" ht="15.75" x14ac:dyDescent="0.25">
      <c r="A483" s="65">
        <v>46095</v>
      </c>
      <c r="B483" s="10" t="s">
        <v>632</v>
      </c>
      <c r="C483" s="10"/>
      <c r="D483" s="10" t="s">
        <v>383</v>
      </c>
      <c r="E483" s="10" t="s">
        <v>310</v>
      </c>
      <c r="F483" s="10">
        <v>2</v>
      </c>
      <c r="G483" s="10" t="s">
        <v>39</v>
      </c>
      <c r="H483" s="10">
        <v>250000</v>
      </c>
      <c r="I483" s="10">
        <f t="shared" si="60"/>
        <v>500000</v>
      </c>
      <c r="J483" s="84" t="s">
        <v>110</v>
      </c>
      <c r="K483" s="10"/>
      <c r="L483" s="10"/>
      <c r="M483" s="12">
        <f t="shared" si="53"/>
        <v>0</v>
      </c>
      <c r="N483" s="12"/>
      <c r="O483" s="12"/>
      <c r="P483" s="12">
        <f t="shared" si="54"/>
        <v>500000</v>
      </c>
      <c r="Q483" s="12">
        <v>500000</v>
      </c>
      <c r="R483" s="12"/>
      <c r="S483" s="12">
        <f t="shared" si="55"/>
        <v>0</v>
      </c>
      <c r="T483" s="12"/>
      <c r="U483" s="12"/>
      <c r="V483" s="12">
        <f t="shared" si="56"/>
        <v>0</v>
      </c>
      <c r="W483" s="12"/>
      <c r="X483" s="12"/>
      <c r="Y483" s="12">
        <f t="shared" si="57"/>
        <v>0</v>
      </c>
      <c r="Z483" s="12"/>
      <c r="AA483" s="12"/>
      <c r="AB483" s="13">
        <f t="shared" si="61"/>
        <v>0</v>
      </c>
      <c r="AC483" s="14">
        <v>46094</v>
      </c>
    </row>
    <row r="484" spans="1:29" ht="15.75" x14ac:dyDescent="0.25">
      <c r="A484" s="65">
        <v>46095</v>
      </c>
      <c r="B484" s="10" t="s">
        <v>634</v>
      </c>
      <c r="C484" s="10"/>
      <c r="D484" s="10" t="s">
        <v>383</v>
      </c>
      <c r="E484" s="10" t="s">
        <v>431</v>
      </c>
      <c r="F484" s="10">
        <v>2</v>
      </c>
      <c r="G484" s="10" t="s">
        <v>192</v>
      </c>
      <c r="H484" s="10">
        <v>1150000</v>
      </c>
      <c r="I484" s="10">
        <f t="shared" si="60"/>
        <v>2300000</v>
      </c>
      <c r="J484" s="84" t="s">
        <v>110</v>
      </c>
      <c r="K484" s="10"/>
      <c r="L484" s="10"/>
      <c r="M484" s="12">
        <f t="shared" si="53"/>
        <v>0</v>
      </c>
      <c r="N484" s="12"/>
      <c r="O484" s="12"/>
      <c r="P484" s="12">
        <f t="shared" si="54"/>
        <v>2300000</v>
      </c>
      <c r="Q484" s="12">
        <v>2300000</v>
      </c>
      <c r="R484" s="12"/>
      <c r="S484" s="12">
        <f t="shared" si="55"/>
        <v>0</v>
      </c>
      <c r="T484" s="12"/>
      <c r="U484" s="12"/>
      <c r="V484" s="12">
        <f t="shared" si="56"/>
        <v>0</v>
      </c>
      <c r="W484" s="12"/>
      <c r="X484" s="12"/>
      <c r="Y484" s="12">
        <f t="shared" si="57"/>
        <v>0</v>
      </c>
      <c r="Z484" s="12"/>
      <c r="AA484" s="12"/>
      <c r="AB484" s="13">
        <f t="shared" si="61"/>
        <v>0</v>
      </c>
      <c r="AC484" s="14">
        <v>46092</v>
      </c>
    </row>
    <row r="485" spans="1:29" ht="15.75" x14ac:dyDescent="0.25">
      <c r="A485" s="65">
        <v>46095</v>
      </c>
      <c r="B485" s="10" t="s">
        <v>635</v>
      </c>
      <c r="C485" s="10"/>
      <c r="D485" s="10" t="s">
        <v>383</v>
      </c>
      <c r="E485" s="10" t="s">
        <v>636</v>
      </c>
      <c r="F485" s="10">
        <v>1</v>
      </c>
      <c r="G485" s="10" t="s">
        <v>39</v>
      </c>
      <c r="H485" s="10">
        <v>35000</v>
      </c>
      <c r="I485" s="10">
        <f t="shared" si="60"/>
        <v>35000</v>
      </c>
      <c r="J485" s="29" t="s">
        <v>110</v>
      </c>
      <c r="K485" s="10"/>
      <c r="L485" s="10"/>
      <c r="M485" s="12">
        <f t="shared" si="53"/>
        <v>0</v>
      </c>
      <c r="N485" s="12"/>
      <c r="O485" s="12"/>
      <c r="P485" s="12">
        <f t="shared" si="54"/>
        <v>0</v>
      </c>
      <c r="Q485" s="12"/>
      <c r="R485" s="12"/>
      <c r="S485" s="12">
        <f t="shared" si="55"/>
        <v>35000</v>
      </c>
      <c r="T485" s="12">
        <v>35000</v>
      </c>
      <c r="U485" s="12"/>
      <c r="V485" s="12">
        <f t="shared" si="56"/>
        <v>0</v>
      </c>
      <c r="W485" s="12"/>
      <c r="X485" s="12"/>
      <c r="Y485" s="12">
        <f t="shared" si="57"/>
        <v>0</v>
      </c>
      <c r="Z485" s="12"/>
      <c r="AA485" s="12"/>
      <c r="AB485" s="13">
        <f t="shared" si="61"/>
        <v>0</v>
      </c>
      <c r="AC485" s="14">
        <v>46095</v>
      </c>
    </row>
    <row r="486" spans="1:29" ht="15.75" x14ac:dyDescent="0.25">
      <c r="A486" s="65">
        <v>46095</v>
      </c>
      <c r="B486" s="10" t="s">
        <v>635</v>
      </c>
      <c r="C486" s="10"/>
      <c r="D486" s="10" t="s">
        <v>383</v>
      </c>
      <c r="E486" s="10" t="s">
        <v>134</v>
      </c>
      <c r="F486" s="10">
        <v>2</v>
      </c>
      <c r="G486" s="10" t="s">
        <v>39</v>
      </c>
      <c r="H486" s="10">
        <v>75000</v>
      </c>
      <c r="I486" s="10">
        <f t="shared" si="60"/>
        <v>150000</v>
      </c>
      <c r="J486" s="29" t="s">
        <v>110</v>
      </c>
      <c r="K486" s="10"/>
      <c r="L486" s="10"/>
      <c r="M486" s="12">
        <f t="shared" si="53"/>
        <v>0</v>
      </c>
      <c r="N486" s="12"/>
      <c r="O486" s="12"/>
      <c r="P486" s="12">
        <f t="shared" si="54"/>
        <v>0</v>
      </c>
      <c r="Q486" s="12"/>
      <c r="R486" s="12"/>
      <c r="S486" s="12">
        <f t="shared" si="55"/>
        <v>150000</v>
      </c>
      <c r="T486" s="12">
        <v>150000</v>
      </c>
      <c r="U486" s="12"/>
      <c r="V486" s="12">
        <f t="shared" si="56"/>
        <v>0</v>
      </c>
      <c r="W486" s="12"/>
      <c r="X486" s="12"/>
      <c r="Y486" s="12">
        <f t="shared" si="57"/>
        <v>0</v>
      </c>
      <c r="Z486" s="12"/>
      <c r="AA486" s="12"/>
      <c r="AB486" s="13">
        <f t="shared" si="61"/>
        <v>0</v>
      </c>
      <c r="AC486" s="14">
        <v>46095</v>
      </c>
    </row>
    <row r="487" spans="1:29" ht="15.75" x14ac:dyDescent="0.25">
      <c r="A487" s="65">
        <v>46095</v>
      </c>
      <c r="B487" s="10" t="s">
        <v>635</v>
      </c>
      <c r="C487" s="10"/>
      <c r="D487" s="10" t="s">
        <v>383</v>
      </c>
      <c r="E487" s="10" t="s">
        <v>112</v>
      </c>
      <c r="F487" s="10">
        <v>2</v>
      </c>
      <c r="G487" s="10" t="s">
        <v>39</v>
      </c>
      <c r="H487" s="10">
        <v>95000</v>
      </c>
      <c r="I487" s="10">
        <f t="shared" si="60"/>
        <v>190000</v>
      </c>
      <c r="J487" s="29" t="s">
        <v>110</v>
      </c>
      <c r="K487" s="10"/>
      <c r="L487" s="10"/>
      <c r="M487" s="12">
        <f t="shared" si="53"/>
        <v>0</v>
      </c>
      <c r="N487" s="12"/>
      <c r="O487" s="12"/>
      <c r="P487" s="12">
        <f t="shared" si="54"/>
        <v>0</v>
      </c>
      <c r="Q487" s="12"/>
      <c r="R487" s="12"/>
      <c r="S487" s="12">
        <f t="shared" si="55"/>
        <v>190000</v>
      </c>
      <c r="T487" s="12">
        <v>190000</v>
      </c>
      <c r="U487" s="12"/>
      <c r="V487" s="12">
        <f t="shared" si="56"/>
        <v>0</v>
      </c>
      <c r="W487" s="12"/>
      <c r="X487" s="12"/>
      <c r="Y487" s="12">
        <f t="shared" si="57"/>
        <v>0</v>
      </c>
      <c r="Z487" s="12"/>
      <c r="AA487" s="12"/>
      <c r="AB487" s="13">
        <f t="shared" si="61"/>
        <v>0</v>
      </c>
      <c r="AC487" s="14">
        <v>46095</v>
      </c>
    </row>
    <row r="488" spans="1:29" ht="15.75" x14ac:dyDescent="0.25">
      <c r="A488" s="65">
        <v>46095</v>
      </c>
      <c r="B488" s="10" t="s">
        <v>127</v>
      </c>
      <c r="C488" s="10"/>
      <c r="D488" s="10" t="s">
        <v>383</v>
      </c>
      <c r="E488" s="10" t="s">
        <v>65</v>
      </c>
      <c r="F488" s="10">
        <v>10400</v>
      </c>
      <c r="G488" s="10" t="s">
        <v>26</v>
      </c>
      <c r="H488" s="10">
        <v>3900</v>
      </c>
      <c r="I488" s="10">
        <f t="shared" si="60"/>
        <v>40560000</v>
      </c>
      <c r="J488" s="52" t="s">
        <v>90</v>
      </c>
      <c r="K488" s="10" t="s">
        <v>637</v>
      </c>
      <c r="L488" s="10"/>
      <c r="M488" s="12">
        <f t="shared" si="53"/>
        <v>0</v>
      </c>
      <c r="N488" s="12"/>
      <c r="O488" s="12"/>
      <c r="P488" s="12">
        <f t="shared" si="54"/>
        <v>0</v>
      </c>
      <c r="Q488" s="12"/>
      <c r="R488" s="12"/>
      <c r="S488" s="12">
        <f t="shared" si="55"/>
        <v>0</v>
      </c>
      <c r="T488" s="12"/>
      <c r="U488" s="12"/>
      <c r="V488" s="12">
        <f t="shared" si="56"/>
        <v>0</v>
      </c>
      <c r="W488" s="12"/>
      <c r="X488" s="12"/>
      <c r="Y488" s="12">
        <f t="shared" si="57"/>
        <v>0</v>
      </c>
      <c r="Z488" s="12"/>
      <c r="AA488" s="12"/>
      <c r="AB488" s="13">
        <f t="shared" si="61"/>
        <v>40560000</v>
      </c>
      <c r="AC488" s="14"/>
    </row>
    <row r="489" spans="1:29" ht="15.75" x14ac:dyDescent="0.25">
      <c r="A489" s="65">
        <v>46095</v>
      </c>
      <c r="B489" s="10" t="s">
        <v>127</v>
      </c>
      <c r="C489" s="10"/>
      <c r="D489" s="10" t="s">
        <v>383</v>
      </c>
      <c r="E489" s="10" t="s">
        <v>129</v>
      </c>
      <c r="F489" s="10">
        <v>5200</v>
      </c>
      <c r="G489" s="10" t="s">
        <v>26</v>
      </c>
      <c r="H489" s="10">
        <v>3900</v>
      </c>
      <c r="I489" s="10">
        <f t="shared" si="60"/>
        <v>20280000</v>
      </c>
      <c r="J489" s="52" t="s">
        <v>90</v>
      </c>
      <c r="K489" s="10" t="s">
        <v>637</v>
      </c>
      <c r="L489" s="10"/>
      <c r="M489" s="12">
        <f t="shared" si="53"/>
        <v>0</v>
      </c>
      <c r="N489" s="12"/>
      <c r="O489" s="12"/>
      <c r="P489" s="12">
        <f t="shared" si="54"/>
        <v>0</v>
      </c>
      <c r="Q489" s="12"/>
      <c r="R489" s="12"/>
      <c r="S489" s="12">
        <f t="shared" si="55"/>
        <v>0</v>
      </c>
      <c r="T489" s="12"/>
      <c r="U489" s="12"/>
      <c r="V489" s="12">
        <f t="shared" si="56"/>
        <v>0</v>
      </c>
      <c r="W489" s="12"/>
      <c r="X489" s="12"/>
      <c r="Y489" s="12">
        <f t="shared" si="57"/>
        <v>0</v>
      </c>
      <c r="Z489" s="12"/>
      <c r="AA489" s="12"/>
      <c r="AB489" s="13">
        <f t="shared" si="61"/>
        <v>20280000</v>
      </c>
      <c r="AC489" s="14"/>
    </row>
    <row r="490" spans="1:29" ht="15.75" x14ac:dyDescent="0.25">
      <c r="A490" s="65">
        <v>46095</v>
      </c>
      <c r="B490" s="10" t="s">
        <v>127</v>
      </c>
      <c r="C490" s="10"/>
      <c r="D490" s="10" t="s">
        <v>383</v>
      </c>
      <c r="E490" s="10" t="s">
        <v>114</v>
      </c>
      <c r="F490" s="10">
        <v>40</v>
      </c>
      <c r="G490" s="10" t="s">
        <v>67</v>
      </c>
      <c r="H490" s="10">
        <v>50000</v>
      </c>
      <c r="I490" s="10">
        <f t="shared" si="60"/>
        <v>2000000</v>
      </c>
      <c r="J490" s="29" t="s">
        <v>110</v>
      </c>
      <c r="K490" s="10" t="s">
        <v>637</v>
      </c>
      <c r="L490" s="10" t="s">
        <v>654</v>
      </c>
      <c r="M490" s="12">
        <f t="shared" si="53"/>
        <v>0</v>
      </c>
      <c r="N490" s="12"/>
      <c r="O490" s="12"/>
      <c r="P490" s="12">
        <f t="shared" si="54"/>
        <v>2000000</v>
      </c>
      <c r="Q490" s="12">
        <v>2000000</v>
      </c>
      <c r="R490" s="12"/>
      <c r="S490" s="12">
        <f t="shared" si="55"/>
        <v>0</v>
      </c>
      <c r="T490" s="12"/>
      <c r="U490" s="12"/>
      <c r="V490" s="12">
        <f t="shared" si="56"/>
        <v>0</v>
      </c>
      <c r="W490" s="12"/>
      <c r="X490" s="12"/>
      <c r="Y490" s="12">
        <f t="shared" si="57"/>
        <v>0</v>
      </c>
      <c r="Z490" s="12"/>
      <c r="AA490" s="12"/>
      <c r="AB490" s="13">
        <f t="shared" si="61"/>
        <v>0</v>
      </c>
      <c r="AC490" s="14">
        <v>46099</v>
      </c>
    </row>
    <row r="491" spans="1:29" ht="15.75" x14ac:dyDescent="0.25">
      <c r="A491" s="65">
        <v>46095</v>
      </c>
      <c r="B491" s="10" t="s">
        <v>127</v>
      </c>
      <c r="C491" s="10"/>
      <c r="D491" s="10" t="s">
        <v>383</v>
      </c>
      <c r="E491" s="10" t="s">
        <v>130</v>
      </c>
      <c r="F491" s="10">
        <v>20</v>
      </c>
      <c r="G491" s="10" t="s">
        <v>67</v>
      </c>
      <c r="H491" s="10">
        <v>50000</v>
      </c>
      <c r="I491" s="10">
        <f t="shared" si="60"/>
        <v>1000000</v>
      </c>
      <c r="J491" s="29" t="s">
        <v>110</v>
      </c>
      <c r="K491" s="10" t="s">
        <v>637</v>
      </c>
      <c r="L491" s="10" t="s">
        <v>654</v>
      </c>
      <c r="M491" s="12">
        <f t="shared" si="53"/>
        <v>0</v>
      </c>
      <c r="N491" s="12"/>
      <c r="O491" s="12"/>
      <c r="P491" s="12">
        <f t="shared" si="54"/>
        <v>1000000</v>
      </c>
      <c r="Q491" s="12">
        <v>1000000</v>
      </c>
      <c r="R491" s="12"/>
      <c r="S491" s="12">
        <f t="shared" si="55"/>
        <v>0</v>
      </c>
      <c r="T491" s="12"/>
      <c r="U491" s="12"/>
      <c r="V491" s="12">
        <f t="shared" si="56"/>
        <v>0</v>
      </c>
      <c r="W491" s="12"/>
      <c r="X491" s="12"/>
      <c r="Y491" s="12">
        <f t="shared" si="57"/>
        <v>0</v>
      </c>
      <c r="Z491" s="12"/>
      <c r="AA491" s="12"/>
      <c r="AB491" s="13">
        <f t="shared" si="61"/>
        <v>0</v>
      </c>
      <c r="AC491" s="14">
        <v>46099</v>
      </c>
    </row>
    <row r="492" spans="1:29" ht="15.75" x14ac:dyDescent="0.25">
      <c r="A492" s="65">
        <v>46095</v>
      </c>
      <c r="B492" s="10" t="s">
        <v>127</v>
      </c>
      <c r="C492" s="10"/>
      <c r="D492" s="10" t="s">
        <v>383</v>
      </c>
      <c r="E492" s="10" t="s">
        <v>131</v>
      </c>
      <c r="F492" s="10">
        <v>25</v>
      </c>
      <c r="G492" s="10" t="s">
        <v>36</v>
      </c>
      <c r="H492" s="10">
        <v>125000</v>
      </c>
      <c r="I492" s="10">
        <f t="shared" si="60"/>
        <v>3125000</v>
      </c>
      <c r="J492" s="52" t="s">
        <v>90</v>
      </c>
      <c r="K492" s="10" t="s">
        <v>637</v>
      </c>
      <c r="L492" s="10"/>
      <c r="M492" s="12">
        <f t="shared" si="53"/>
        <v>0</v>
      </c>
      <c r="N492" s="12"/>
      <c r="O492" s="12"/>
      <c r="P492" s="12">
        <f t="shared" si="54"/>
        <v>0</v>
      </c>
      <c r="Q492" s="12"/>
      <c r="R492" s="12"/>
      <c r="S492" s="12">
        <f t="shared" si="55"/>
        <v>0</v>
      </c>
      <c r="T492" s="12"/>
      <c r="U492" s="12"/>
      <c r="V492" s="12">
        <f t="shared" si="56"/>
        <v>0</v>
      </c>
      <c r="W492" s="12"/>
      <c r="X492" s="12"/>
      <c r="Y492" s="12">
        <f t="shared" si="57"/>
        <v>0</v>
      </c>
      <c r="Z492" s="12"/>
      <c r="AA492" s="12"/>
      <c r="AB492" s="13">
        <f t="shared" si="61"/>
        <v>3125000</v>
      </c>
      <c r="AC492" s="14"/>
    </row>
    <row r="493" spans="1:29" ht="15.75" x14ac:dyDescent="0.25">
      <c r="A493" s="65">
        <v>46095</v>
      </c>
      <c r="B493" s="10" t="s">
        <v>127</v>
      </c>
      <c r="C493" s="10"/>
      <c r="D493" s="10" t="s">
        <v>383</v>
      </c>
      <c r="E493" s="10" t="s">
        <v>116</v>
      </c>
      <c r="F493" s="10">
        <v>12</v>
      </c>
      <c r="G493" s="10" t="s">
        <v>67</v>
      </c>
      <c r="H493" s="10">
        <v>65000</v>
      </c>
      <c r="I493" s="10">
        <f t="shared" si="60"/>
        <v>780000</v>
      </c>
      <c r="J493" s="52" t="s">
        <v>90</v>
      </c>
      <c r="K493" s="10" t="s">
        <v>637</v>
      </c>
      <c r="L493" s="10"/>
      <c r="M493" s="12">
        <f t="shared" si="53"/>
        <v>0</v>
      </c>
      <c r="N493" s="12"/>
      <c r="O493" s="12"/>
      <c r="P493" s="12">
        <f t="shared" si="54"/>
        <v>0</v>
      </c>
      <c r="Q493" s="12"/>
      <c r="R493" s="12"/>
      <c r="S493" s="12">
        <f t="shared" si="55"/>
        <v>0</v>
      </c>
      <c r="T493" s="12"/>
      <c r="U493" s="12"/>
      <c r="V493" s="12">
        <f t="shared" si="56"/>
        <v>0</v>
      </c>
      <c r="W493" s="12"/>
      <c r="X493" s="12"/>
      <c r="Y493" s="12">
        <f t="shared" si="57"/>
        <v>0</v>
      </c>
      <c r="Z493" s="12"/>
      <c r="AA493" s="12"/>
      <c r="AB493" s="13">
        <f t="shared" si="61"/>
        <v>780000</v>
      </c>
      <c r="AC493" s="14"/>
    </row>
    <row r="494" spans="1:29" ht="15.75" x14ac:dyDescent="0.25">
      <c r="A494" s="65">
        <v>46095</v>
      </c>
      <c r="B494" s="10" t="s">
        <v>127</v>
      </c>
      <c r="C494" s="10"/>
      <c r="D494" s="10" t="s">
        <v>383</v>
      </c>
      <c r="E494" s="10" t="s">
        <v>313</v>
      </c>
      <c r="F494" s="120">
        <v>1000</v>
      </c>
      <c r="G494" s="10" t="s">
        <v>26</v>
      </c>
      <c r="H494" s="10">
        <v>5400</v>
      </c>
      <c r="I494" s="10">
        <f t="shared" si="60"/>
        <v>5400000</v>
      </c>
      <c r="J494" s="29" t="s">
        <v>110</v>
      </c>
      <c r="K494" s="10" t="s">
        <v>637</v>
      </c>
      <c r="L494" s="10" t="s">
        <v>654</v>
      </c>
      <c r="M494" s="12">
        <f t="shared" si="53"/>
        <v>0</v>
      </c>
      <c r="N494" s="12"/>
      <c r="O494" s="12"/>
      <c r="P494" s="12">
        <f t="shared" si="54"/>
        <v>5400000</v>
      </c>
      <c r="Q494" s="12">
        <v>5400000</v>
      </c>
      <c r="R494" s="12"/>
      <c r="S494" s="12">
        <f t="shared" si="55"/>
        <v>0</v>
      </c>
      <c r="T494" s="12"/>
      <c r="U494" s="12"/>
      <c r="V494" s="12">
        <f t="shared" si="56"/>
        <v>0</v>
      </c>
      <c r="W494" s="12"/>
      <c r="X494" s="12"/>
      <c r="Y494" s="12">
        <f t="shared" si="57"/>
        <v>0</v>
      </c>
      <c r="Z494" s="12"/>
      <c r="AA494" s="12"/>
      <c r="AB494" s="13">
        <f t="shared" si="61"/>
        <v>0</v>
      </c>
      <c r="AC494" s="14">
        <v>46099</v>
      </c>
    </row>
    <row r="495" spans="1:29" ht="15.75" x14ac:dyDescent="0.25">
      <c r="A495" s="65">
        <v>46095</v>
      </c>
      <c r="B495" s="10" t="s">
        <v>109</v>
      </c>
      <c r="C495" s="10"/>
      <c r="D495" s="10" t="s">
        <v>383</v>
      </c>
      <c r="E495" s="10" t="s">
        <v>141</v>
      </c>
      <c r="F495" s="10">
        <v>2000</v>
      </c>
      <c r="G495" s="10" t="s">
        <v>26</v>
      </c>
      <c r="H495" s="10">
        <v>2000</v>
      </c>
      <c r="I495" s="10">
        <f t="shared" si="60"/>
        <v>4000000</v>
      </c>
      <c r="J495" s="84" t="s">
        <v>113</v>
      </c>
      <c r="K495" s="10"/>
      <c r="L495" s="10"/>
      <c r="M495" s="12">
        <f t="shared" si="53"/>
        <v>4000000</v>
      </c>
      <c r="N495" s="12">
        <v>4000000</v>
      </c>
      <c r="O495" s="12"/>
      <c r="P495" s="12">
        <f t="shared" si="54"/>
        <v>0</v>
      </c>
      <c r="Q495" s="12"/>
      <c r="R495" s="12"/>
      <c r="S495" s="12">
        <f t="shared" si="55"/>
        <v>0</v>
      </c>
      <c r="T495" s="12"/>
      <c r="U495" s="12"/>
      <c r="V495" s="12">
        <f t="shared" si="56"/>
        <v>0</v>
      </c>
      <c r="W495" s="12"/>
      <c r="X495" s="12"/>
      <c r="Y495" s="12">
        <f t="shared" si="57"/>
        <v>0</v>
      </c>
      <c r="Z495" s="12"/>
      <c r="AA495" s="12"/>
      <c r="AB495" s="13">
        <f t="shared" si="61"/>
        <v>0</v>
      </c>
      <c r="AC495" s="14">
        <v>46095</v>
      </c>
    </row>
    <row r="496" spans="1:29" ht="15.75" x14ac:dyDescent="0.25">
      <c r="A496" s="28">
        <v>46095</v>
      </c>
      <c r="B496" s="10" t="s">
        <v>449</v>
      </c>
      <c r="C496" s="10"/>
      <c r="D496" s="10" t="s">
        <v>383</v>
      </c>
      <c r="E496" s="10" t="s">
        <v>130</v>
      </c>
      <c r="F496" s="10">
        <v>10</v>
      </c>
      <c r="G496" s="10" t="s">
        <v>67</v>
      </c>
      <c r="H496" s="10">
        <v>50000</v>
      </c>
      <c r="I496" s="10">
        <f t="shared" si="60"/>
        <v>500000</v>
      </c>
      <c r="J496" s="29" t="s">
        <v>113</v>
      </c>
      <c r="K496" s="10"/>
      <c r="L496" s="10"/>
      <c r="M496" s="12">
        <f t="shared" si="53"/>
        <v>500000</v>
      </c>
      <c r="N496" s="12">
        <v>500000</v>
      </c>
      <c r="O496" s="12"/>
      <c r="P496" s="12">
        <f t="shared" si="54"/>
        <v>0</v>
      </c>
      <c r="Q496" s="12"/>
      <c r="R496" s="12"/>
      <c r="S496" s="12">
        <f t="shared" si="55"/>
        <v>0</v>
      </c>
      <c r="T496" s="12"/>
      <c r="U496" s="12"/>
      <c r="V496" s="12">
        <f t="shared" si="56"/>
        <v>0</v>
      </c>
      <c r="W496" s="12"/>
      <c r="X496" s="12"/>
      <c r="Y496" s="12">
        <f t="shared" si="57"/>
        <v>0</v>
      </c>
      <c r="Z496" s="12"/>
      <c r="AA496" s="12"/>
      <c r="AB496" s="13">
        <f t="shared" si="61"/>
        <v>0</v>
      </c>
      <c r="AC496" s="14">
        <v>46095</v>
      </c>
    </row>
    <row r="497" spans="1:29" ht="15.75" x14ac:dyDescent="0.25">
      <c r="A497" s="65">
        <v>46095</v>
      </c>
      <c r="B497" s="66" t="s">
        <v>365</v>
      </c>
      <c r="C497" s="10"/>
      <c r="D497" s="10" t="s">
        <v>383</v>
      </c>
      <c r="E497" s="10" t="s">
        <v>112</v>
      </c>
      <c r="F497" s="10">
        <v>12</v>
      </c>
      <c r="G497" s="10" t="s">
        <v>26</v>
      </c>
      <c r="H497" s="10">
        <v>95000</v>
      </c>
      <c r="I497" s="10">
        <f t="shared" si="60"/>
        <v>1140000</v>
      </c>
      <c r="J497" s="29" t="s">
        <v>110</v>
      </c>
      <c r="K497" s="10"/>
      <c r="L497" s="10"/>
      <c r="M497" s="12">
        <f t="shared" si="53"/>
        <v>0</v>
      </c>
      <c r="N497" s="12"/>
      <c r="O497" s="12"/>
      <c r="P497" s="12">
        <f t="shared" si="54"/>
        <v>0</v>
      </c>
      <c r="Q497" s="12"/>
      <c r="R497" s="12"/>
      <c r="S497" s="12">
        <f t="shared" si="55"/>
        <v>1140000</v>
      </c>
      <c r="T497" s="12">
        <v>1140000</v>
      </c>
      <c r="U497" s="12"/>
      <c r="V497" s="12">
        <f t="shared" si="56"/>
        <v>0</v>
      </c>
      <c r="W497" s="12"/>
      <c r="X497" s="12"/>
      <c r="Y497" s="12">
        <f t="shared" si="57"/>
        <v>0</v>
      </c>
      <c r="Z497" s="12"/>
      <c r="AA497" s="12"/>
      <c r="AB497" s="13">
        <f t="shared" si="61"/>
        <v>0</v>
      </c>
      <c r="AC497" s="14">
        <v>46095</v>
      </c>
    </row>
    <row r="498" spans="1:29" ht="15.75" x14ac:dyDescent="0.25">
      <c r="A498" s="28">
        <v>46095</v>
      </c>
      <c r="B498" s="10" t="s">
        <v>272</v>
      </c>
      <c r="C498" s="10"/>
      <c r="D498" s="10"/>
      <c r="E498" s="10" t="s">
        <v>436</v>
      </c>
      <c r="F498" s="10">
        <v>33.1</v>
      </c>
      <c r="G498" s="10" t="s">
        <v>36</v>
      </c>
      <c r="H498" s="10">
        <v>43000</v>
      </c>
      <c r="I498" s="10">
        <f t="shared" si="60"/>
        <v>1423300</v>
      </c>
      <c r="J498" s="115" t="s">
        <v>90</v>
      </c>
      <c r="K498" s="10"/>
      <c r="L498" s="10"/>
      <c r="M498" s="12">
        <f t="shared" si="53"/>
        <v>0</v>
      </c>
      <c r="N498" s="12"/>
      <c r="O498" s="12"/>
      <c r="P498" s="12">
        <f t="shared" si="54"/>
        <v>0</v>
      </c>
      <c r="Q498" s="12"/>
      <c r="R498" s="12"/>
      <c r="S498" s="12">
        <f t="shared" si="55"/>
        <v>0</v>
      </c>
      <c r="T498" s="12"/>
      <c r="U498" s="12"/>
      <c r="V498" s="12">
        <f t="shared" si="56"/>
        <v>0</v>
      </c>
      <c r="W498" s="12"/>
      <c r="X498" s="12"/>
      <c r="Y498" s="12">
        <f t="shared" si="57"/>
        <v>0</v>
      </c>
      <c r="Z498" s="12"/>
      <c r="AA498" s="12"/>
      <c r="AB498" s="13">
        <f t="shared" si="61"/>
        <v>1423300</v>
      </c>
      <c r="AC498" s="14"/>
    </row>
    <row r="499" spans="1:29" ht="15.75" x14ac:dyDescent="0.25">
      <c r="A499" s="65">
        <v>46095</v>
      </c>
      <c r="B499" s="66" t="s">
        <v>272</v>
      </c>
      <c r="C499" s="66"/>
      <c r="D499" s="66"/>
      <c r="E499" s="66" t="s">
        <v>315</v>
      </c>
      <c r="F499" s="66">
        <v>27</v>
      </c>
      <c r="G499" s="66" t="s">
        <v>36</v>
      </c>
      <c r="H499" s="66">
        <v>43000</v>
      </c>
      <c r="I499" s="10">
        <f t="shared" si="60"/>
        <v>1161000</v>
      </c>
      <c r="J499" s="115" t="s">
        <v>90</v>
      </c>
      <c r="K499" s="66"/>
      <c r="L499" s="10"/>
      <c r="M499" s="12">
        <f t="shared" si="53"/>
        <v>0</v>
      </c>
      <c r="N499" s="12"/>
      <c r="O499" s="12"/>
      <c r="P499" s="12">
        <f t="shared" si="54"/>
        <v>0</v>
      </c>
      <c r="Q499" s="12"/>
      <c r="R499" s="12"/>
      <c r="S499" s="12">
        <f t="shared" si="55"/>
        <v>0</v>
      </c>
      <c r="T499" s="12"/>
      <c r="U499" s="12"/>
      <c r="V499" s="12">
        <f t="shared" si="56"/>
        <v>0</v>
      </c>
      <c r="W499" s="12"/>
      <c r="X499" s="12"/>
      <c r="Y499" s="12">
        <f t="shared" si="57"/>
        <v>0</v>
      </c>
      <c r="Z499" s="12"/>
      <c r="AA499" s="12"/>
      <c r="AB499" s="13">
        <f t="shared" si="61"/>
        <v>1161000</v>
      </c>
      <c r="AC499" s="14"/>
    </row>
    <row r="500" spans="1:29" s="148" customFormat="1" ht="16.5" thickBot="1" x14ac:dyDescent="0.3">
      <c r="A500" s="65">
        <v>46095</v>
      </c>
      <c r="B500" s="66" t="s">
        <v>272</v>
      </c>
      <c r="C500" s="10"/>
      <c r="D500" s="10"/>
      <c r="E500" s="10" t="s">
        <v>443</v>
      </c>
      <c r="F500" s="10">
        <v>27</v>
      </c>
      <c r="G500" s="10" t="s">
        <v>36</v>
      </c>
      <c r="H500" s="10">
        <v>43000</v>
      </c>
      <c r="I500" s="10">
        <f t="shared" si="60"/>
        <v>1161000</v>
      </c>
      <c r="J500" s="115" t="s">
        <v>90</v>
      </c>
      <c r="K500" s="10"/>
      <c r="L500" s="10"/>
      <c r="M500" s="12">
        <f t="shared" si="53"/>
        <v>0</v>
      </c>
      <c r="N500" s="12"/>
      <c r="O500" s="12"/>
      <c r="P500" s="12">
        <f t="shared" si="54"/>
        <v>0</v>
      </c>
      <c r="Q500" s="12"/>
      <c r="R500" s="12"/>
      <c r="S500" s="12">
        <f t="shared" si="55"/>
        <v>0</v>
      </c>
      <c r="T500" s="12"/>
      <c r="U500" s="12"/>
      <c r="V500" s="12">
        <f t="shared" si="56"/>
        <v>0</v>
      </c>
      <c r="W500" s="12"/>
      <c r="X500" s="12"/>
      <c r="Y500" s="12">
        <f t="shared" si="57"/>
        <v>0</v>
      </c>
      <c r="Z500" s="12"/>
      <c r="AA500" s="12"/>
      <c r="AB500" s="13">
        <f t="shared" si="61"/>
        <v>1161000</v>
      </c>
      <c r="AC500" s="14"/>
    </row>
    <row r="501" spans="1:29" ht="16.5" thickBot="1" x14ac:dyDescent="0.3">
      <c r="A501" s="53">
        <v>46095</v>
      </c>
      <c r="B501" s="31" t="s">
        <v>349</v>
      </c>
      <c r="C501" s="31"/>
      <c r="D501" s="31" t="s">
        <v>383</v>
      </c>
      <c r="E501" s="31" t="s">
        <v>276</v>
      </c>
      <c r="F501" s="31">
        <v>25</v>
      </c>
      <c r="G501" s="31" t="s">
        <v>36</v>
      </c>
      <c r="H501" s="31">
        <v>55000</v>
      </c>
      <c r="I501" s="31">
        <f t="shared" si="60"/>
        <v>1375000</v>
      </c>
      <c r="J501" s="51" t="s">
        <v>110</v>
      </c>
      <c r="K501" s="31"/>
      <c r="L501" s="31"/>
      <c r="M501" s="34">
        <f t="shared" si="53"/>
        <v>0</v>
      </c>
      <c r="N501" s="34"/>
      <c r="O501" s="34"/>
      <c r="P501" s="34">
        <f t="shared" si="54"/>
        <v>0</v>
      </c>
      <c r="Q501" s="34"/>
      <c r="R501" s="34"/>
      <c r="S501" s="34">
        <f t="shared" si="55"/>
        <v>1375000</v>
      </c>
      <c r="T501" s="34">
        <v>1375000</v>
      </c>
      <c r="U501" s="34"/>
      <c r="V501" s="34">
        <f t="shared" si="56"/>
        <v>0</v>
      </c>
      <c r="W501" s="34"/>
      <c r="X501" s="34"/>
      <c r="Y501" s="34">
        <f t="shared" si="57"/>
        <v>0</v>
      </c>
      <c r="Z501" s="34"/>
      <c r="AA501" s="34"/>
      <c r="AB501" s="35">
        <f t="shared" si="61"/>
        <v>0</v>
      </c>
      <c r="AC501" s="36">
        <v>46095</v>
      </c>
    </row>
    <row r="502" spans="1:29" ht="15.75" x14ac:dyDescent="0.25">
      <c r="A502" s="65">
        <v>46097</v>
      </c>
      <c r="B502" s="66" t="s">
        <v>639</v>
      </c>
      <c r="C502" s="66"/>
      <c r="D502" s="66" t="s">
        <v>195</v>
      </c>
      <c r="E502" s="66" t="s">
        <v>379</v>
      </c>
      <c r="F502" s="66">
        <v>5200</v>
      </c>
      <c r="G502" s="66" t="s">
        <v>26</v>
      </c>
      <c r="H502" s="66">
        <v>1000</v>
      </c>
      <c r="I502" s="10">
        <f t="shared" si="60"/>
        <v>5200000</v>
      </c>
      <c r="J502" s="29" t="s">
        <v>110</v>
      </c>
      <c r="K502" s="66"/>
      <c r="L502" s="10" t="s">
        <v>644</v>
      </c>
      <c r="M502" s="12">
        <f t="shared" si="53"/>
        <v>0</v>
      </c>
      <c r="N502" s="12"/>
      <c r="O502" s="12"/>
      <c r="P502" s="12">
        <f t="shared" si="54"/>
        <v>5200000</v>
      </c>
      <c r="Q502" s="12">
        <v>5200000</v>
      </c>
      <c r="R502" s="12"/>
      <c r="S502" s="12">
        <f t="shared" si="55"/>
        <v>0</v>
      </c>
      <c r="T502" s="12"/>
      <c r="U502" s="12"/>
      <c r="V502" s="12">
        <f t="shared" si="56"/>
        <v>0</v>
      </c>
      <c r="W502" s="12"/>
      <c r="X502" s="12"/>
      <c r="Y502" s="12">
        <f t="shared" si="57"/>
        <v>0</v>
      </c>
      <c r="Z502" s="12"/>
      <c r="AA502" s="12"/>
      <c r="AB502" s="13">
        <f>C502+I502-M502-P502-V502-Y502-S502</f>
        <v>0</v>
      </c>
      <c r="AC502" s="14">
        <v>46097</v>
      </c>
    </row>
    <row r="503" spans="1:29" ht="15.75" x14ac:dyDescent="0.25">
      <c r="A503" s="65">
        <v>46097</v>
      </c>
      <c r="B503" s="10" t="s">
        <v>640</v>
      </c>
      <c r="C503" s="10"/>
      <c r="D503" s="66" t="s">
        <v>195</v>
      </c>
      <c r="E503" s="10" t="s">
        <v>136</v>
      </c>
      <c r="F503" s="94">
        <v>23.3</v>
      </c>
      <c r="G503" s="10" t="s">
        <v>36</v>
      </c>
      <c r="H503" s="10">
        <v>43000</v>
      </c>
      <c r="I503" s="10">
        <f t="shared" si="60"/>
        <v>1001900</v>
      </c>
      <c r="J503" s="29" t="s">
        <v>110</v>
      </c>
      <c r="K503" s="10"/>
      <c r="L503" s="10" t="s">
        <v>642</v>
      </c>
      <c r="M503" s="12">
        <f t="shared" si="53"/>
        <v>0</v>
      </c>
      <c r="N503" s="12"/>
      <c r="O503" s="12"/>
      <c r="P503" s="12">
        <f t="shared" si="54"/>
        <v>1001900</v>
      </c>
      <c r="Q503" s="12">
        <v>1001900</v>
      </c>
      <c r="R503" s="12"/>
      <c r="S503" s="12">
        <f t="shared" si="55"/>
        <v>0</v>
      </c>
      <c r="T503" s="12"/>
      <c r="U503" s="12"/>
      <c r="V503" s="12">
        <f t="shared" si="56"/>
        <v>0</v>
      </c>
      <c r="W503" s="12"/>
      <c r="X503" s="12"/>
      <c r="Y503" s="12">
        <f t="shared" si="57"/>
        <v>0</v>
      </c>
      <c r="Z503" s="12"/>
      <c r="AA503" s="12"/>
      <c r="AB503" s="13">
        <f t="shared" ref="AB503:AB519" si="62">C503+I503-M503-P503-V503-Y503-S503</f>
        <v>0</v>
      </c>
      <c r="AC503" s="14">
        <v>46097</v>
      </c>
    </row>
    <row r="504" spans="1:29" ht="15.75" x14ac:dyDescent="0.25">
      <c r="A504" s="65">
        <v>46097</v>
      </c>
      <c r="B504" s="10" t="s">
        <v>323</v>
      </c>
      <c r="C504" s="10"/>
      <c r="D504" s="66" t="s">
        <v>195</v>
      </c>
      <c r="E504" s="10" t="s">
        <v>107</v>
      </c>
      <c r="F504" s="10">
        <v>20</v>
      </c>
      <c r="G504" s="10" t="s">
        <v>36</v>
      </c>
      <c r="H504" s="10">
        <v>60000</v>
      </c>
      <c r="I504" s="10">
        <f t="shared" si="60"/>
        <v>1200000</v>
      </c>
      <c r="J504" s="29" t="s">
        <v>110</v>
      </c>
      <c r="K504" s="10"/>
      <c r="L504" s="10"/>
      <c r="M504" s="12">
        <f t="shared" si="53"/>
        <v>0</v>
      </c>
      <c r="N504" s="12"/>
      <c r="O504" s="12"/>
      <c r="P504" s="12">
        <f t="shared" si="54"/>
        <v>0</v>
      </c>
      <c r="Q504" s="12"/>
      <c r="R504" s="12"/>
      <c r="S504" s="12">
        <f t="shared" si="55"/>
        <v>1200000</v>
      </c>
      <c r="T504" s="12">
        <v>1200000</v>
      </c>
      <c r="U504" s="12"/>
      <c r="V504" s="12">
        <f t="shared" si="56"/>
        <v>0</v>
      </c>
      <c r="W504" s="12"/>
      <c r="X504" s="12"/>
      <c r="Y504" s="12">
        <f t="shared" si="57"/>
        <v>0</v>
      </c>
      <c r="Z504" s="12"/>
      <c r="AA504" s="12"/>
      <c r="AB504" s="13">
        <f t="shared" si="62"/>
        <v>0</v>
      </c>
      <c r="AC504" s="14">
        <v>46097</v>
      </c>
    </row>
    <row r="505" spans="1:29" ht="15.75" x14ac:dyDescent="0.25">
      <c r="A505" s="65">
        <v>46097</v>
      </c>
      <c r="B505" s="10" t="s">
        <v>395</v>
      </c>
      <c r="C505" s="10"/>
      <c r="D505" s="66" t="s">
        <v>195</v>
      </c>
      <c r="E505" s="10" t="s">
        <v>104</v>
      </c>
      <c r="F505" s="10">
        <v>400</v>
      </c>
      <c r="G505" s="10" t="s">
        <v>26</v>
      </c>
      <c r="H505" s="10">
        <v>2000</v>
      </c>
      <c r="I505" s="10">
        <f t="shared" si="60"/>
        <v>800000</v>
      </c>
      <c r="J505" s="29" t="s">
        <v>110</v>
      </c>
      <c r="K505" s="10"/>
      <c r="L505" s="10" t="s">
        <v>512</v>
      </c>
      <c r="M505" s="12">
        <f t="shared" si="53"/>
        <v>0</v>
      </c>
      <c r="N505" s="12"/>
      <c r="O505" s="12"/>
      <c r="P505" s="12">
        <f t="shared" si="54"/>
        <v>800000</v>
      </c>
      <c r="Q505" s="12">
        <v>800000</v>
      </c>
      <c r="R505" s="12"/>
      <c r="S505" s="12">
        <f t="shared" si="55"/>
        <v>0</v>
      </c>
      <c r="T505" s="12"/>
      <c r="U505" s="12"/>
      <c r="V505" s="12">
        <f t="shared" si="56"/>
        <v>0</v>
      </c>
      <c r="W505" s="12"/>
      <c r="X505" s="12"/>
      <c r="Y505" s="12">
        <f t="shared" si="57"/>
        <v>0</v>
      </c>
      <c r="Z505" s="12"/>
      <c r="AA505" s="12"/>
      <c r="AB505" s="13">
        <f t="shared" si="62"/>
        <v>0</v>
      </c>
      <c r="AC505" s="14">
        <v>46097</v>
      </c>
    </row>
    <row r="506" spans="1:29" ht="15.75" x14ac:dyDescent="0.25">
      <c r="A506" s="65">
        <v>46097</v>
      </c>
      <c r="B506" s="10" t="s">
        <v>274</v>
      </c>
      <c r="C506" s="10"/>
      <c r="D506" s="66" t="s">
        <v>195</v>
      </c>
      <c r="E506" s="10" t="s">
        <v>129</v>
      </c>
      <c r="F506" s="10">
        <v>1000</v>
      </c>
      <c r="G506" s="10" t="s">
        <v>26</v>
      </c>
      <c r="H506" s="10">
        <v>3800</v>
      </c>
      <c r="I506" s="10">
        <f t="shared" si="60"/>
        <v>3800000</v>
      </c>
      <c r="J506" s="29" t="s">
        <v>113</v>
      </c>
      <c r="K506" s="10"/>
      <c r="L506" s="10"/>
      <c r="M506" s="12">
        <f t="shared" si="53"/>
        <v>3800000</v>
      </c>
      <c r="N506" s="12">
        <v>3800000</v>
      </c>
      <c r="O506" s="12"/>
      <c r="P506" s="12">
        <f t="shared" si="54"/>
        <v>0</v>
      </c>
      <c r="Q506" s="12"/>
      <c r="R506" s="12"/>
      <c r="S506" s="12">
        <f t="shared" si="55"/>
        <v>0</v>
      </c>
      <c r="T506" s="12"/>
      <c r="U506" s="12"/>
      <c r="V506" s="12">
        <f t="shared" si="56"/>
        <v>0</v>
      </c>
      <c r="W506" s="12"/>
      <c r="X506" s="12"/>
      <c r="Y506" s="12">
        <f t="shared" si="57"/>
        <v>0</v>
      </c>
      <c r="Z506" s="12"/>
      <c r="AA506" s="12"/>
      <c r="AB506" s="13">
        <f t="shared" si="62"/>
        <v>0</v>
      </c>
      <c r="AC506" s="14">
        <v>46097</v>
      </c>
    </row>
    <row r="507" spans="1:29" ht="15.75" x14ac:dyDescent="0.25">
      <c r="A507" s="65">
        <v>46097</v>
      </c>
      <c r="B507" s="10" t="s">
        <v>551</v>
      </c>
      <c r="C507" s="10"/>
      <c r="D507" s="66" t="s">
        <v>195</v>
      </c>
      <c r="E507" s="10" t="s">
        <v>129</v>
      </c>
      <c r="F507" s="10">
        <v>1000</v>
      </c>
      <c r="G507" s="10" t="s">
        <v>26</v>
      </c>
      <c r="H507" s="10">
        <v>3800</v>
      </c>
      <c r="I507" s="10">
        <f t="shared" si="60"/>
        <v>3800000</v>
      </c>
      <c r="J507" s="29" t="s">
        <v>113</v>
      </c>
      <c r="K507" s="10"/>
      <c r="L507" s="10"/>
      <c r="M507" s="12">
        <f t="shared" si="53"/>
        <v>3800000</v>
      </c>
      <c r="N507" s="12">
        <v>3800000</v>
      </c>
      <c r="O507" s="12"/>
      <c r="P507" s="12">
        <f t="shared" si="54"/>
        <v>0</v>
      </c>
      <c r="Q507" s="12"/>
      <c r="R507" s="12"/>
      <c r="S507" s="12">
        <f t="shared" si="55"/>
        <v>0</v>
      </c>
      <c r="T507" s="12"/>
      <c r="U507" s="12"/>
      <c r="V507" s="12">
        <f t="shared" si="56"/>
        <v>0</v>
      </c>
      <c r="W507" s="12"/>
      <c r="X507" s="12"/>
      <c r="Y507" s="12">
        <f t="shared" si="57"/>
        <v>0</v>
      </c>
      <c r="Z507" s="12"/>
      <c r="AA507" s="12"/>
      <c r="AB507" s="13">
        <f t="shared" si="62"/>
        <v>0</v>
      </c>
      <c r="AC507" s="14">
        <v>46097</v>
      </c>
    </row>
    <row r="508" spans="1:29" ht="15.75" x14ac:dyDescent="0.25">
      <c r="A508" s="65">
        <v>46097</v>
      </c>
      <c r="B508" s="10" t="s">
        <v>109</v>
      </c>
      <c r="C508" s="10"/>
      <c r="D508" s="66" t="s">
        <v>195</v>
      </c>
      <c r="E508" s="10" t="s">
        <v>141</v>
      </c>
      <c r="F508" s="10">
        <v>1600</v>
      </c>
      <c r="G508" s="10" t="s">
        <v>26</v>
      </c>
      <c r="H508" s="10">
        <v>2000</v>
      </c>
      <c r="I508" s="10">
        <f t="shared" si="60"/>
        <v>3200000</v>
      </c>
      <c r="J508" s="29" t="s">
        <v>113</v>
      </c>
      <c r="K508" s="10"/>
      <c r="L508" s="10"/>
      <c r="M508" s="12">
        <f t="shared" si="53"/>
        <v>3200000</v>
      </c>
      <c r="N508" s="12">
        <v>3200000</v>
      </c>
      <c r="O508" s="12"/>
      <c r="P508" s="12">
        <f t="shared" si="54"/>
        <v>0</v>
      </c>
      <c r="Q508" s="12"/>
      <c r="R508" s="12"/>
      <c r="S508" s="12">
        <f t="shared" si="55"/>
        <v>0</v>
      </c>
      <c r="T508" s="12"/>
      <c r="U508" s="12"/>
      <c r="V508" s="12">
        <f t="shared" si="56"/>
        <v>0</v>
      </c>
      <c r="W508" s="12"/>
      <c r="X508" s="12"/>
      <c r="Y508" s="12">
        <f t="shared" si="57"/>
        <v>0</v>
      </c>
      <c r="Z508" s="12"/>
      <c r="AA508" s="12"/>
      <c r="AB508" s="13">
        <f t="shared" si="62"/>
        <v>0</v>
      </c>
      <c r="AC508" s="14">
        <v>46097</v>
      </c>
    </row>
    <row r="509" spans="1:29" ht="15.75" x14ac:dyDescent="0.25">
      <c r="A509" s="65">
        <v>46097</v>
      </c>
      <c r="B509" s="10" t="s">
        <v>275</v>
      </c>
      <c r="C509" s="10"/>
      <c r="D509" s="10" t="s">
        <v>383</v>
      </c>
      <c r="E509" s="10" t="s">
        <v>371</v>
      </c>
      <c r="F509" s="10">
        <v>10</v>
      </c>
      <c r="G509" s="10" t="s">
        <v>67</v>
      </c>
      <c r="H509" s="10">
        <v>50000</v>
      </c>
      <c r="I509" s="10">
        <f t="shared" si="60"/>
        <v>500000</v>
      </c>
      <c r="J509" s="29" t="s">
        <v>113</v>
      </c>
      <c r="K509" s="10"/>
      <c r="L509" s="10"/>
      <c r="M509" s="12">
        <f t="shared" si="53"/>
        <v>500000</v>
      </c>
      <c r="N509" s="12">
        <v>500000</v>
      </c>
      <c r="O509" s="12"/>
      <c r="P509" s="12">
        <f t="shared" si="54"/>
        <v>0</v>
      </c>
      <c r="Q509" s="12"/>
      <c r="R509" s="12"/>
      <c r="S509" s="12">
        <f t="shared" si="55"/>
        <v>0</v>
      </c>
      <c r="T509" s="12"/>
      <c r="U509" s="12"/>
      <c r="V509" s="12">
        <f t="shared" si="56"/>
        <v>0</v>
      </c>
      <c r="W509" s="12"/>
      <c r="X509" s="12"/>
      <c r="Y509" s="12">
        <f t="shared" si="57"/>
        <v>0</v>
      </c>
      <c r="Z509" s="12"/>
      <c r="AA509" s="12"/>
      <c r="AB509" s="13">
        <f t="shared" si="62"/>
        <v>0</v>
      </c>
      <c r="AC509" s="14">
        <v>46097</v>
      </c>
    </row>
    <row r="510" spans="1:29" ht="15.75" x14ac:dyDescent="0.25">
      <c r="A510" s="65">
        <v>46097</v>
      </c>
      <c r="B510" s="10" t="s">
        <v>275</v>
      </c>
      <c r="C510" s="10"/>
      <c r="D510" s="10" t="s">
        <v>383</v>
      </c>
      <c r="E510" s="10" t="s">
        <v>116</v>
      </c>
      <c r="F510" s="10">
        <v>4</v>
      </c>
      <c r="G510" s="10" t="s">
        <v>67</v>
      </c>
      <c r="H510" s="10">
        <v>65000</v>
      </c>
      <c r="I510" s="10">
        <f t="shared" si="60"/>
        <v>260000</v>
      </c>
      <c r="J510" s="29" t="s">
        <v>113</v>
      </c>
      <c r="K510" s="10"/>
      <c r="L510" s="10"/>
      <c r="M510" s="12">
        <f t="shared" si="53"/>
        <v>260000</v>
      </c>
      <c r="N510" s="12">
        <v>260000</v>
      </c>
      <c r="O510" s="12"/>
      <c r="P510" s="12">
        <f t="shared" si="54"/>
        <v>0</v>
      </c>
      <c r="Q510" s="12"/>
      <c r="R510" s="12"/>
      <c r="S510" s="12">
        <f t="shared" si="55"/>
        <v>0</v>
      </c>
      <c r="T510" s="12"/>
      <c r="U510" s="12"/>
      <c r="V510" s="12">
        <f t="shared" si="56"/>
        <v>0</v>
      </c>
      <c r="W510" s="12"/>
      <c r="X510" s="12"/>
      <c r="Y510" s="12">
        <f t="shared" si="57"/>
        <v>0</v>
      </c>
      <c r="Z510" s="12"/>
      <c r="AA510" s="12"/>
      <c r="AB510" s="13">
        <f t="shared" si="62"/>
        <v>0</v>
      </c>
      <c r="AC510" s="14">
        <v>46097</v>
      </c>
    </row>
    <row r="511" spans="1:29" ht="15.75" x14ac:dyDescent="0.25">
      <c r="A511" s="65">
        <v>46097</v>
      </c>
      <c r="B511" s="10" t="s">
        <v>87</v>
      </c>
      <c r="C511" s="10"/>
      <c r="D511" s="10" t="s">
        <v>195</v>
      </c>
      <c r="E511" s="10" t="s">
        <v>88</v>
      </c>
      <c r="F511" s="10">
        <v>25</v>
      </c>
      <c r="G511" s="10" t="s">
        <v>36</v>
      </c>
      <c r="H511" s="10">
        <v>125000</v>
      </c>
      <c r="I511" s="10">
        <f t="shared" si="60"/>
        <v>3125000</v>
      </c>
      <c r="J511" s="29" t="s">
        <v>110</v>
      </c>
      <c r="K511" s="10"/>
      <c r="L511" s="10" t="s">
        <v>643</v>
      </c>
      <c r="M511" s="12">
        <f t="shared" si="53"/>
        <v>0</v>
      </c>
      <c r="N511" s="12"/>
      <c r="O511" s="12"/>
      <c r="P511" s="12">
        <f t="shared" si="54"/>
        <v>3125000</v>
      </c>
      <c r="Q511" s="12">
        <v>3125000</v>
      </c>
      <c r="R511" s="12"/>
      <c r="S511" s="12">
        <f t="shared" si="55"/>
        <v>0</v>
      </c>
      <c r="T511" s="12"/>
      <c r="U511" s="12"/>
      <c r="V511" s="12">
        <f t="shared" si="56"/>
        <v>0</v>
      </c>
      <c r="W511" s="12"/>
      <c r="X511" s="12"/>
      <c r="Y511" s="12">
        <f t="shared" si="57"/>
        <v>0</v>
      </c>
      <c r="Z511" s="12"/>
      <c r="AA511" s="12"/>
      <c r="AB511" s="13">
        <f t="shared" si="62"/>
        <v>0</v>
      </c>
      <c r="AC511" s="14">
        <v>46097</v>
      </c>
    </row>
    <row r="512" spans="1:29" ht="15.75" x14ac:dyDescent="0.25">
      <c r="A512" s="28">
        <v>46097</v>
      </c>
      <c r="B512" s="10" t="s">
        <v>158</v>
      </c>
      <c r="C512" s="10"/>
      <c r="D512" s="10" t="s">
        <v>195</v>
      </c>
      <c r="E512" s="10" t="s">
        <v>116</v>
      </c>
      <c r="F512" s="10">
        <v>4</v>
      </c>
      <c r="G512" s="10" t="s">
        <v>67</v>
      </c>
      <c r="H512" s="10">
        <v>65000</v>
      </c>
      <c r="I512" s="10">
        <f t="shared" si="60"/>
        <v>260000</v>
      </c>
      <c r="J512" s="29" t="s">
        <v>110</v>
      </c>
      <c r="K512" s="10"/>
      <c r="L512" s="10"/>
      <c r="M512" s="12">
        <f t="shared" si="53"/>
        <v>0</v>
      </c>
      <c r="N512" s="12"/>
      <c r="O512" s="12"/>
      <c r="P512" s="12">
        <f t="shared" si="54"/>
        <v>0</v>
      </c>
      <c r="Q512" s="12"/>
      <c r="R512" s="12"/>
      <c r="S512" s="12">
        <f t="shared" si="55"/>
        <v>260000</v>
      </c>
      <c r="T512" s="12">
        <v>260000</v>
      </c>
      <c r="U512" s="12"/>
      <c r="V512" s="12">
        <f t="shared" si="56"/>
        <v>0</v>
      </c>
      <c r="W512" s="12"/>
      <c r="X512" s="12"/>
      <c r="Y512" s="12">
        <f t="shared" si="57"/>
        <v>0</v>
      </c>
      <c r="Z512" s="12"/>
      <c r="AA512" s="12"/>
      <c r="AB512" s="13">
        <f t="shared" si="62"/>
        <v>0</v>
      </c>
      <c r="AC512" s="14">
        <v>46097</v>
      </c>
    </row>
    <row r="513" spans="1:29" ht="15.75" x14ac:dyDescent="0.25">
      <c r="A513" s="65">
        <v>46097</v>
      </c>
      <c r="B513" s="10" t="s">
        <v>270</v>
      </c>
      <c r="C513" s="10"/>
      <c r="D513" s="10" t="s">
        <v>195</v>
      </c>
      <c r="E513" s="10" t="s">
        <v>104</v>
      </c>
      <c r="F513" s="10">
        <v>400</v>
      </c>
      <c r="G513" s="10" t="s">
        <v>26</v>
      </c>
      <c r="H513" s="10">
        <v>2000</v>
      </c>
      <c r="I513" s="10">
        <f t="shared" si="60"/>
        <v>800000</v>
      </c>
      <c r="J513" s="29" t="s">
        <v>110</v>
      </c>
      <c r="K513" s="10"/>
      <c r="L513" s="10" t="s">
        <v>641</v>
      </c>
      <c r="M513" s="12">
        <f t="shared" si="53"/>
        <v>0</v>
      </c>
      <c r="N513" s="12"/>
      <c r="O513" s="12"/>
      <c r="P513" s="12">
        <f t="shared" si="54"/>
        <v>800000</v>
      </c>
      <c r="Q513" s="12">
        <v>800000</v>
      </c>
      <c r="R513" s="12"/>
      <c r="S513" s="12">
        <f t="shared" si="55"/>
        <v>0</v>
      </c>
      <c r="T513" s="12"/>
      <c r="U513" s="12"/>
      <c r="V513" s="12">
        <f t="shared" si="56"/>
        <v>0</v>
      </c>
      <c r="W513" s="12"/>
      <c r="X513" s="12"/>
      <c r="Y513" s="12">
        <f t="shared" si="57"/>
        <v>0</v>
      </c>
      <c r="Z513" s="12"/>
      <c r="AA513" s="12"/>
      <c r="AB513" s="13">
        <f t="shared" si="62"/>
        <v>0</v>
      </c>
      <c r="AC513" s="14">
        <v>46097</v>
      </c>
    </row>
    <row r="514" spans="1:29" ht="15.75" x14ac:dyDescent="0.25">
      <c r="A514" s="65">
        <v>46097</v>
      </c>
      <c r="B514" s="10" t="s">
        <v>233</v>
      </c>
      <c r="C514" s="10"/>
      <c r="D514" s="10" t="s">
        <v>195</v>
      </c>
      <c r="E514" s="10" t="s">
        <v>65</v>
      </c>
      <c r="F514" s="10">
        <v>500</v>
      </c>
      <c r="G514" s="10" t="s">
        <v>26</v>
      </c>
      <c r="H514" s="10">
        <v>4000</v>
      </c>
      <c r="I514" s="10">
        <f t="shared" si="60"/>
        <v>2000000</v>
      </c>
      <c r="J514" s="29" t="s">
        <v>110</v>
      </c>
      <c r="K514" s="10"/>
      <c r="L514" s="10"/>
      <c r="M514" s="12">
        <f t="shared" si="53"/>
        <v>0</v>
      </c>
      <c r="N514" s="12"/>
      <c r="O514" s="12"/>
      <c r="P514" s="12">
        <f t="shared" si="54"/>
        <v>0</v>
      </c>
      <c r="Q514" s="12"/>
      <c r="R514" s="12"/>
      <c r="S514" s="12">
        <f t="shared" si="55"/>
        <v>2000000</v>
      </c>
      <c r="T514" s="12">
        <v>2000000</v>
      </c>
      <c r="U514" s="12"/>
      <c r="V514" s="12">
        <f t="shared" si="56"/>
        <v>0</v>
      </c>
      <c r="W514" s="12"/>
      <c r="X514" s="12"/>
      <c r="Y514" s="12">
        <f t="shared" si="57"/>
        <v>0</v>
      </c>
      <c r="Z514" s="12"/>
      <c r="AA514" s="12"/>
      <c r="AB514" s="13">
        <f t="shared" si="62"/>
        <v>0</v>
      </c>
      <c r="AC514" s="14">
        <v>46097</v>
      </c>
    </row>
    <row r="515" spans="1:29" ht="15.75" x14ac:dyDescent="0.25">
      <c r="A515" s="65">
        <v>46097</v>
      </c>
      <c r="B515" s="66" t="s">
        <v>101</v>
      </c>
      <c r="C515" s="66"/>
      <c r="D515" s="10" t="s">
        <v>195</v>
      </c>
      <c r="E515" s="66" t="s">
        <v>88</v>
      </c>
      <c r="F515" s="66">
        <v>25</v>
      </c>
      <c r="G515" s="66" t="s">
        <v>36</v>
      </c>
      <c r="H515" s="66">
        <v>125000</v>
      </c>
      <c r="I515" s="10">
        <f t="shared" si="60"/>
        <v>3125000</v>
      </c>
      <c r="J515" s="29" t="s">
        <v>110</v>
      </c>
      <c r="K515" s="66"/>
      <c r="L515" s="10"/>
      <c r="M515" s="12">
        <f t="shared" si="53"/>
        <v>0</v>
      </c>
      <c r="N515" s="12"/>
      <c r="O515" s="12"/>
      <c r="P515" s="12">
        <f t="shared" si="54"/>
        <v>0</v>
      </c>
      <c r="Q515" s="12"/>
      <c r="R515" s="12"/>
      <c r="S515" s="12">
        <f t="shared" si="55"/>
        <v>3125000</v>
      </c>
      <c r="T515" s="12">
        <v>3125000</v>
      </c>
      <c r="U515" s="12"/>
      <c r="V515" s="12">
        <f t="shared" si="56"/>
        <v>0</v>
      </c>
      <c r="W515" s="12"/>
      <c r="X515" s="12"/>
      <c r="Y515" s="12">
        <f t="shared" si="57"/>
        <v>0</v>
      </c>
      <c r="Z515" s="12"/>
      <c r="AA515" s="12"/>
      <c r="AB515" s="13">
        <f t="shared" si="62"/>
        <v>0</v>
      </c>
      <c r="AC515" s="14">
        <v>46097</v>
      </c>
    </row>
    <row r="516" spans="1:29" ht="15.75" x14ac:dyDescent="0.25">
      <c r="A516" s="65">
        <v>46097</v>
      </c>
      <c r="B516" s="66" t="s">
        <v>101</v>
      </c>
      <c r="C516" s="10"/>
      <c r="D516" s="10" t="s">
        <v>195</v>
      </c>
      <c r="E516" s="10" t="s">
        <v>116</v>
      </c>
      <c r="F516" s="10">
        <v>40</v>
      </c>
      <c r="G516" s="10" t="s">
        <v>67</v>
      </c>
      <c r="H516" s="10">
        <v>65000</v>
      </c>
      <c r="I516" s="10">
        <f t="shared" si="60"/>
        <v>2600000</v>
      </c>
      <c r="J516" s="29" t="s">
        <v>110</v>
      </c>
      <c r="K516" s="10"/>
      <c r="L516" s="10"/>
      <c r="M516" s="12">
        <f t="shared" si="53"/>
        <v>0</v>
      </c>
      <c r="N516" s="12"/>
      <c r="O516" s="12"/>
      <c r="P516" s="12">
        <f t="shared" si="54"/>
        <v>0</v>
      </c>
      <c r="Q516" s="12"/>
      <c r="R516" s="12"/>
      <c r="S516" s="12">
        <f t="shared" si="55"/>
        <v>2600000</v>
      </c>
      <c r="T516" s="12">
        <v>2600000</v>
      </c>
      <c r="U516" s="12"/>
      <c r="V516" s="12">
        <f t="shared" si="56"/>
        <v>0</v>
      </c>
      <c r="W516" s="12"/>
      <c r="X516" s="12"/>
      <c r="Y516" s="12">
        <f t="shared" si="57"/>
        <v>0</v>
      </c>
      <c r="Z516" s="12"/>
      <c r="AA516" s="12"/>
      <c r="AB516" s="13">
        <f t="shared" si="62"/>
        <v>0</v>
      </c>
      <c r="AC516" s="14">
        <v>46097</v>
      </c>
    </row>
    <row r="517" spans="1:29" ht="15.75" x14ac:dyDescent="0.25">
      <c r="A517" s="65">
        <v>46097</v>
      </c>
      <c r="B517" s="10" t="s">
        <v>485</v>
      </c>
      <c r="C517" s="10"/>
      <c r="D517" s="10" t="s">
        <v>195</v>
      </c>
      <c r="E517" s="10" t="s">
        <v>175</v>
      </c>
      <c r="F517" s="10">
        <v>1400</v>
      </c>
      <c r="G517" s="10" t="s">
        <v>26</v>
      </c>
      <c r="H517" s="10">
        <v>1000</v>
      </c>
      <c r="I517" s="10">
        <f t="shared" si="60"/>
        <v>1400000</v>
      </c>
      <c r="J517" s="29" t="s">
        <v>110</v>
      </c>
      <c r="K517" s="10"/>
      <c r="L517" s="10"/>
      <c r="M517" s="12">
        <f t="shared" ref="M517:M565" si="63">N517+O517</f>
        <v>0</v>
      </c>
      <c r="N517" s="12"/>
      <c r="O517" s="12"/>
      <c r="P517" s="12">
        <f t="shared" ref="P517:P565" si="64">Q517+R517</f>
        <v>0</v>
      </c>
      <c r="Q517" s="12"/>
      <c r="R517" s="12"/>
      <c r="S517" s="12">
        <f t="shared" ref="S517:S565" si="65">T517+U517</f>
        <v>1400000</v>
      </c>
      <c r="T517" s="12">
        <v>1380000</v>
      </c>
      <c r="U517" s="12">
        <v>20000</v>
      </c>
      <c r="V517" s="12">
        <f t="shared" ref="V517:V565" si="66">W517+X517</f>
        <v>0</v>
      </c>
      <c r="W517" s="12"/>
      <c r="X517" s="12"/>
      <c r="Y517" s="12">
        <f t="shared" ref="Y517:Y565" si="67">Z517+AA517</f>
        <v>0</v>
      </c>
      <c r="Z517" s="12"/>
      <c r="AA517" s="12"/>
      <c r="AB517" s="13">
        <f t="shared" si="62"/>
        <v>0</v>
      </c>
      <c r="AC517" s="14">
        <v>46097</v>
      </c>
    </row>
    <row r="518" spans="1:29" ht="15.75" x14ac:dyDescent="0.25">
      <c r="A518" s="28">
        <v>46097</v>
      </c>
      <c r="B518" s="10" t="s">
        <v>574</v>
      </c>
      <c r="C518" s="10"/>
      <c r="D518" s="10" t="s">
        <v>195</v>
      </c>
      <c r="E518" s="10" t="s">
        <v>60</v>
      </c>
      <c r="F518" s="10">
        <v>40</v>
      </c>
      <c r="G518" s="10" t="s">
        <v>61</v>
      </c>
      <c r="H518" s="10">
        <v>150000</v>
      </c>
      <c r="I518" s="10">
        <f t="shared" si="60"/>
        <v>6000000</v>
      </c>
      <c r="J518" s="29" t="s">
        <v>110</v>
      </c>
      <c r="K518" s="10"/>
      <c r="L518" s="10" t="s">
        <v>575</v>
      </c>
      <c r="M518" s="12">
        <f t="shared" si="63"/>
        <v>0</v>
      </c>
      <c r="N518" s="12"/>
      <c r="O518" s="12"/>
      <c r="P518" s="12">
        <f t="shared" si="64"/>
        <v>6000000</v>
      </c>
      <c r="Q518" s="12">
        <v>6000000</v>
      </c>
      <c r="R518" s="12"/>
      <c r="S518" s="12">
        <f t="shared" si="65"/>
        <v>0</v>
      </c>
      <c r="T518" s="12"/>
      <c r="U518" s="12"/>
      <c r="V518" s="12">
        <f t="shared" si="66"/>
        <v>0</v>
      </c>
      <c r="W518" s="12"/>
      <c r="X518" s="12"/>
      <c r="Y518" s="12">
        <f t="shared" si="67"/>
        <v>0</v>
      </c>
      <c r="Z518" s="12"/>
      <c r="AA518" s="12"/>
      <c r="AB518" s="13">
        <f t="shared" si="62"/>
        <v>0</v>
      </c>
      <c r="AC518" s="14">
        <v>46083</v>
      </c>
    </row>
    <row r="519" spans="1:29" ht="16.5" thickBot="1" x14ac:dyDescent="0.3">
      <c r="A519" s="53">
        <v>46097</v>
      </c>
      <c r="B519" s="54" t="s">
        <v>574</v>
      </c>
      <c r="C519" s="31"/>
      <c r="D519" s="31" t="s">
        <v>195</v>
      </c>
      <c r="E519" s="31" t="s">
        <v>300</v>
      </c>
      <c r="F519" s="31">
        <v>27</v>
      </c>
      <c r="G519" s="97" t="s">
        <v>61</v>
      </c>
      <c r="H519" s="31">
        <v>150000</v>
      </c>
      <c r="I519" s="31">
        <f t="shared" si="60"/>
        <v>4050000</v>
      </c>
      <c r="J519" s="55" t="s">
        <v>110</v>
      </c>
      <c r="K519" s="31"/>
      <c r="L519" s="31" t="s">
        <v>575</v>
      </c>
      <c r="M519" s="34">
        <f t="shared" si="63"/>
        <v>0</v>
      </c>
      <c r="N519" s="34"/>
      <c r="O519" s="34"/>
      <c r="P519" s="34">
        <f t="shared" si="64"/>
        <v>4050000</v>
      </c>
      <c r="Q519" s="34">
        <v>4050000</v>
      </c>
      <c r="R519" s="34"/>
      <c r="S519" s="34">
        <f t="shared" si="65"/>
        <v>0</v>
      </c>
      <c r="T519" s="34"/>
      <c r="U519" s="34"/>
      <c r="V519" s="34">
        <f t="shared" si="66"/>
        <v>0</v>
      </c>
      <c r="W519" s="34"/>
      <c r="X519" s="34"/>
      <c r="Y519" s="34">
        <f t="shared" si="67"/>
        <v>0</v>
      </c>
      <c r="Z519" s="34"/>
      <c r="AA519" s="34"/>
      <c r="AB519" s="35">
        <f t="shared" si="62"/>
        <v>0</v>
      </c>
      <c r="AC519" s="36">
        <v>46083</v>
      </c>
    </row>
    <row r="520" spans="1:29" ht="15.75" x14ac:dyDescent="0.25">
      <c r="A520" s="65">
        <v>46098</v>
      </c>
      <c r="B520" s="66" t="s">
        <v>285</v>
      </c>
      <c r="C520" s="66"/>
      <c r="D520" s="66" t="s">
        <v>383</v>
      </c>
      <c r="E520" s="66" t="s">
        <v>104</v>
      </c>
      <c r="F520" s="66">
        <v>10400</v>
      </c>
      <c r="G520" s="98" t="s">
        <v>26</v>
      </c>
      <c r="H520" s="66">
        <v>1850</v>
      </c>
      <c r="I520" s="10">
        <f>F520*H520</f>
        <v>19240000</v>
      </c>
      <c r="J520" s="84" t="s">
        <v>110</v>
      </c>
      <c r="K520" s="66"/>
      <c r="L520" s="10" t="s">
        <v>600</v>
      </c>
      <c r="M520" s="12">
        <f t="shared" si="63"/>
        <v>0</v>
      </c>
      <c r="N520" s="12"/>
      <c r="O520" s="12"/>
      <c r="P520" s="12">
        <f t="shared" si="64"/>
        <v>19240000</v>
      </c>
      <c r="Q520" s="12">
        <v>19240000</v>
      </c>
      <c r="R520" s="12"/>
      <c r="S520" s="12">
        <f t="shared" si="65"/>
        <v>0</v>
      </c>
      <c r="T520" s="12"/>
      <c r="U520" s="12"/>
      <c r="V520" s="12">
        <f t="shared" si="66"/>
        <v>0</v>
      </c>
      <c r="W520" s="12"/>
      <c r="X520" s="12"/>
      <c r="Y520" s="12">
        <f t="shared" si="67"/>
        <v>0</v>
      </c>
      <c r="Z520" s="12"/>
      <c r="AA520" s="12"/>
      <c r="AB520" s="13">
        <f>C520+I520-M520-P520-V520-Y520-S520</f>
        <v>0</v>
      </c>
      <c r="AC520" s="14">
        <v>46098</v>
      </c>
    </row>
    <row r="521" spans="1:29" ht="15.75" x14ac:dyDescent="0.25">
      <c r="A521" s="65">
        <v>46098</v>
      </c>
      <c r="B521" s="10" t="s">
        <v>324</v>
      </c>
      <c r="C521" s="10"/>
      <c r="D521" s="10" t="s">
        <v>195</v>
      </c>
      <c r="E521" s="10" t="s">
        <v>160</v>
      </c>
      <c r="F521" s="10">
        <v>1</v>
      </c>
      <c r="G521" s="96" t="s">
        <v>22</v>
      </c>
      <c r="H521" s="10">
        <v>400000</v>
      </c>
      <c r="I521" s="10">
        <f t="shared" ref="I521:I539" si="68">F521*H521</f>
        <v>400000</v>
      </c>
      <c r="J521" s="84" t="s">
        <v>110</v>
      </c>
      <c r="K521" s="10"/>
      <c r="L521" s="10"/>
      <c r="M521" s="12">
        <f t="shared" si="63"/>
        <v>0</v>
      </c>
      <c r="N521" s="12"/>
      <c r="O521" s="12"/>
      <c r="P521" s="12">
        <f t="shared" si="64"/>
        <v>0</v>
      </c>
      <c r="Q521" s="12"/>
      <c r="R521" s="12"/>
      <c r="S521" s="12">
        <f t="shared" si="65"/>
        <v>400000</v>
      </c>
      <c r="T521" s="12">
        <v>400000</v>
      </c>
      <c r="U521" s="12"/>
      <c r="V521" s="12">
        <f t="shared" si="66"/>
        <v>0</v>
      </c>
      <c r="W521" s="12"/>
      <c r="X521" s="12"/>
      <c r="Y521" s="12">
        <f t="shared" si="67"/>
        <v>0</v>
      </c>
      <c r="Z521" s="12"/>
      <c r="AA521" s="12"/>
      <c r="AB521" s="13">
        <f t="shared" ref="AB521:AB539" si="69">C521+I521-M521-P521-V521-Y521-S521</f>
        <v>0</v>
      </c>
      <c r="AC521" s="14">
        <v>46098</v>
      </c>
    </row>
    <row r="522" spans="1:29" ht="15.75" x14ac:dyDescent="0.25">
      <c r="A522" s="65">
        <v>46098</v>
      </c>
      <c r="B522" s="10" t="s">
        <v>459</v>
      </c>
      <c r="C522" s="10"/>
      <c r="D522" s="10" t="s">
        <v>383</v>
      </c>
      <c r="E522" s="10" t="s">
        <v>421</v>
      </c>
      <c r="F522" s="10">
        <v>1</v>
      </c>
      <c r="G522" s="96" t="s">
        <v>22</v>
      </c>
      <c r="H522" s="10">
        <v>400000</v>
      </c>
      <c r="I522" s="10">
        <f t="shared" si="68"/>
        <v>400000</v>
      </c>
      <c r="J522" s="52" t="s">
        <v>90</v>
      </c>
      <c r="K522" s="10" t="s">
        <v>649</v>
      </c>
      <c r="L522" s="10"/>
      <c r="M522" s="12">
        <f t="shared" si="63"/>
        <v>0</v>
      </c>
      <c r="N522" s="12"/>
      <c r="O522" s="12"/>
      <c r="P522" s="12">
        <f t="shared" si="64"/>
        <v>0</v>
      </c>
      <c r="Q522" s="12"/>
      <c r="R522" s="12"/>
      <c r="S522" s="12">
        <f t="shared" si="65"/>
        <v>0</v>
      </c>
      <c r="T522" s="12"/>
      <c r="U522" s="12"/>
      <c r="V522" s="12">
        <f t="shared" si="66"/>
        <v>0</v>
      </c>
      <c r="W522" s="12"/>
      <c r="X522" s="12"/>
      <c r="Y522" s="12">
        <f t="shared" si="67"/>
        <v>0</v>
      </c>
      <c r="Z522" s="12"/>
      <c r="AA522" s="12"/>
      <c r="AB522" s="13">
        <f t="shared" si="69"/>
        <v>400000</v>
      </c>
      <c r="AC522" s="14"/>
    </row>
    <row r="523" spans="1:29" ht="15.75" x14ac:dyDescent="0.25">
      <c r="A523" s="65">
        <v>46098</v>
      </c>
      <c r="B523" s="10" t="s">
        <v>459</v>
      </c>
      <c r="C523" s="10"/>
      <c r="D523" s="10" t="s">
        <v>383</v>
      </c>
      <c r="E523" s="10" t="s">
        <v>314</v>
      </c>
      <c r="F523" s="10">
        <v>1</v>
      </c>
      <c r="G523" s="96" t="s">
        <v>22</v>
      </c>
      <c r="H523" s="10">
        <v>400000</v>
      </c>
      <c r="I523" s="10">
        <f t="shared" si="68"/>
        <v>400000</v>
      </c>
      <c r="J523" s="52" t="s">
        <v>90</v>
      </c>
      <c r="K523" s="10" t="s">
        <v>649</v>
      </c>
      <c r="L523" s="10"/>
      <c r="M523" s="12">
        <f t="shared" si="63"/>
        <v>0</v>
      </c>
      <c r="N523" s="12"/>
      <c r="O523" s="12"/>
      <c r="P523" s="12">
        <f t="shared" si="64"/>
        <v>0</v>
      </c>
      <c r="Q523" s="12"/>
      <c r="R523" s="12"/>
      <c r="S523" s="12">
        <f t="shared" si="65"/>
        <v>0</v>
      </c>
      <c r="T523" s="12"/>
      <c r="U523" s="12"/>
      <c r="V523" s="12">
        <f t="shared" si="66"/>
        <v>0</v>
      </c>
      <c r="W523" s="12"/>
      <c r="X523" s="12"/>
      <c r="Y523" s="12">
        <f t="shared" si="67"/>
        <v>0</v>
      </c>
      <c r="Z523" s="12"/>
      <c r="AA523" s="12"/>
      <c r="AB523" s="13">
        <f t="shared" si="69"/>
        <v>400000</v>
      </c>
      <c r="AC523" s="14"/>
    </row>
    <row r="524" spans="1:29" ht="15.75" x14ac:dyDescent="0.25">
      <c r="A524" s="65">
        <v>46098</v>
      </c>
      <c r="B524" s="66" t="s">
        <v>535</v>
      </c>
      <c r="C524" s="66"/>
      <c r="D524" s="66" t="s">
        <v>195</v>
      </c>
      <c r="E524" s="66" t="s">
        <v>248</v>
      </c>
      <c r="F524" s="66">
        <v>5</v>
      </c>
      <c r="G524" s="98" t="s">
        <v>36</v>
      </c>
      <c r="H524" s="66">
        <v>82000</v>
      </c>
      <c r="I524" s="10">
        <f t="shared" si="68"/>
        <v>410000</v>
      </c>
      <c r="J524" s="84" t="s">
        <v>113</v>
      </c>
      <c r="K524" s="66"/>
      <c r="L524" s="10"/>
      <c r="M524" s="12">
        <f t="shared" si="63"/>
        <v>410000</v>
      </c>
      <c r="N524" s="12">
        <v>410000</v>
      </c>
      <c r="O524" s="12"/>
      <c r="P524" s="12">
        <f t="shared" si="64"/>
        <v>0</v>
      </c>
      <c r="Q524" s="12"/>
      <c r="R524" s="12"/>
      <c r="S524" s="12">
        <f t="shared" si="65"/>
        <v>0</v>
      </c>
      <c r="T524" s="12"/>
      <c r="U524" s="12"/>
      <c r="V524" s="12">
        <f t="shared" si="66"/>
        <v>0</v>
      </c>
      <c r="W524" s="12"/>
      <c r="X524" s="12"/>
      <c r="Y524" s="12">
        <f t="shared" si="67"/>
        <v>0</v>
      </c>
      <c r="Z524" s="12"/>
      <c r="AA524" s="12"/>
      <c r="AB524" s="13">
        <f t="shared" si="69"/>
        <v>0</v>
      </c>
      <c r="AC524" s="14">
        <v>46098</v>
      </c>
    </row>
    <row r="525" spans="1:29" ht="15.75" x14ac:dyDescent="0.25">
      <c r="A525" s="65">
        <v>46098</v>
      </c>
      <c r="B525" s="10" t="s">
        <v>647</v>
      </c>
      <c r="C525" s="10"/>
      <c r="D525" s="66" t="s">
        <v>195</v>
      </c>
      <c r="E525" s="10" t="s">
        <v>116</v>
      </c>
      <c r="F525" s="10">
        <v>4</v>
      </c>
      <c r="G525" s="96" t="s">
        <v>67</v>
      </c>
      <c r="H525" s="10">
        <v>65000</v>
      </c>
      <c r="I525" s="10">
        <f t="shared" si="68"/>
        <v>260000</v>
      </c>
      <c r="J525" s="84" t="s">
        <v>113</v>
      </c>
      <c r="K525" s="10"/>
      <c r="L525" s="10"/>
      <c r="M525" s="12">
        <f t="shared" si="63"/>
        <v>260000</v>
      </c>
      <c r="N525" s="12">
        <v>260000</v>
      </c>
      <c r="O525" s="12"/>
      <c r="P525" s="12">
        <f t="shared" si="64"/>
        <v>0</v>
      </c>
      <c r="Q525" s="12"/>
      <c r="R525" s="12"/>
      <c r="S525" s="12">
        <f t="shared" si="65"/>
        <v>0</v>
      </c>
      <c r="T525" s="12"/>
      <c r="U525" s="12"/>
      <c r="V525" s="12">
        <f t="shared" si="66"/>
        <v>0</v>
      </c>
      <c r="W525" s="12"/>
      <c r="X525" s="12"/>
      <c r="Y525" s="12">
        <f t="shared" si="67"/>
        <v>0</v>
      </c>
      <c r="Z525" s="12"/>
      <c r="AA525" s="12"/>
      <c r="AB525" s="13">
        <f t="shared" si="69"/>
        <v>0</v>
      </c>
      <c r="AC525" s="14">
        <v>46098</v>
      </c>
    </row>
    <row r="526" spans="1:29" ht="15.75" x14ac:dyDescent="0.25">
      <c r="A526" s="65">
        <v>46098</v>
      </c>
      <c r="B526" s="10" t="s">
        <v>648</v>
      </c>
      <c r="C526" s="10"/>
      <c r="D526" s="66" t="s">
        <v>195</v>
      </c>
      <c r="E526" s="10" t="s">
        <v>160</v>
      </c>
      <c r="F526" s="10">
        <v>1</v>
      </c>
      <c r="G526" s="96" t="s">
        <v>22</v>
      </c>
      <c r="H526" s="10">
        <v>400000</v>
      </c>
      <c r="I526" s="10">
        <f t="shared" si="68"/>
        <v>400000</v>
      </c>
      <c r="J526" s="29" t="s">
        <v>110</v>
      </c>
      <c r="K526" s="10"/>
      <c r="L526" s="10"/>
      <c r="M526" s="12">
        <f t="shared" si="63"/>
        <v>0</v>
      </c>
      <c r="N526" s="12"/>
      <c r="O526" s="12"/>
      <c r="P526" s="12">
        <f t="shared" si="64"/>
        <v>0</v>
      </c>
      <c r="Q526" s="12"/>
      <c r="R526" s="12"/>
      <c r="S526" s="12">
        <f t="shared" si="65"/>
        <v>400000</v>
      </c>
      <c r="T526" s="12">
        <v>400000</v>
      </c>
      <c r="U526" s="12"/>
      <c r="V526" s="12">
        <f t="shared" si="66"/>
        <v>0</v>
      </c>
      <c r="W526" s="12"/>
      <c r="X526" s="12"/>
      <c r="Y526" s="12">
        <f t="shared" si="67"/>
        <v>0</v>
      </c>
      <c r="Z526" s="12"/>
      <c r="AA526" s="12"/>
      <c r="AB526" s="13">
        <f t="shared" si="69"/>
        <v>0</v>
      </c>
      <c r="AC526" s="14">
        <v>46098</v>
      </c>
    </row>
    <row r="527" spans="1:29" ht="15.75" x14ac:dyDescent="0.25">
      <c r="A527" s="65">
        <v>46098</v>
      </c>
      <c r="B527" s="10" t="s">
        <v>292</v>
      </c>
      <c r="C527" s="10"/>
      <c r="D527" s="66" t="s">
        <v>195</v>
      </c>
      <c r="E527" s="10" t="s">
        <v>138</v>
      </c>
      <c r="F527" s="10">
        <v>5</v>
      </c>
      <c r="G527" s="96" t="s">
        <v>61</v>
      </c>
      <c r="H527" s="10">
        <v>300000</v>
      </c>
      <c r="I527" s="10">
        <f t="shared" si="68"/>
        <v>1500000</v>
      </c>
      <c r="J527" s="29" t="s">
        <v>110</v>
      </c>
      <c r="K527" s="82"/>
      <c r="L527" s="10"/>
      <c r="M527" s="12">
        <f t="shared" si="63"/>
        <v>0</v>
      </c>
      <c r="N527" s="12"/>
      <c r="O527" s="12"/>
      <c r="P527" s="12">
        <f t="shared" si="64"/>
        <v>0</v>
      </c>
      <c r="Q527" s="12"/>
      <c r="R527" s="12"/>
      <c r="S527" s="12">
        <f t="shared" si="65"/>
        <v>1500000</v>
      </c>
      <c r="T527" s="12">
        <v>1500000</v>
      </c>
      <c r="U527" s="12"/>
      <c r="V527" s="12">
        <f t="shared" si="66"/>
        <v>0</v>
      </c>
      <c r="W527" s="12"/>
      <c r="X527" s="12"/>
      <c r="Y527" s="12">
        <f t="shared" si="67"/>
        <v>0</v>
      </c>
      <c r="Z527" s="12"/>
      <c r="AA527" s="12"/>
      <c r="AB527" s="13">
        <f t="shared" si="69"/>
        <v>0</v>
      </c>
      <c r="AC527" s="14">
        <v>46098</v>
      </c>
    </row>
    <row r="528" spans="1:29" ht="15.75" x14ac:dyDescent="0.25">
      <c r="A528" s="65">
        <v>46098</v>
      </c>
      <c r="B528" s="10" t="s">
        <v>238</v>
      </c>
      <c r="C528" s="10"/>
      <c r="D528" s="10" t="s">
        <v>195</v>
      </c>
      <c r="E528" s="10" t="s">
        <v>175</v>
      </c>
      <c r="F528" s="10">
        <v>2600</v>
      </c>
      <c r="G528" s="96" t="s">
        <v>26</v>
      </c>
      <c r="H528" s="10">
        <v>1000</v>
      </c>
      <c r="I528" s="10">
        <f t="shared" si="68"/>
        <v>2600000</v>
      </c>
      <c r="J528" s="29" t="s">
        <v>110</v>
      </c>
      <c r="K528" s="10"/>
      <c r="L528" s="10" t="s">
        <v>652</v>
      </c>
      <c r="M528" s="12">
        <f t="shared" si="63"/>
        <v>0</v>
      </c>
      <c r="N528" s="12"/>
      <c r="O528" s="12"/>
      <c r="P528" s="12">
        <f t="shared" si="64"/>
        <v>2600000</v>
      </c>
      <c r="Q528" s="12">
        <v>2600000</v>
      </c>
      <c r="R528" s="12"/>
      <c r="S528" s="12">
        <f t="shared" si="65"/>
        <v>0</v>
      </c>
      <c r="T528" s="12"/>
      <c r="U528" s="12"/>
      <c r="V528" s="12">
        <f t="shared" si="66"/>
        <v>0</v>
      </c>
      <c r="W528" s="12"/>
      <c r="X528" s="12"/>
      <c r="Y528" s="12">
        <f t="shared" si="67"/>
        <v>0</v>
      </c>
      <c r="Z528" s="12"/>
      <c r="AA528" s="12"/>
      <c r="AB528" s="13">
        <f t="shared" si="69"/>
        <v>0</v>
      </c>
      <c r="AC528" s="14">
        <v>46098</v>
      </c>
    </row>
    <row r="529" spans="1:29" ht="15.75" x14ac:dyDescent="0.25">
      <c r="A529" s="65">
        <v>46098</v>
      </c>
      <c r="B529" s="10" t="s">
        <v>281</v>
      </c>
      <c r="C529" s="10"/>
      <c r="D529" s="10" t="s">
        <v>195</v>
      </c>
      <c r="E529" s="10" t="s">
        <v>116</v>
      </c>
      <c r="F529" s="10">
        <v>12</v>
      </c>
      <c r="G529" s="96" t="s">
        <v>67</v>
      </c>
      <c r="H529" s="10">
        <v>65000</v>
      </c>
      <c r="I529" s="10">
        <f t="shared" si="68"/>
        <v>780000</v>
      </c>
      <c r="J529" s="29" t="s">
        <v>110</v>
      </c>
      <c r="K529" s="10"/>
      <c r="L529" s="10" t="s">
        <v>651</v>
      </c>
      <c r="M529" s="12">
        <f t="shared" si="63"/>
        <v>0</v>
      </c>
      <c r="N529" s="12"/>
      <c r="O529" s="12"/>
      <c r="P529" s="12">
        <f t="shared" si="64"/>
        <v>780000</v>
      </c>
      <c r="Q529" s="12">
        <v>780000</v>
      </c>
      <c r="R529" s="12"/>
      <c r="S529" s="12">
        <f t="shared" si="65"/>
        <v>0</v>
      </c>
      <c r="T529" s="12"/>
      <c r="U529" s="12"/>
      <c r="V529" s="12">
        <f t="shared" si="66"/>
        <v>0</v>
      </c>
      <c r="W529" s="12"/>
      <c r="X529" s="12"/>
      <c r="Y529" s="12">
        <f t="shared" si="67"/>
        <v>0</v>
      </c>
      <c r="Z529" s="12"/>
      <c r="AA529" s="12"/>
      <c r="AB529" s="13">
        <f t="shared" si="69"/>
        <v>0</v>
      </c>
      <c r="AC529" s="14">
        <v>46098</v>
      </c>
    </row>
    <row r="530" spans="1:29" ht="15.75" x14ac:dyDescent="0.25">
      <c r="A530" s="65">
        <v>46098</v>
      </c>
      <c r="B530" s="10" t="s">
        <v>197</v>
      </c>
      <c r="C530" s="10"/>
      <c r="D530" s="10" t="s">
        <v>383</v>
      </c>
      <c r="E530" s="10" t="s">
        <v>117</v>
      </c>
      <c r="F530" s="10">
        <v>10</v>
      </c>
      <c r="G530" s="10" t="s">
        <v>36</v>
      </c>
      <c r="H530" s="10">
        <v>70000</v>
      </c>
      <c r="I530" s="10">
        <f t="shared" si="68"/>
        <v>700000</v>
      </c>
      <c r="J530" s="29" t="s">
        <v>110</v>
      </c>
      <c r="K530" s="10"/>
      <c r="L530" s="10" t="s">
        <v>546</v>
      </c>
      <c r="M530" s="12">
        <f t="shared" si="63"/>
        <v>0</v>
      </c>
      <c r="N530" s="12"/>
      <c r="O530" s="12"/>
      <c r="P530" s="12">
        <f t="shared" si="64"/>
        <v>700000</v>
      </c>
      <c r="Q530" s="12">
        <v>700000</v>
      </c>
      <c r="R530" s="12"/>
      <c r="S530" s="12">
        <f t="shared" si="65"/>
        <v>0</v>
      </c>
      <c r="T530" s="12"/>
      <c r="U530" s="12"/>
      <c r="V530" s="12">
        <f t="shared" si="66"/>
        <v>0</v>
      </c>
      <c r="W530" s="12"/>
      <c r="X530" s="12"/>
      <c r="Y530" s="12">
        <f t="shared" si="67"/>
        <v>0</v>
      </c>
      <c r="Z530" s="12"/>
      <c r="AA530" s="12"/>
      <c r="AB530" s="13">
        <f t="shared" si="69"/>
        <v>0</v>
      </c>
      <c r="AC530" s="14">
        <v>46098</v>
      </c>
    </row>
    <row r="531" spans="1:29" ht="15.75" x14ac:dyDescent="0.25">
      <c r="A531" s="65">
        <v>46098</v>
      </c>
      <c r="B531" s="10" t="s">
        <v>197</v>
      </c>
      <c r="C531" s="10"/>
      <c r="D531" s="10" t="s">
        <v>383</v>
      </c>
      <c r="E531" s="10" t="s">
        <v>116</v>
      </c>
      <c r="F531" s="10">
        <v>24</v>
      </c>
      <c r="G531" s="10" t="s">
        <v>67</v>
      </c>
      <c r="H531" s="10">
        <v>65000</v>
      </c>
      <c r="I531" s="10">
        <f t="shared" si="68"/>
        <v>1560000</v>
      </c>
      <c r="J531" s="29" t="s">
        <v>110</v>
      </c>
      <c r="K531" s="10"/>
      <c r="L531" s="10" t="s">
        <v>546</v>
      </c>
      <c r="M531" s="12">
        <f t="shared" si="63"/>
        <v>0</v>
      </c>
      <c r="N531" s="12"/>
      <c r="O531" s="12"/>
      <c r="P531" s="12">
        <f t="shared" si="64"/>
        <v>1560000</v>
      </c>
      <c r="Q531" s="12">
        <v>1560000</v>
      </c>
      <c r="R531" s="12"/>
      <c r="S531" s="12">
        <f t="shared" si="65"/>
        <v>0</v>
      </c>
      <c r="T531" s="12"/>
      <c r="U531" s="12"/>
      <c r="V531" s="12">
        <f t="shared" si="66"/>
        <v>0</v>
      </c>
      <c r="W531" s="12"/>
      <c r="X531" s="12"/>
      <c r="Y531" s="12">
        <f t="shared" si="67"/>
        <v>0</v>
      </c>
      <c r="Z531" s="12"/>
      <c r="AA531" s="12"/>
      <c r="AB531" s="13">
        <f t="shared" si="69"/>
        <v>0</v>
      </c>
      <c r="AC531" s="14">
        <v>46098</v>
      </c>
    </row>
    <row r="532" spans="1:29" ht="15.75" x14ac:dyDescent="0.25">
      <c r="A532" s="65">
        <v>46098</v>
      </c>
      <c r="B532" s="10" t="s">
        <v>197</v>
      </c>
      <c r="C532" s="10"/>
      <c r="D532" s="10" t="s">
        <v>383</v>
      </c>
      <c r="E532" s="10" t="s">
        <v>290</v>
      </c>
      <c r="F532" s="10">
        <v>20</v>
      </c>
      <c r="G532" s="10" t="s">
        <v>39</v>
      </c>
      <c r="H532" s="10">
        <v>25000</v>
      </c>
      <c r="I532" s="10">
        <f t="shared" si="68"/>
        <v>500000</v>
      </c>
      <c r="J532" s="29" t="s">
        <v>110</v>
      </c>
      <c r="K532" s="10"/>
      <c r="L532" s="10" t="s">
        <v>546</v>
      </c>
      <c r="M532" s="12">
        <f t="shared" si="63"/>
        <v>0</v>
      </c>
      <c r="N532" s="12"/>
      <c r="O532" s="12"/>
      <c r="P532" s="12">
        <f t="shared" si="64"/>
        <v>500000</v>
      </c>
      <c r="Q532" s="12">
        <v>500000</v>
      </c>
      <c r="R532" s="12"/>
      <c r="S532" s="12">
        <f t="shared" si="65"/>
        <v>0</v>
      </c>
      <c r="T532" s="12"/>
      <c r="U532" s="12"/>
      <c r="V532" s="12">
        <f t="shared" si="66"/>
        <v>0</v>
      </c>
      <c r="W532" s="12"/>
      <c r="X532" s="12"/>
      <c r="Y532" s="12">
        <f t="shared" si="67"/>
        <v>0</v>
      </c>
      <c r="Z532" s="12"/>
      <c r="AA532" s="12"/>
      <c r="AB532" s="13">
        <f t="shared" si="69"/>
        <v>0</v>
      </c>
      <c r="AC532" s="14">
        <v>46098</v>
      </c>
    </row>
    <row r="533" spans="1:29" ht="15.75" x14ac:dyDescent="0.25">
      <c r="A533" s="65">
        <v>46098</v>
      </c>
      <c r="B533" s="10" t="s">
        <v>109</v>
      </c>
      <c r="C533" s="10"/>
      <c r="D533" s="10" t="s">
        <v>195</v>
      </c>
      <c r="E533" s="10" t="s">
        <v>107</v>
      </c>
      <c r="F533" s="10">
        <v>40</v>
      </c>
      <c r="G533" s="10" t="s">
        <v>36</v>
      </c>
      <c r="H533" s="10">
        <v>60000</v>
      </c>
      <c r="I533" s="10">
        <f t="shared" si="68"/>
        <v>2400000</v>
      </c>
      <c r="J533" s="29" t="s">
        <v>110</v>
      </c>
      <c r="K533" s="10"/>
      <c r="L533" s="10"/>
      <c r="M533" s="12">
        <f t="shared" si="63"/>
        <v>0</v>
      </c>
      <c r="N533" s="12"/>
      <c r="O533" s="12"/>
      <c r="P533" s="12">
        <f t="shared" si="64"/>
        <v>0</v>
      </c>
      <c r="Q533" s="12"/>
      <c r="R533" s="12"/>
      <c r="S533" s="12">
        <f t="shared" si="65"/>
        <v>2400000</v>
      </c>
      <c r="T533" s="12">
        <v>2400000</v>
      </c>
      <c r="U533" s="12"/>
      <c r="V533" s="12">
        <f t="shared" si="66"/>
        <v>0</v>
      </c>
      <c r="W533" s="12"/>
      <c r="X533" s="12"/>
      <c r="Y533" s="12">
        <f t="shared" si="67"/>
        <v>0</v>
      </c>
      <c r="Z533" s="12"/>
      <c r="AA533" s="12"/>
      <c r="AB533" s="13">
        <f t="shared" si="69"/>
        <v>0</v>
      </c>
      <c r="AC533" s="14">
        <v>46098</v>
      </c>
    </row>
    <row r="534" spans="1:29" ht="15.75" x14ac:dyDescent="0.25">
      <c r="A534" s="65">
        <v>46098</v>
      </c>
      <c r="B534" s="10" t="s">
        <v>267</v>
      </c>
      <c r="C534" s="10"/>
      <c r="D534" s="10" t="s">
        <v>195</v>
      </c>
      <c r="E534" s="10" t="s">
        <v>114</v>
      </c>
      <c r="F534" s="10">
        <v>10</v>
      </c>
      <c r="G534" s="10" t="s">
        <v>67</v>
      </c>
      <c r="H534" s="10">
        <v>50000</v>
      </c>
      <c r="I534" s="10">
        <f t="shared" si="68"/>
        <v>500000</v>
      </c>
      <c r="J534" s="29" t="s">
        <v>113</v>
      </c>
      <c r="K534" s="10"/>
      <c r="L534" s="10"/>
      <c r="M534" s="12">
        <f t="shared" si="63"/>
        <v>500000</v>
      </c>
      <c r="N534" s="12">
        <v>500000</v>
      </c>
      <c r="O534" s="12"/>
      <c r="P534" s="12">
        <f t="shared" si="64"/>
        <v>0</v>
      </c>
      <c r="Q534" s="12"/>
      <c r="R534" s="12"/>
      <c r="S534" s="12">
        <f t="shared" si="65"/>
        <v>0</v>
      </c>
      <c r="T534" s="12"/>
      <c r="U534" s="12"/>
      <c r="V534" s="12">
        <f t="shared" si="66"/>
        <v>0</v>
      </c>
      <c r="W534" s="12"/>
      <c r="X534" s="12"/>
      <c r="Y534" s="12">
        <f t="shared" si="67"/>
        <v>0</v>
      </c>
      <c r="Z534" s="12"/>
      <c r="AA534" s="12"/>
      <c r="AB534" s="13">
        <f t="shared" si="69"/>
        <v>0</v>
      </c>
      <c r="AC534" s="14">
        <v>46098</v>
      </c>
    </row>
    <row r="535" spans="1:29" ht="15.75" x14ac:dyDescent="0.25">
      <c r="A535" s="65">
        <v>46098</v>
      </c>
      <c r="B535" s="10" t="s">
        <v>267</v>
      </c>
      <c r="C535" s="10"/>
      <c r="D535" s="10" t="s">
        <v>195</v>
      </c>
      <c r="E535" s="10" t="s">
        <v>116</v>
      </c>
      <c r="F535" s="10">
        <v>4</v>
      </c>
      <c r="G535" s="10" t="s">
        <v>67</v>
      </c>
      <c r="H535" s="10">
        <v>65000</v>
      </c>
      <c r="I535" s="10">
        <f t="shared" si="68"/>
        <v>260000</v>
      </c>
      <c r="J535" s="29" t="s">
        <v>113</v>
      </c>
      <c r="K535" s="10"/>
      <c r="L535" s="10"/>
      <c r="M535" s="12">
        <f t="shared" si="63"/>
        <v>260000</v>
      </c>
      <c r="N535" s="12">
        <v>260000</v>
      </c>
      <c r="O535" s="12"/>
      <c r="P535" s="12">
        <f t="shared" si="64"/>
        <v>0</v>
      </c>
      <c r="Q535" s="12"/>
      <c r="R535" s="12"/>
      <c r="S535" s="12">
        <f t="shared" si="65"/>
        <v>0</v>
      </c>
      <c r="T535" s="12"/>
      <c r="U535" s="12"/>
      <c r="V535" s="12">
        <f t="shared" si="66"/>
        <v>0</v>
      </c>
      <c r="W535" s="12"/>
      <c r="X535" s="12"/>
      <c r="Y535" s="12">
        <f t="shared" si="67"/>
        <v>0</v>
      </c>
      <c r="Z535" s="12"/>
      <c r="AA535" s="12"/>
      <c r="AB535" s="13">
        <f t="shared" si="69"/>
        <v>0</v>
      </c>
      <c r="AC535" s="14">
        <v>46098</v>
      </c>
    </row>
    <row r="536" spans="1:29" ht="15.75" x14ac:dyDescent="0.25">
      <c r="A536" s="65">
        <v>46098</v>
      </c>
      <c r="B536" s="10" t="s">
        <v>272</v>
      </c>
      <c r="C536" s="10"/>
      <c r="D536" s="10"/>
      <c r="E536" s="10" t="s">
        <v>136</v>
      </c>
      <c r="F536" s="10">
        <v>94.5</v>
      </c>
      <c r="G536" s="10" t="s">
        <v>36</v>
      </c>
      <c r="H536" s="10">
        <v>43000</v>
      </c>
      <c r="I536" s="10">
        <f t="shared" si="68"/>
        <v>4063500</v>
      </c>
      <c r="J536" s="86" t="s">
        <v>76</v>
      </c>
      <c r="K536" s="10"/>
      <c r="L536" s="10"/>
      <c r="M536" s="12">
        <f t="shared" si="63"/>
        <v>0</v>
      </c>
      <c r="N536" s="12"/>
      <c r="O536" s="12"/>
      <c r="P536" s="12">
        <f t="shared" si="64"/>
        <v>0</v>
      </c>
      <c r="Q536" s="12"/>
      <c r="R536" s="12"/>
      <c r="S536" s="12">
        <f t="shared" si="65"/>
        <v>0</v>
      </c>
      <c r="T536" s="12"/>
      <c r="U536" s="12"/>
      <c r="V536" s="12">
        <f t="shared" si="66"/>
        <v>0</v>
      </c>
      <c r="W536" s="12"/>
      <c r="X536" s="12"/>
      <c r="Y536" s="12">
        <f t="shared" si="67"/>
        <v>0</v>
      </c>
      <c r="Z536" s="12"/>
      <c r="AA536" s="12"/>
      <c r="AB536" s="13">
        <f t="shared" si="69"/>
        <v>4063500</v>
      </c>
      <c r="AC536" s="14"/>
    </row>
    <row r="537" spans="1:29" s="148" customFormat="1" ht="16.5" thickBot="1" x14ac:dyDescent="0.3">
      <c r="A537" s="28">
        <v>46098</v>
      </c>
      <c r="B537" s="10" t="s">
        <v>272</v>
      </c>
      <c r="C537" s="10"/>
      <c r="D537" s="10"/>
      <c r="E537" s="10" t="s">
        <v>315</v>
      </c>
      <c r="F537" s="10">
        <v>80.400000000000006</v>
      </c>
      <c r="G537" s="10" t="s">
        <v>36</v>
      </c>
      <c r="H537" s="10">
        <v>43000</v>
      </c>
      <c r="I537" s="10">
        <f t="shared" si="68"/>
        <v>3457200.0000000005</v>
      </c>
      <c r="J537" s="86" t="s">
        <v>76</v>
      </c>
      <c r="K537" s="10"/>
      <c r="L537" s="10"/>
      <c r="M537" s="12">
        <f t="shared" si="63"/>
        <v>0</v>
      </c>
      <c r="N537" s="12"/>
      <c r="O537" s="12"/>
      <c r="P537" s="12">
        <f t="shared" si="64"/>
        <v>0</v>
      </c>
      <c r="Q537" s="12"/>
      <c r="R537" s="12"/>
      <c r="S537" s="12">
        <f t="shared" si="65"/>
        <v>0</v>
      </c>
      <c r="T537" s="12"/>
      <c r="U537" s="12"/>
      <c r="V537" s="12">
        <f t="shared" si="66"/>
        <v>0</v>
      </c>
      <c r="W537" s="12"/>
      <c r="X537" s="12"/>
      <c r="Y537" s="12">
        <f t="shared" si="67"/>
        <v>0</v>
      </c>
      <c r="Z537" s="12"/>
      <c r="AA537" s="12"/>
      <c r="AB537" s="13">
        <f t="shared" si="69"/>
        <v>3457200.0000000005</v>
      </c>
      <c r="AC537" s="14"/>
    </row>
    <row r="538" spans="1:29" ht="15.75" x14ac:dyDescent="0.25">
      <c r="A538" s="65">
        <v>46098</v>
      </c>
      <c r="B538" s="66" t="s">
        <v>185</v>
      </c>
      <c r="C538" s="10"/>
      <c r="D538" s="10" t="s">
        <v>195</v>
      </c>
      <c r="E538" s="10" t="s">
        <v>116</v>
      </c>
      <c r="F538" s="10">
        <v>12</v>
      </c>
      <c r="G538" s="10" t="s">
        <v>67</v>
      </c>
      <c r="H538" s="10">
        <v>65000</v>
      </c>
      <c r="I538" s="10">
        <f t="shared" si="68"/>
        <v>780000</v>
      </c>
      <c r="J538" s="29" t="s">
        <v>110</v>
      </c>
      <c r="K538" s="10"/>
      <c r="L538" s="10" t="s">
        <v>590</v>
      </c>
      <c r="M538" s="12">
        <f t="shared" si="63"/>
        <v>0</v>
      </c>
      <c r="N538" s="12"/>
      <c r="O538" s="12"/>
      <c r="P538" s="12">
        <f t="shared" si="64"/>
        <v>780000</v>
      </c>
      <c r="Q538" s="12">
        <v>780000</v>
      </c>
      <c r="R538" s="12"/>
      <c r="S538" s="12">
        <f t="shared" si="65"/>
        <v>0</v>
      </c>
      <c r="T538" s="12"/>
      <c r="U538" s="12"/>
      <c r="V538" s="12">
        <f t="shared" si="66"/>
        <v>0</v>
      </c>
      <c r="W538" s="12"/>
      <c r="X538" s="12"/>
      <c r="Y538" s="12">
        <f t="shared" si="67"/>
        <v>0</v>
      </c>
      <c r="Z538" s="12"/>
      <c r="AA538" s="12"/>
      <c r="AB538" s="13">
        <f t="shared" si="69"/>
        <v>0</v>
      </c>
      <c r="AC538" s="14">
        <v>46097</v>
      </c>
    </row>
    <row r="539" spans="1:29" ht="16.5" thickBot="1" x14ac:dyDescent="0.3">
      <c r="A539" s="53">
        <v>46098</v>
      </c>
      <c r="B539" s="31" t="s">
        <v>632</v>
      </c>
      <c r="C539" s="31"/>
      <c r="D539" s="31" t="s">
        <v>195</v>
      </c>
      <c r="E539" s="31" t="s">
        <v>114</v>
      </c>
      <c r="F539" s="31">
        <v>20</v>
      </c>
      <c r="G539" s="31" t="s">
        <v>67</v>
      </c>
      <c r="H539" s="31">
        <v>50000</v>
      </c>
      <c r="I539" s="31">
        <f t="shared" si="68"/>
        <v>1000000</v>
      </c>
      <c r="J539" s="51" t="s">
        <v>110</v>
      </c>
      <c r="K539" s="31"/>
      <c r="L539" s="31" t="s">
        <v>650</v>
      </c>
      <c r="M539" s="34">
        <f t="shared" si="63"/>
        <v>0</v>
      </c>
      <c r="N539" s="34"/>
      <c r="O539" s="34"/>
      <c r="P539" s="34">
        <f t="shared" si="64"/>
        <v>1000000</v>
      </c>
      <c r="Q539" s="34">
        <v>1000000</v>
      </c>
      <c r="R539" s="34"/>
      <c r="S539" s="34">
        <f t="shared" si="65"/>
        <v>0</v>
      </c>
      <c r="T539" s="34"/>
      <c r="U539" s="34"/>
      <c r="V539" s="34">
        <f t="shared" si="66"/>
        <v>0</v>
      </c>
      <c r="W539" s="34"/>
      <c r="X539" s="34"/>
      <c r="Y539" s="34">
        <f t="shared" si="67"/>
        <v>0</v>
      </c>
      <c r="Z539" s="34"/>
      <c r="AA539" s="34"/>
      <c r="AB539" s="35">
        <f t="shared" si="69"/>
        <v>0</v>
      </c>
      <c r="AC539" s="36">
        <v>46097</v>
      </c>
    </row>
    <row r="540" spans="1:29" ht="15.75" x14ac:dyDescent="0.25">
      <c r="A540" s="65">
        <v>46099</v>
      </c>
      <c r="B540" s="66" t="s">
        <v>50</v>
      </c>
      <c r="C540" s="66"/>
      <c r="D540" s="66" t="s">
        <v>195</v>
      </c>
      <c r="E540" s="66" t="s">
        <v>421</v>
      </c>
      <c r="F540" s="66">
        <v>10</v>
      </c>
      <c r="G540" s="66" t="s">
        <v>22</v>
      </c>
      <c r="H540" s="66">
        <v>400000</v>
      </c>
      <c r="I540" s="10">
        <f>F540*H540</f>
        <v>4000000</v>
      </c>
      <c r="J540" s="84" t="s">
        <v>110</v>
      </c>
      <c r="K540" s="66"/>
      <c r="L540" s="10" t="s">
        <v>657</v>
      </c>
      <c r="M540" s="12">
        <f t="shared" si="63"/>
        <v>0</v>
      </c>
      <c r="N540" s="12"/>
      <c r="O540" s="12"/>
      <c r="P540" s="12">
        <f t="shared" si="64"/>
        <v>4000000</v>
      </c>
      <c r="Q540" s="12">
        <v>4000000</v>
      </c>
      <c r="R540" s="12"/>
      <c r="S540" s="12">
        <f t="shared" si="65"/>
        <v>0</v>
      </c>
      <c r="T540" s="12"/>
      <c r="U540" s="12"/>
      <c r="V540" s="12">
        <f t="shared" si="66"/>
        <v>0</v>
      </c>
      <c r="W540" s="12"/>
      <c r="X540" s="12"/>
      <c r="Y540" s="12">
        <f t="shared" si="67"/>
        <v>0</v>
      </c>
      <c r="Z540" s="12"/>
      <c r="AA540" s="12"/>
      <c r="AB540" s="13">
        <f>C540+I540-M540-P540-V540-Y540-S540</f>
        <v>0</v>
      </c>
      <c r="AC540" s="14">
        <v>46099</v>
      </c>
    </row>
    <row r="541" spans="1:29" ht="15.75" x14ac:dyDescent="0.25">
      <c r="A541" s="65">
        <v>46099</v>
      </c>
      <c r="B541" s="10" t="s">
        <v>77</v>
      </c>
      <c r="C541" s="10"/>
      <c r="D541" s="66" t="s">
        <v>195</v>
      </c>
      <c r="E541" s="10" t="s">
        <v>78</v>
      </c>
      <c r="F541" s="10">
        <v>5</v>
      </c>
      <c r="G541" s="10" t="s">
        <v>61</v>
      </c>
      <c r="H541" s="10">
        <v>250000</v>
      </c>
      <c r="I541" s="10">
        <f t="shared" ref="I541:I550" si="70">F541*H541</f>
        <v>1250000</v>
      </c>
      <c r="J541" s="84" t="s">
        <v>110</v>
      </c>
      <c r="K541" s="10"/>
      <c r="L541" s="10" t="s">
        <v>655</v>
      </c>
      <c r="M541" s="12">
        <f t="shared" si="63"/>
        <v>0</v>
      </c>
      <c r="N541" s="12"/>
      <c r="O541" s="12"/>
      <c r="P541" s="12">
        <f t="shared" si="64"/>
        <v>1250000</v>
      </c>
      <c r="Q541" s="12">
        <v>1250000</v>
      </c>
      <c r="R541" s="12"/>
      <c r="S541" s="12">
        <f t="shared" si="65"/>
        <v>0</v>
      </c>
      <c r="T541" s="12"/>
      <c r="U541" s="12"/>
      <c r="V541" s="12">
        <f t="shared" si="66"/>
        <v>0</v>
      </c>
      <c r="W541" s="12"/>
      <c r="X541" s="12"/>
      <c r="Y541" s="12">
        <f t="shared" si="67"/>
        <v>0</v>
      </c>
      <c r="Z541" s="12"/>
      <c r="AA541" s="12"/>
      <c r="AB541" s="13">
        <f t="shared" ref="AB541:AB550" si="71">C541+I541-M541-P541-V541-Y541-S541</f>
        <v>0</v>
      </c>
      <c r="AC541" s="14">
        <v>46099</v>
      </c>
    </row>
    <row r="542" spans="1:29" ht="15.75" x14ac:dyDescent="0.25">
      <c r="A542" s="65">
        <v>46099</v>
      </c>
      <c r="B542" s="10" t="s">
        <v>275</v>
      </c>
      <c r="C542" s="10"/>
      <c r="D542" s="66" t="s">
        <v>195</v>
      </c>
      <c r="E542" s="131" t="s">
        <v>107</v>
      </c>
      <c r="F542" s="10">
        <v>20</v>
      </c>
      <c r="G542" s="10" t="s">
        <v>36</v>
      </c>
      <c r="H542" s="10">
        <v>55000</v>
      </c>
      <c r="I542" s="10">
        <f t="shared" si="70"/>
        <v>1100000</v>
      </c>
      <c r="J542" s="29" t="s">
        <v>113</v>
      </c>
      <c r="K542" s="10"/>
      <c r="L542" s="10"/>
      <c r="M542" s="12">
        <f t="shared" si="63"/>
        <v>1100000</v>
      </c>
      <c r="N542" s="12">
        <v>1100000</v>
      </c>
      <c r="O542" s="12"/>
      <c r="P542" s="12">
        <f t="shared" si="64"/>
        <v>0</v>
      </c>
      <c r="Q542" s="12"/>
      <c r="R542" s="12"/>
      <c r="S542" s="12">
        <f t="shared" si="65"/>
        <v>0</v>
      </c>
      <c r="T542" s="12"/>
      <c r="U542" s="12"/>
      <c r="V542" s="12">
        <f t="shared" si="66"/>
        <v>0</v>
      </c>
      <c r="W542" s="12"/>
      <c r="X542" s="12"/>
      <c r="Y542" s="12">
        <f t="shared" si="67"/>
        <v>0</v>
      </c>
      <c r="Z542" s="12"/>
      <c r="AA542" s="12"/>
      <c r="AB542" s="13">
        <f t="shared" si="71"/>
        <v>0</v>
      </c>
      <c r="AC542" s="14">
        <v>46099</v>
      </c>
    </row>
    <row r="543" spans="1:29" ht="15.75" x14ac:dyDescent="0.25">
      <c r="A543" s="65">
        <v>46099</v>
      </c>
      <c r="B543" s="10" t="s">
        <v>319</v>
      </c>
      <c r="C543" s="10"/>
      <c r="D543" s="10" t="s">
        <v>383</v>
      </c>
      <c r="E543" s="10" t="s">
        <v>119</v>
      </c>
      <c r="F543" s="10">
        <v>25</v>
      </c>
      <c r="G543" s="10" t="s">
        <v>36</v>
      </c>
      <c r="H543" s="10">
        <v>180000</v>
      </c>
      <c r="I543" s="10">
        <f t="shared" si="70"/>
        <v>4500000</v>
      </c>
      <c r="J543" s="52" t="s">
        <v>90</v>
      </c>
      <c r="K543" s="10" t="s">
        <v>649</v>
      </c>
      <c r="L543" s="10"/>
      <c r="M543" s="12">
        <f t="shared" si="63"/>
        <v>0</v>
      </c>
      <c r="N543" s="12"/>
      <c r="O543" s="12"/>
      <c r="P543" s="12">
        <f t="shared" si="64"/>
        <v>0</v>
      </c>
      <c r="Q543" s="12"/>
      <c r="R543" s="12"/>
      <c r="S543" s="12">
        <f t="shared" si="65"/>
        <v>0</v>
      </c>
      <c r="T543" s="12"/>
      <c r="U543" s="12"/>
      <c r="V543" s="12">
        <f t="shared" si="66"/>
        <v>0</v>
      </c>
      <c r="W543" s="12"/>
      <c r="X543" s="12"/>
      <c r="Y543" s="12">
        <f t="shared" si="67"/>
        <v>0</v>
      </c>
      <c r="Z543" s="12"/>
      <c r="AA543" s="12"/>
      <c r="AB543" s="13">
        <f t="shared" si="71"/>
        <v>4500000</v>
      </c>
      <c r="AC543" s="14"/>
    </row>
    <row r="544" spans="1:29" ht="15.75" x14ac:dyDescent="0.25">
      <c r="A544" s="65">
        <v>46099</v>
      </c>
      <c r="B544" s="10" t="s">
        <v>319</v>
      </c>
      <c r="C544" s="10"/>
      <c r="D544" s="10" t="s">
        <v>383</v>
      </c>
      <c r="E544" s="10" t="s">
        <v>88</v>
      </c>
      <c r="F544" s="10">
        <v>25</v>
      </c>
      <c r="G544" s="10" t="s">
        <v>36</v>
      </c>
      <c r="H544" s="10">
        <v>125000</v>
      </c>
      <c r="I544" s="10">
        <f t="shared" si="70"/>
        <v>3125000</v>
      </c>
      <c r="J544" s="29" t="s">
        <v>110</v>
      </c>
      <c r="K544" s="10"/>
      <c r="L544" s="10" t="s">
        <v>656</v>
      </c>
      <c r="M544" s="12">
        <f t="shared" si="63"/>
        <v>0</v>
      </c>
      <c r="N544" s="12"/>
      <c r="O544" s="12"/>
      <c r="P544" s="12">
        <f t="shared" si="64"/>
        <v>3125000</v>
      </c>
      <c r="Q544" s="12">
        <v>3125000</v>
      </c>
      <c r="R544" s="12"/>
      <c r="S544" s="12">
        <f t="shared" si="65"/>
        <v>0</v>
      </c>
      <c r="T544" s="12"/>
      <c r="U544" s="12"/>
      <c r="V544" s="12">
        <f t="shared" si="66"/>
        <v>0</v>
      </c>
      <c r="W544" s="12"/>
      <c r="X544" s="12"/>
      <c r="Y544" s="12">
        <f t="shared" si="67"/>
        <v>0</v>
      </c>
      <c r="Z544" s="12"/>
      <c r="AA544" s="12"/>
      <c r="AB544" s="13">
        <f t="shared" si="71"/>
        <v>0</v>
      </c>
      <c r="AC544" s="14">
        <v>46099</v>
      </c>
    </row>
    <row r="545" spans="1:29" ht="15.75" x14ac:dyDescent="0.25">
      <c r="A545" s="65">
        <v>46099</v>
      </c>
      <c r="B545" s="10" t="s">
        <v>272</v>
      </c>
      <c r="C545" s="10"/>
      <c r="D545" s="10"/>
      <c r="E545" s="10" t="s">
        <v>463</v>
      </c>
      <c r="F545" s="10">
        <v>40.4</v>
      </c>
      <c r="G545" s="10" t="s">
        <v>36</v>
      </c>
      <c r="H545" s="10">
        <v>43000</v>
      </c>
      <c r="I545" s="10">
        <f t="shared" si="70"/>
        <v>1737200</v>
      </c>
      <c r="J545" s="86" t="s">
        <v>76</v>
      </c>
      <c r="K545" s="10"/>
      <c r="L545" s="10"/>
      <c r="M545" s="12">
        <f t="shared" si="63"/>
        <v>0</v>
      </c>
      <c r="N545" s="12"/>
      <c r="O545" s="12"/>
      <c r="P545" s="12">
        <f t="shared" si="64"/>
        <v>0</v>
      </c>
      <c r="Q545" s="12"/>
      <c r="R545" s="12"/>
      <c r="S545" s="12">
        <f t="shared" si="65"/>
        <v>0</v>
      </c>
      <c r="T545" s="12"/>
      <c r="U545" s="12"/>
      <c r="V545" s="12">
        <f t="shared" si="66"/>
        <v>0</v>
      </c>
      <c r="W545" s="12"/>
      <c r="X545" s="12"/>
      <c r="Y545" s="12">
        <f t="shared" si="67"/>
        <v>0</v>
      </c>
      <c r="Z545" s="12"/>
      <c r="AA545" s="12"/>
      <c r="AB545" s="13">
        <f t="shared" si="71"/>
        <v>1737200</v>
      </c>
      <c r="AC545" s="14"/>
    </row>
    <row r="546" spans="1:29" s="148" customFormat="1" ht="16.5" thickBot="1" x14ac:dyDescent="0.3">
      <c r="A546" s="65">
        <v>46099</v>
      </c>
      <c r="B546" s="10" t="s">
        <v>272</v>
      </c>
      <c r="C546" s="10"/>
      <c r="D546" s="10"/>
      <c r="E546" s="10" t="s">
        <v>653</v>
      </c>
      <c r="F546" s="10">
        <v>37.5</v>
      </c>
      <c r="G546" s="10" t="s">
        <v>36</v>
      </c>
      <c r="H546" s="10">
        <v>43000</v>
      </c>
      <c r="I546" s="10">
        <f t="shared" si="70"/>
        <v>1612500</v>
      </c>
      <c r="J546" s="86" t="s">
        <v>76</v>
      </c>
      <c r="K546" s="10"/>
      <c r="L546" s="10"/>
      <c r="M546" s="12">
        <f t="shared" si="63"/>
        <v>0</v>
      </c>
      <c r="N546" s="12"/>
      <c r="O546" s="12"/>
      <c r="P546" s="12">
        <f t="shared" si="64"/>
        <v>0</v>
      </c>
      <c r="Q546" s="12"/>
      <c r="R546" s="12"/>
      <c r="S546" s="12">
        <f t="shared" si="65"/>
        <v>0</v>
      </c>
      <c r="T546" s="12"/>
      <c r="U546" s="12"/>
      <c r="V546" s="12">
        <f t="shared" si="66"/>
        <v>0</v>
      </c>
      <c r="W546" s="12"/>
      <c r="X546" s="12"/>
      <c r="Y546" s="12">
        <f t="shared" si="67"/>
        <v>0</v>
      </c>
      <c r="Z546" s="12"/>
      <c r="AA546" s="12"/>
      <c r="AB546" s="13">
        <f t="shared" si="71"/>
        <v>1612500</v>
      </c>
      <c r="AC546" s="14"/>
    </row>
    <row r="547" spans="1:29" ht="15.75" x14ac:dyDescent="0.25">
      <c r="A547" s="65">
        <v>46099</v>
      </c>
      <c r="B547" s="10" t="s">
        <v>109</v>
      </c>
      <c r="C547" s="10"/>
      <c r="D547" s="10" t="s">
        <v>383</v>
      </c>
      <c r="E547" s="10" t="s">
        <v>141</v>
      </c>
      <c r="F547" s="10">
        <v>2000</v>
      </c>
      <c r="G547" s="10" t="s">
        <v>26</v>
      </c>
      <c r="H547" s="10">
        <v>2000</v>
      </c>
      <c r="I547" s="10">
        <f t="shared" si="70"/>
        <v>4000000</v>
      </c>
      <c r="J547" s="84" t="s">
        <v>110</v>
      </c>
      <c r="K547" s="10"/>
      <c r="L547" s="10"/>
      <c r="M547" s="12">
        <f t="shared" si="63"/>
        <v>0</v>
      </c>
      <c r="N547" s="12"/>
      <c r="O547" s="12"/>
      <c r="P547" s="12">
        <f t="shared" si="64"/>
        <v>0</v>
      </c>
      <c r="Q547" s="12"/>
      <c r="R547" s="12"/>
      <c r="S547" s="12">
        <f t="shared" si="65"/>
        <v>4000000</v>
      </c>
      <c r="T547" s="149">
        <v>4000000</v>
      </c>
      <c r="U547" s="12"/>
      <c r="V547" s="12">
        <f t="shared" si="66"/>
        <v>0</v>
      </c>
      <c r="W547" s="12"/>
      <c r="X547" s="12"/>
      <c r="Y547" s="12">
        <f t="shared" si="67"/>
        <v>0</v>
      </c>
      <c r="Z547" s="12"/>
      <c r="AA547" s="12"/>
      <c r="AB547" s="13">
        <f t="shared" si="71"/>
        <v>0</v>
      </c>
      <c r="AC547" s="14">
        <v>46099</v>
      </c>
    </row>
    <row r="548" spans="1:29" ht="15.75" x14ac:dyDescent="0.25">
      <c r="A548" s="65">
        <v>46099</v>
      </c>
      <c r="B548" s="10" t="s">
        <v>109</v>
      </c>
      <c r="C548" s="10"/>
      <c r="D548" s="10" t="s">
        <v>383</v>
      </c>
      <c r="E548" s="10" t="s">
        <v>134</v>
      </c>
      <c r="F548" s="10">
        <v>1</v>
      </c>
      <c r="G548" s="10" t="s">
        <v>26</v>
      </c>
      <c r="H548" s="10">
        <v>75000</v>
      </c>
      <c r="I548" s="10">
        <f t="shared" si="70"/>
        <v>75000</v>
      </c>
      <c r="J548" s="29" t="s">
        <v>110</v>
      </c>
      <c r="K548" s="10" t="s">
        <v>659</v>
      </c>
      <c r="L548" s="10"/>
      <c r="M548" s="12">
        <f t="shared" si="63"/>
        <v>0</v>
      </c>
      <c r="N548" s="12"/>
      <c r="O548" s="12"/>
      <c r="P548" s="12">
        <f t="shared" si="64"/>
        <v>0</v>
      </c>
      <c r="Q548" s="12"/>
      <c r="R548" s="12"/>
      <c r="S548" s="12">
        <f t="shared" si="65"/>
        <v>75000</v>
      </c>
      <c r="T548" s="149">
        <v>75000</v>
      </c>
      <c r="U548" s="12"/>
      <c r="V548" s="12">
        <f t="shared" si="66"/>
        <v>0</v>
      </c>
      <c r="W548" s="12"/>
      <c r="X548" s="12"/>
      <c r="Y548" s="12">
        <f t="shared" si="67"/>
        <v>0</v>
      </c>
      <c r="Z548" s="12"/>
      <c r="AA548" s="12"/>
      <c r="AB548" s="13">
        <f t="shared" si="71"/>
        <v>0</v>
      </c>
      <c r="AC548" s="14">
        <v>46100</v>
      </c>
    </row>
    <row r="549" spans="1:29" ht="15.75" x14ac:dyDescent="0.25">
      <c r="A549" s="65">
        <v>46099</v>
      </c>
      <c r="B549" s="10" t="s">
        <v>109</v>
      </c>
      <c r="C549" s="10"/>
      <c r="D549" s="10" t="s">
        <v>383</v>
      </c>
      <c r="E549" s="10" t="s">
        <v>112</v>
      </c>
      <c r="F549" s="10">
        <v>1</v>
      </c>
      <c r="G549" s="10" t="s">
        <v>26</v>
      </c>
      <c r="H549" s="10">
        <v>95000</v>
      </c>
      <c r="I549" s="10">
        <f t="shared" si="70"/>
        <v>95000</v>
      </c>
      <c r="J549" s="29" t="s">
        <v>110</v>
      </c>
      <c r="K549" s="10" t="s">
        <v>659</v>
      </c>
      <c r="L549" s="10"/>
      <c r="M549" s="12">
        <f t="shared" si="63"/>
        <v>0</v>
      </c>
      <c r="N549" s="12"/>
      <c r="O549" s="12"/>
      <c r="P549" s="12">
        <f t="shared" si="64"/>
        <v>0</v>
      </c>
      <c r="Q549" s="12"/>
      <c r="R549" s="12"/>
      <c r="S549" s="12">
        <f t="shared" si="65"/>
        <v>95000</v>
      </c>
      <c r="T549" s="149">
        <v>95000</v>
      </c>
      <c r="U549" s="12"/>
      <c r="V549" s="12">
        <f t="shared" si="66"/>
        <v>0</v>
      </c>
      <c r="W549" s="12"/>
      <c r="X549" s="12"/>
      <c r="Y549" s="12">
        <f t="shared" si="67"/>
        <v>0</v>
      </c>
      <c r="Z549" s="12"/>
      <c r="AA549" s="12"/>
      <c r="AB549" s="13">
        <f t="shared" si="71"/>
        <v>0</v>
      </c>
      <c r="AC549" s="14">
        <v>46100</v>
      </c>
    </row>
    <row r="550" spans="1:29" ht="15.75" x14ac:dyDescent="0.25">
      <c r="A550" s="65">
        <v>46099</v>
      </c>
      <c r="B550" s="10" t="s">
        <v>233</v>
      </c>
      <c r="C550" s="10"/>
      <c r="D550" s="10" t="s">
        <v>195</v>
      </c>
      <c r="E550" s="10" t="s">
        <v>65</v>
      </c>
      <c r="F550" s="10">
        <v>100</v>
      </c>
      <c r="G550" s="10" t="s">
        <v>26</v>
      </c>
      <c r="H550" s="10">
        <v>4000</v>
      </c>
      <c r="I550" s="10">
        <f t="shared" si="70"/>
        <v>400000</v>
      </c>
      <c r="J550" s="29" t="s">
        <v>110</v>
      </c>
      <c r="K550" s="10"/>
      <c r="L550" s="10"/>
      <c r="M550" s="12">
        <f t="shared" si="63"/>
        <v>0</v>
      </c>
      <c r="N550" s="12"/>
      <c r="O550" s="12"/>
      <c r="P550" s="12">
        <f t="shared" si="64"/>
        <v>0</v>
      </c>
      <c r="Q550" s="12"/>
      <c r="R550" s="12"/>
      <c r="S550" s="12">
        <f t="shared" si="65"/>
        <v>400000</v>
      </c>
      <c r="T550" s="149">
        <v>400000</v>
      </c>
      <c r="U550" s="12"/>
      <c r="V550" s="12">
        <f t="shared" si="66"/>
        <v>0</v>
      </c>
      <c r="W550" s="12"/>
      <c r="X550" s="12"/>
      <c r="Y550" s="12">
        <f t="shared" si="67"/>
        <v>0</v>
      </c>
      <c r="Z550" s="12"/>
      <c r="AA550" s="12"/>
      <c r="AB550" s="13">
        <f t="shared" si="71"/>
        <v>0</v>
      </c>
      <c r="AC550" s="14">
        <v>46099</v>
      </c>
    </row>
    <row r="551" spans="1:29" ht="15.75" x14ac:dyDescent="0.25">
      <c r="A551" s="28">
        <v>46099</v>
      </c>
      <c r="B551" s="10" t="s">
        <v>158</v>
      </c>
      <c r="C551" s="10"/>
      <c r="D551" s="10" t="s">
        <v>383</v>
      </c>
      <c r="E551" s="10" t="s">
        <v>104</v>
      </c>
      <c r="F551" s="10">
        <v>10400</v>
      </c>
      <c r="G551" s="10" t="s">
        <v>26</v>
      </c>
      <c r="H551" s="10">
        <v>1850</v>
      </c>
      <c r="I551" s="10">
        <f>F551*H551</f>
        <v>19240000</v>
      </c>
      <c r="J551" s="52" t="s">
        <v>90</v>
      </c>
      <c r="K551" s="10" t="s">
        <v>660</v>
      </c>
      <c r="L551" s="10"/>
      <c r="M551" s="12">
        <f t="shared" si="63"/>
        <v>0</v>
      </c>
      <c r="N551" s="12"/>
      <c r="O551" s="12"/>
      <c r="P551" s="12">
        <f t="shared" si="64"/>
        <v>0</v>
      </c>
      <c r="Q551" s="12"/>
      <c r="R551" s="12"/>
      <c r="S551" s="12">
        <f t="shared" si="65"/>
        <v>0</v>
      </c>
      <c r="T551" s="12"/>
      <c r="U551" s="12"/>
      <c r="V551" s="12">
        <f t="shared" si="66"/>
        <v>0</v>
      </c>
      <c r="W551" s="12"/>
      <c r="X551" s="12"/>
      <c r="Y551" s="12">
        <f t="shared" si="67"/>
        <v>0</v>
      </c>
      <c r="Z551" s="12"/>
      <c r="AA551" s="12"/>
      <c r="AB551" s="13">
        <f>C551+I551-M551-P551-V551-Y551-S551</f>
        <v>19240000</v>
      </c>
      <c r="AC551" s="14"/>
    </row>
    <row r="552" spans="1:29" ht="15.75" x14ac:dyDescent="0.25">
      <c r="A552" s="65">
        <v>46099</v>
      </c>
      <c r="B552" s="10" t="s">
        <v>281</v>
      </c>
      <c r="C552" s="10"/>
      <c r="D552" s="10" t="s">
        <v>195</v>
      </c>
      <c r="E552" s="10" t="s">
        <v>424</v>
      </c>
      <c r="F552" s="10">
        <v>4</v>
      </c>
      <c r="G552" s="10" t="s">
        <v>22</v>
      </c>
      <c r="H552" s="10">
        <v>40000</v>
      </c>
      <c r="I552" s="10">
        <f t="shared" ref="I552:I565" si="72">F552*H552</f>
        <v>160000</v>
      </c>
      <c r="J552" s="29" t="s">
        <v>110</v>
      </c>
      <c r="K552" s="10"/>
      <c r="L552" s="10"/>
      <c r="M552" s="12">
        <f t="shared" si="63"/>
        <v>0</v>
      </c>
      <c r="N552" s="12"/>
      <c r="O552" s="12"/>
      <c r="P552" s="12">
        <f t="shared" si="64"/>
        <v>0</v>
      </c>
      <c r="Q552" s="12"/>
      <c r="R552" s="12"/>
      <c r="S552" s="12">
        <f t="shared" si="65"/>
        <v>160000</v>
      </c>
      <c r="T552" s="132">
        <v>160000</v>
      </c>
      <c r="U552" s="12"/>
      <c r="V552" s="12">
        <f t="shared" si="66"/>
        <v>0</v>
      </c>
      <c r="W552" s="12"/>
      <c r="X552" s="12"/>
      <c r="Y552" s="12">
        <f t="shared" si="67"/>
        <v>0</v>
      </c>
      <c r="Z552" s="12"/>
      <c r="AA552" s="12"/>
      <c r="AB552" s="13">
        <f t="shared" ref="AB552" si="73">C552+I552-M552-P552-V552-Y552-S552</f>
        <v>0</v>
      </c>
      <c r="AC552" s="14">
        <v>46099</v>
      </c>
    </row>
    <row r="553" spans="1:29" ht="16.5" thickBot="1" x14ac:dyDescent="0.3">
      <c r="A553" s="53">
        <v>46099</v>
      </c>
      <c r="B553" s="31" t="s">
        <v>658</v>
      </c>
      <c r="C553" s="31"/>
      <c r="D553" s="31" t="s">
        <v>195</v>
      </c>
      <c r="E553" s="31" t="s">
        <v>189</v>
      </c>
      <c r="F553" s="31">
        <v>1</v>
      </c>
      <c r="G553" s="31" t="s">
        <v>61</v>
      </c>
      <c r="H553" s="31">
        <v>300000</v>
      </c>
      <c r="I553" s="31">
        <f t="shared" si="72"/>
        <v>300000</v>
      </c>
      <c r="J553" s="51" t="s">
        <v>110</v>
      </c>
      <c r="K553" s="31"/>
      <c r="L553" s="31"/>
      <c r="M553" s="34">
        <f t="shared" si="63"/>
        <v>0</v>
      </c>
      <c r="N553" s="34"/>
      <c r="O553" s="34"/>
      <c r="P553" s="34">
        <f t="shared" si="64"/>
        <v>0</v>
      </c>
      <c r="Q553" s="34"/>
      <c r="R553" s="34"/>
      <c r="S553" s="34">
        <f t="shared" si="65"/>
        <v>300000</v>
      </c>
      <c r="T553" s="150">
        <v>300000</v>
      </c>
      <c r="U553" s="34"/>
      <c r="V553" s="34">
        <f t="shared" si="66"/>
        <v>0</v>
      </c>
      <c r="W553" s="34"/>
      <c r="X553" s="34"/>
      <c r="Y553" s="34">
        <f t="shared" si="67"/>
        <v>0</v>
      </c>
      <c r="Z553" s="34"/>
      <c r="AA553" s="34"/>
      <c r="AB553" s="35">
        <f>C553+I553-M553-P553-V553-Y553-S553</f>
        <v>0</v>
      </c>
      <c r="AC553" s="36">
        <v>46099</v>
      </c>
    </row>
    <row r="554" spans="1:29" ht="15.75" x14ac:dyDescent="0.25">
      <c r="A554" s="65">
        <v>46100</v>
      </c>
      <c r="B554" s="66" t="s">
        <v>321</v>
      </c>
      <c r="C554" s="66"/>
      <c r="D554" s="66" t="s">
        <v>195</v>
      </c>
      <c r="E554" s="66" t="s">
        <v>51</v>
      </c>
      <c r="F554" s="66">
        <v>1</v>
      </c>
      <c r="G554" s="66" t="s">
        <v>22</v>
      </c>
      <c r="H554" s="66">
        <v>400000</v>
      </c>
      <c r="I554" s="10">
        <f t="shared" si="72"/>
        <v>400000</v>
      </c>
      <c r="J554" s="84" t="s">
        <v>113</v>
      </c>
      <c r="K554" s="66"/>
      <c r="L554" s="10"/>
      <c r="M554" s="12">
        <f t="shared" si="63"/>
        <v>400000</v>
      </c>
      <c r="N554" s="12">
        <v>400000</v>
      </c>
      <c r="O554" s="12"/>
      <c r="P554" s="12">
        <f t="shared" si="64"/>
        <v>0</v>
      </c>
      <c r="Q554" s="12"/>
      <c r="R554" s="12"/>
      <c r="S554" s="12">
        <f t="shared" si="65"/>
        <v>0</v>
      </c>
      <c r="T554" s="12"/>
      <c r="U554" s="12"/>
      <c r="V554" s="12">
        <f t="shared" si="66"/>
        <v>0</v>
      </c>
      <c r="W554" s="12"/>
      <c r="X554" s="12"/>
      <c r="Y554" s="12">
        <f t="shared" si="67"/>
        <v>0</v>
      </c>
      <c r="Z554" s="12"/>
      <c r="AA554" s="12"/>
      <c r="AB554" s="13">
        <f>C554+I554-M554-P554-V554-Y554-S554</f>
        <v>0</v>
      </c>
      <c r="AC554" s="14">
        <v>46100</v>
      </c>
    </row>
    <row r="555" spans="1:29" ht="15.75" x14ac:dyDescent="0.25">
      <c r="A555" s="65">
        <v>46100</v>
      </c>
      <c r="B555" s="10" t="s">
        <v>381</v>
      </c>
      <c r="C555" s="10"/>
      <c r="D555" s="10" t="s">
        <v>383</v>
      </c>
      <c r="E555" s="10" t="s">
        <v>228</v>
      </c>
      <c r="F555" s="10">
        <v>7</v>
      </c>
      <c r="G555" s="10" t="s">
        <v>36</v>
      </c>
      <c r="H555" s="10">
        <v>300000</v>
      </c>
      <c r="I555" s="10">
        <f t="shared" si="72"/>
        <v>2100000</v>
      </c>
      <c r="J555" s="84" t="s">
        <v>113</v>
      </c>
      <c r="K555" s="10"/>
      <c r="L555" s="10"/>
      <c r="M555" s="12">
        <f t="shared" si="63"/>
        <v>2100000</v>
      </c>
      <c r="N555" s="12">
        <v>2100000</v>
      </c>
      <c r="O555" s="12"/>
      <c r="P555" s="12">
        <f t="shared" si="64"/>
        <v>0</v>
      </c>
      <c r="Q555" s="12"/>
      <c r="R555" s="12"/>
      <c r="S555" s="12">
        <f t="shared" si="65"/>
        <v>0</v>
      </c>
      <c r="T555" s="12"/>
      <c r="U555" s="12"/>
      <c r="V555" s="12">
        <f t="shared" si="66"/>
        <v>0</v>
      </c>
      <c r="W555" s="12"/>
      <c r="X555" s="12"/>
      <c r="Y555" s="12">
        <f t="shared" si="67"/>
        <v>0</v>
      </c>
      <c r="Z555" s="12"/>
      <c r="AA555" s="12"/>
      <c r="AB555" s="13">
        <f t="shared" ref="AB555:AB565" si="74">C555+I555-M555-P555-V555-Y555-S555</f>
        <v>0</v>
      </c>
      <c r="AC555" s="14">
        <v>46100</v>
      </c>
    </row>
    <row r="556" spans="1:29" ht="15.75" x14ac:dyDescent="0.25">
      <c r="A556" s="65">
        <v>46100</v>
      </c>
      <c r="B556" s="10" t="s">
        <v>109</v>
      </c>
      <c r="C556" s="10"/>
      <c r="D556" s="10" t="s">
        <v>195</v>
      </c>
      <c r="E556" s="10" t="s">
        <v>141</v>
      </c>
      <c r="F556" s="10">
        <v>1000</v>
      </c>
      <c r="G556" s="10" t="s">
        <v>26</v>
      </c>
      <c r="H556" s="10">
        <v>2000</v>
      </c>
      <c r="I556" s="10">
        <f t="shared" si="72"/>
        <v>2000000</v>
      </c>
      <c r="J556" s="84" t="s">
        <v>110</v>
      </c>
      <c r="K556" s="10"/>
      <c r="L556" s="10"/>
      <c r="M556" s="12">
        <f t="shared" si="63"/>
        <v>0</v>
      </c>
      <c r="N556" s="12"/>
      <c r="O556" s="12"/>
      <c r="P556" s="12">
        <f t="shared" si="64"/>
        <v>0</v>
      </c>
      <c r="Q556" s="12"/>
      <c r="R556" s="12"/>
      <c r="S556" s="12">
        <f t="shared" si="65"/>
        <v>2000000</v>
      </c>
      <c r="T556" s="149">
        <v>2000000</v>
      </c>
      <c r="U556" s="12"/>
      <c r="V556" s="12">
        <f t="shared" si="66"/>
        <v>0</v>
      </c>
      <c r="W556" s="12"/>
      <c r="X556" s="12"/>
      <c r="Y556" s="12">
        <f t="shared" si="67"/>
        <v>0</v>
      </c>
      <c r="Z556" s="12"/>
      <c r="AA556" s="12"/>
      <c r="AB556" s="13">
        <f t="shared" si="74"/>
        <v>0</v>
      </c>
      <c r="AC556" s="14">
        <v>46100</v>
      </c>
    </row>
    <row r="557" spans="1:29" ht="15.75" x14ac:dyDescent="0.25">
      <c r="A557" s="65">
        <v>46100</v>
      </c>
      <c r="B557" s="10" t="s">
        <v>268</v>
      </c>
      <c r="C557" s="10"/>
      <c r="D557" s="10" t="s">
        <v>195</v>
      </c>
      <c r="E557" s="10" t="s">
        <v>175</v>
      </c>
      <c r="F557" s="10">
        <v>1000</v>
      </c>
      <c r="G557" s="10" t="s">
        <v>26</v>
      </c>
      <c r="H557" s="10">
        <v>1000</v>
      </c>
      <c r="I557" s="10">
        <f t="shared" si="72"/>
        <v>1000000</v>
      </c>
      <c r="J557" s="29" t="s">
        <v>110</v>
      </c>
      <c r="K557" s="10"/>
      <c r="L557" s="10"/>
      <c r="M557" s="12">
        <f t="shared" si="63"/>
        <v>0</v>
      </c>
      <c r="N557" s="12"/>
      <c r="O557" s="12"/>
      <c r="P557" s="12">
        <f t="shared" si="64"/>
        <v>0</v>
      </c>
      <c r="Q557" s="12"/>
      <c r="R557" s="12"/>
      <c r="S557" s="12">
        <f t="shared" si="65"/>
        <v>1000000</v>
      </c>
      <c r="T557" s="12">
        <v>1000000</v>
      </c>
      <c r="U557" s="12"/>
      <c r="V557" s="12">
        <f t="shared" si="66"/>
        <v>0</v>
      </c>
      <c r="W557" s="12"/>
      <c r="X557" s="12"/>
      <c r="Y557" s="12">
        <f t="shared" si="67"/>
        <v>0</v>
      </c>
      <c r="Z557" s="12"/>
      <c r="AA557" s="12"/>
      <c r="AB557" s="13">
        <f t="shared" si="74"/>
        <v>0</v>
      </c>
      <c r="AC557" s="14">
        <v>46100</v>
      </c>
    </row>
    <row r="558" spans="1:29" ht="15.75" x14ac:dyDescent="0.25">
      <c r="A558" s="65">
        <v>46100</v>
      </c>
      <c r="B558" s="10" t="s">
        <v>303</v>
      </c>
      <c r="C558" s="10"/>
      <c r="D558" s="10" t="s">
        <v>195</v>
      </c>
      <c r="E558" s="10" t="s">
        <v>116</v>
      </c>
      <c r="F558" s="10">
        <v>12</v>
      </c>
      <c r="G558" s="10" t="s">
        <v>67</v>
      </c>
      <c r="H558" s="10">
        <v>65000</v>
      </c>
      <c r="I558" s="10">
        <f t="shared" si="72"/>
        <v>780000</v>
      </c>
      <c r="J558" s="29" t="s">
        <v>110</v>
      </c>
      <c r="K558" s="10"/>
      <c r="L558" s="10" t="s">
        <v>664</v>
      </c>
      <c r="M558" s="12">
        <f t="shared" si="63"/>
        <v>0</v>
      </c>
      <c r="N558" s="12"/>
      <c r="O558" s="12"/>
      <c r="P558" s="12">
        <f t="shared" si="64"/>
        <v>780000</v>
      </c>
      <c r="Q558" s="12">
        <v>780000</v>
      </c>
      <c r="R558" s="12"/>
      <c r="S558" s="12">
        <f t="shared" si="65"/>
        <v>0</v>
      </c>
      <c r="T558" s="12"/>
      <c r="U558" s="12"/>
      <c r="V558" s="12">
        <f t="shared" si="66"/>
        <v>0</v>
      </c>
      <c r="W558" s="12"/>
      <c r="X558" s="12"/>
      <c r="Y558" s="12">
        <f t="shared" si="67"/>
        <v>0</v>
      </c>
      <c r="Z558" s="12"/>
      <c r="AA558" s="12"/>
      <c r="AB558" s="13">
        <f t="shared" si="74"/>
        <v>0</v>
      </c>
      <c r="AC558" s="14">
        <v>46100</v>
      </c>
    </row>
    <row r="559" spans="1:29" ht="15.75" x14ac:dyDescent="0.25">
      <c r="A559" s="65">
        <v>46100</v>
      </c>
      <c r="B559" s="10" t="s">
        <v>312</v>
      </c>
      <c r="C559" s="10"/>
      <c r="D559" s="10" t="s">
        <v>195</v>
      </c>
      <c r="E559" s="10" t="s">
        <v>134</v>
      </c>
      <c r="F559" s="10">
        <v>10</v>
      </c>
      <c r="G559" s="10" t="s">
        <v>26</v>
      </c>
      <c r="H559" s="10">
        <v>75000</v>
      </c>
      <c r="I559" s="10">
        <f t="shared" si="72"/>
        <v>750000</v>
      </c>
      <c r="J559" s="29" t="s">
        <v>110</v>
      </c>
      <c r="K559" s="10"/>
      <c r="L559" s="10" t="s">
        <v>665</v>
      </c>
      <c r="M559" s="12">
        <f t="shared" si="63"/>
        <v>0</v>
      </c>
      <c r="N559" s="12"/>
      <c r="O559" s="12"/>
      <c r="P559" s="12">
        <f t="shared" si="64"/>
        <v>750000</v>
      </c>
      <c r="Q559" s="12">
        <v>750000</v>
      </c>
      <c r="R559" s="12"/>
      <c r="S559" s="12">
        <f t="shared" si="65"/>
        <v>0</v>
      </c>
      <c r="T559" s="12"/>
      <c r="U559" s="12"/>
      <c r="V559" s="12">
        <f t="shared" si="66"/>
        <v>0</v>
      </c>
      <c r="W559" s="12"/>
      <c r="X559" s="12"/>
      <c r="Y559" s="12">
        <f t="shared" si="67"/>
        <v>0</v>
      </c>
      <c r="Z559" s="12"/>
      <c r="AA559" s="12"/>
      <c r="AB559" s="13">
        <f t="shared" si="74"/>
        <v>0</v>
      </c>
      <c r="AC559" s="14">
        <v>46100</v>
      </c>
    </row>
    <row r="560" spans="1:29" ht="15.75" x14ac:dyDescent="0.25">
      <c r="A560" s="65">
        <v>46100</v>
      </c>
      <c r="B560" s="10" t="s">
        <v>312</v>
      </c>
      <c r="C560" s="10"/>
      <c r="D560" s="10" t="s">
        <v>195</v>
      </c>
      <c r="E560" s="10" t="s">
        <v>112</v>
      </c>
      <c r="F560" s="10">
        <v>10</v>
      </c>
      <c r="G560" s="10" t="s">
        <v>26</v>
      </c>
      <c r="H560" s="10">
        <v>95000</v>
      </c>
      <c r="I560" s="10">
        <f t="shared" si="72"/>
        <v>950000</v>
      </c>
      <c r="J560" s="29" t="s">
        <v>110</v>
      </c>
      <c r="K560" s="10"/>
      <c r="L560" s="10" t="s">
        <v>665</v>
      </c>
      <c r="M560" s="12">
        <f t="shared" si="63"/>
        <v>0</v>
      </c>
      <c r="N560" s="12"/>
      <c r="O560" s="12"/>
      <c r="P560" s="12">
        <f t="shared" si="64"/>
        <v>950000</v>
      </c>
      <c r="Q560" s="12">
        <v>950000</v>
      </c>
      <c r="R560" s="12"/>
      <c r="S560" s="12">
        <f t="shared" si="65"/>
        <v>0</v>
      </c>
      <c r="T560" s="12"/>
      <c r="U560" s="12"/>
      <c r="V560" s="12">
        <f t="shared" si="66"/>
        <v>0</v>
      </c>
      <c r="W560" s="12"/>
      <c r="X560" s="12"/>
      <c r="Y560" s="12">
        <f t="shared" si="67"/>
        <v>0</v>
      </c>
      <c r="Z560" s="12"/>
      <c r="AA560" s="12"/>
      <c r="AB560" s="13">
        <f t="shared" si="74"/>
        <v>0</v>
      </c>
      <c r="AC560" s="14">
        <v>46100</v>
      </c>
    </row>
    <row r="561" spans="1:29" ht="15.75" x14ac:dyDescent="0.25">
      <c r="A561" s="65">
        <v>46100</v>
      </c>
      <c r="B561" s="10" t="s">
        <v>272</v>
      </c>
      <c r="C561" s="10"/>
      <c r="D561" s="10"/>
      <c r="E561" s="10" t="s">
        <v>86</v>
      </c>
      <c r="F561" s="10">
        <v>29.4</v>
      </c>
      <c r="G561" s="10" t="s">
        <v>36</v>
      </c>
      <c r="H561" s="10">
        <v>43000</v>
      </c>
      <c r="I561" s="10">
        <f t="shared" si="72"/>
        <v>1264200</v>
      </c>
      <c r="J561" s="86" t="s">
        <v>76</v>
      </c>
      <c r="K561" s="10"/>
      <c r="L561" s="10"/>
      <c r="M561" s="12">
        <f t="shared" si="63"/>
        <v>0</v>
      </c>
      <c r="N561" s="12"/>
      <c r="O561" s="12"/>
      <c r="P561" s="12">
        <f t="shared" si="64"/>
        <v>0</v>
      </c>
      <c r="Q561" s="12"/>
      <c r="R561" s="12"/>
      <c r="S561" s="12">
        <f t="shared" si="65"/>
        <v>0</v>
      </c>
      <c r="T561" s="12"/>
      <c r="U561" s="12"/>
      <c r="V561" s="12">
        <f t="shared" si="66"/>
        <v>0</v>
      </c>
      <c r="W561" s="12"/>
      <c r="X561" s="12"/>
      <c r="Y561" s="12">
        <f t="shared" si="67"/>
        <v>0</v>
      </c>
      <c r="Z561" s="12"/>
      <c r="AA561" s="12"/>
      <c r="AB561" s="13">
        <f t="shared" si="74"/>
        <v>1264200</v>
      </c>
      <c r="AC561" s="14"/>
    </row>
    <row r="562" spans="1:29" ht="15.75" x14ac:dyDescent="0.25">
      <c r="A562" s="65">
        <v>46100</v>
      </c>
      <c r="B562" s="10" t="s">
        <v>272</v>
      </c>
      <c r="C562" s="10"/>
      <c r="D562" s="10"/>
      <c r="E562" s="10" t="s">
        <v>307</v>
      </c>
      <c r="F562" s="10">
        <v>27.2</v>
      </c>
      <c r="G562" s="10" t="s">
        <v>36</v>
      </c>
      <c r="H562" s="10">
        <v>43000</v>
      </c>
      <c r="I562" s="10">
        <f t="shared" si="72"/>
        <v>1169600</v>
      </c>
      <c r="J562" s="86" t="s">
        <v>76</v>
      </c>
      <c r="K562" s="10"/>
      <c r="L562" s="10"/>
      <c r="M562" s="12">
        <f t="shared" si="63"/>
        <v>0</v>
      </c>
      <c r="N562" s="12"/>
      <c r="O562" s="12"/>
      <c r="P562" s="12">
        <f t="shared" si="64"/>
        <v>0</v>
      </c>
      <c r="Q562" s="12"/>
      <c r="R562" s="12"/>
      <c r="S562" s="12">
        <f t="shared" si="65"/>
        <v>0</v>
      </c>
      <c r="T562" s="12"/>
      <c r="U562" s="12"/>
      <c r="V562" s="12">
        <f t="shared" si="66"/>
        <v>0</v>
      </c>
      <c r="W562" s="12"/>
      <c r="X562" s="12"/>
      <c r="Y562" s="12">
        <f t="shared" si="67"/>
        <v>0</v>
      </c>
      <c r="Z562" s="12"/>
      <c r="AA562" s="12"/>
      <c r="AB562" s="13">
        <f t="shared" si="74"/>
        <v>1169600</v>
      </c>
      <c r="AC562" s="14"/>
    </row>
    <row r="563" spans="1:29" ht="15.75" x14ac:dyDescent="0.25">
      <c r="A563" s="28">
        <v>46100</v>
      </c>
      <c r="B563" s="10" t="s">
        <v>272</v>
      </c>
      <c r="C563" s="10"/>
      <c r="D563" s="10"/>
      <c r="E563" s="10" t="s">
        <v>86</v>
      </c>
      <c r="F563" s="10">
        <v>29</v>
      </c>
      <c r="G563" s="10" t="s">
        <v>36</v>
      </c>
      <c r="H563" s="10">
        <v>43000</v>
      </c>
      <c r="I563" s="10">
        <f t="shared" si="72"/>
        <v>1247000</v>
      </c>
      <c r="J563" s="86" t="s">
        <v>76</v>
      </c>
      <c r="K563" s="10"/>
      <c r="L563" s="10"/>
      <c r="M563" s="12">
        <f t="shared" si="63"/>
        <v>0</v>
      </c>
      <c r="N563" s="12"/>
      <c r="O563" s="12"/>
      <c r="P563" s="12">
        <f t="shared" si="64"/>
        <v>0</v>
      </c>
      <c r="Q563" s="12"/>
      <c r="R563" s="12"/>
      <c r="S563" s="12">
        <f t="shared" si="65"/>
        <v>0</v>
      </c>
      <c r="T563" s="12"/>
      <c r="U563" s="12"/>
      <c r="V563" s="12">
        <f t="shared" si="66"/>
        <v>0</v>
      </c>
      <c r="W563" s="12"/>
      <c r="X563" s="12"/>
      <c r="Y563" s="12">
        <f t="shared" si="67"/>
        <v>0</v>
      </c>
      <c r="Z563" s="12"/>
      <c r="AA563" s="12"/>
      <c r="AB563" s="13">
        <f t="shared" si="74"/>
        <v>1247000</v>
      </c>
      <c r="AC563" s="14"/>
    </row>
    <row r="564" spans="1:29" ht="15.75" x14ac:dyDescent="0.25">
      <c r="A564" s="65">
        <v>46100</v>
      </c>
      <c r="B564" s="66" t="s">
        <v>272</v>
      </c>
      <c r="C564" s="66"/>
      <c r="D564" s="66"/>
      <c r="E564" s="66" t="s">
        <v>265</v>
      </c>
      <c r="F564" s="66">
        <v>21.5</v>
      </c>
      <c r="G564" s="66" t="s">
        <v>36</v>
      </c>
      <c r="H564" s="66">
        <v>43000</v>
      </c>
      <c r="I564" s="10">
        <f t="shared" si="72"/>
        <v>924500</v>
      </c>
      <c r="J564" s="86" t="s">
        <v>76</v>
      </c>
      <c r="K564" s="66"/>
      <c r="L564" s="10"/>
      <c r="M564" s="12">
        <f t="shared" si="63"/>
        <v>0</v>
      </c>
      <c r="N564" s="12"/>
      <c r="O564" s="12"/>
      <c r="P564" s="12">
        <f t="shared" si="64"/>
        <v>0</v>
      </c>
      <c r="Q564" s="12"/>
      <c r="R564" s="12"/>
      <c r="S564" s="12">
        <f t="shared" si="65"/>
        <v>0</v>
      </c>
      <c r="T564" s="12"/>
      <c r="U564" s="12"/>
      <c r="V564" s="12">
        <f t="shared" si="66"/>
        <v>0</v>
      </c>
      <c r="W564" s="12"/>
      <c r="X564" s="12"/>
      <c r="Y564" s="12">
        <f t="shared" si="67"/>
        <v>0</v>
      </c>
      <c r="Z564" s="12"/>
      <c r="AA564" s="12"/>
      <c r="AB564" s="13">
        <f t="shared" si="74"/>
        <v>924500</v>
      </c>
      <c r="AC564" s="14"/>
    </row>
    <row r="565" spans="1:29" ht="16.5" thickBot="1" x14ac:dyDescent="0.3">
      <c r="A565" s="53">
        <v>46100</v>
      </c>
      <c r="B565" s="54" t="s">
        <v>666</v>
      </c>
      <c r="C565" s="54"/>
      <c r="D565" s="54" t="s">
        <v>195</v>
      </c>
      <c r="E565" s="54" t="s">
        <v>424</v>
      </c>
      <c r="F565" s="54">
        <v>4</v>
      </c>
      <c r="G565" s="54" t="s">
        <v>22</v>
      </c>
      <c r="H565" s="54">
        <v>40000</v>
      </c>
      <c r="I565" s="31">
        <f t="shared" si="72"/>
        <v>160000</v>
      </c>
      <c r="J565" s="55" t="s">
        <v>110</v>
      </c>
      <c r="K565" s="54"/>
      <c r="L565" s="31"/>
      <c r="M565" s="34">
        <f t="shared" si="63"/>
        <v>0</v>
      </c>
      <c r="N565" s="34"/>
      <c r="O565" s="34"/>
      <c r="P565" s="34">
        <f t="shared" si="64"/>
        <v>0</v>
      </c>
      <c r="Q565" s="34"/>
      <c r="R565" s="34"/>
      <c r="S565" s="34">
        <f t="shared" si="65"/>
        <v>160000</v>
      </c>
      <c r="T565" s="133">
        <v>160000</v>
      </c>
      <c r="U565" s="34"/>
      <c r="V565" s="34">
        <f t="shared" si="66"/>
        <v>0</v>
      </c>
      <c r="W565" s="34"/>
      <c r="X565" s="34"/>
      <c r="Y565" s="34">
        <f t="shared" si="67"/>
        <v>0</v>
      </c>
      <c r="Z565" s="34"/>
      <c r="AA565" s="34"/>
      <c r="AB565" s="35">
        <f t="shared" si="74"/>
        <v>0</v>
      </c>
      <c r="AC565" s="36">
        <v>46100</v>
      </c>
    </row>
  </sheetData>
  <autoFilter ref="A3:AC553"/>
  <mergeCells count="17">
    <mergeCell ref="AC1:AC3"/>
    <mergeCell ref="C2:C3"/>
    <mergeCell ref="D2:D3"/>
    <mergeCell ref="E2:E3"/>
    <mergeCell ref="F2:F3"/>
    <mergeCell ref="G2:G3"/>
    <mergeCell ref="AB2:AB3"/>
    <mergeCell ref="H2:I2"/>
    <mergeCell ref="M2:O2"/>
    <mergeCell ref="P2:R2"/>
    <mergeCell ref="S2:U2"/>
    <mergeCell ref="V2:X2"/>
    <mergeCell ref="Y2:AA2"/>
    <mergeCell ref="A1:A3"/>
    <mergeCell ref="B1:B3"/>
    <mergeCell ref="E1:I1"/>
    <mergeCell ref="M1:AA1"/>
  </mergeCells>
  <dataValidations count="136">
    <dataValidation allowBlank="1" showInputMessage="1" sqref="B1 F2 C1:E2 B5:B10 D5:F10 C4:C25"/>
    <dataValidation type="list" allowBlank="1" showInputMessage="1" showErrorMessage="1" sqref="B565">
      <formula1>$AA$2:$AA$1586</formula1>
    </dataValidation>
    <dataValidation type="list" allowBlank="1" showInputMessage="1" showErrorMessage="1" sqref="E476:E565">
      <formula1>$AB$2:$AB$327</formula1>
    </dataValidation>
    <dataValidation type="list" allowBlank="1" showInputMessage="1" showErrorMessage="1" sqref="C449">
      <formula1>$Z$2:$Z$906</formula1>
    </dataValidation>
    <dataValidation type="list" allowBlank="1" showInputMessage="1" showErrorMessage="1" sqref="B449:B475 B520:B564">
      <formula1>$AA$2:$AA$1585</formula1>
    </dataValidation>
    <dataValidation type="list" allowBlank="1" showInputMessage="1" showErrorMessage="1" sqref="C433:C436 C476:C477">
      <formula1>$Z$2:$Z$907</formula1>
    </dataValidation>
    <dataValidation type="list" allowBlank="1" showInputMessage="1" showErrorMessage="1" sqref="C420:C432 C464:C475">
      <formula1>$Z$2:$Z$908</formula1>
    </dataValidation>
    <dataValidation type="list" allowBlank="1" showInputMessage="1" showErrorMessage="1" sqref="B411:B447">
      <formula1>$AA$2:$AA$1583</formula1>
    </dataValidation>
    <dataValidation type="list" allowBlank="1" showInputMessage="1" showErrorMessage="1" sqref="B81 B170 B116:B128 B84:B88">
      <formula1>$AB$2:$AB$1569</formula1>
    </dataValidation>
    <dataValidation type="list" allowBlank="1" showInputMessage="1" showErrorMessage="1" sqref="B129:B139 B160:B169 B171:B184">
      <formula1>$AB$2:$AB$1570</formula1>
    </dataValidation>
    <dataValidation type="list" allowBlank="1" showInputMessage="1" showErrorMessage="1" sqref="C176:C184">
      <formula1>$AA$2:$AA$903</formula1>
    </dataValidation>
    <dataValidation type="list" allowBlank="1" showInputMessage="1" showErrorMessage="1" sqref="C185:C187">
      <formula1>$Z$2:$Z$903</formula1>
    </dataValidation>
    <dataValidation type="list" allowBlank="1" showInputMessage="1" showErrorMessage="1" sqref="B185:B187 B248:B249 B208:B218">
      <formula1>$AA$2:$AA$1570</formula1>
    </dataValidation>
    <dataValidation type="list" allowBlank="1" showInputMessage="1" showErrorMessage="1" sqref="C188:C190">
      <formula1>$Z$2:$Z$902</formula1>
    </dataValidation>
    <dataValidation type="list" allowBlank="1" showInputMessage="1" showErrorMessage="1" sqref="B188:B190 B195:B207">
      <formula1>$AA$2:$AA$1569</formula1>
    </dataValidation>
    <dataValidation type="list" allowBlank="1" showInputMessage="1" showErrorMessage="1" sqref="B191:B194">
      <formula1>$AA$2:$AA$1568</formula1>
    </dataValidation>
    <dataValidation type="list" allowBlank="1" showInputMessage="1" showErrorMessage="1" sqref="C191:C194 C267:C284 C213:C220 C196:C210">
      <formula1>$Z$2:$Z$901</formula1>
    </dataValidation>
    <dataValidation type="list" allowBlank="1" showInputMessage="1" showErrorMessage="1" sqref="B219:B247 B250:B257">
      <formula1>$AA$2:$AA$1571</formula1>
    </dataValidation>
    <dataValidation type="list" allowBlank="1" showInputMessage="1" showErrorMessage="1" sqref="C225:C247 C258:C266">
      <formula1>$Z$2:$Z$900</formula1>
    </dataValidation>
    <dataValidation type="list" allowBlank="1" showInputMessage="1" showErrorMessage="1" sqref="C248:C257">
      <formula1>$Z$2:$Z$899</formula1>
    </dataValidation>
    <dataValidation type="list" allowBlank="1" showInputMessage="1" showErrorMessage="1" sqref="B258:B266">
      <formula1>$AA$2:$AA$1572</formula1>
    </dataValidation>
    <dataValidation type="list" allowBlank="1" showInputMessage="1" showErrorMessage="1" sqref="B267:B275">
      <formula1>$AA$2:$AA$1574</formula1>
    </dataValidation>
    <dataValidation type="list" allowBlank="1" showInputMessage="1" showErrorMessage="1" sqref="B276:B286">
      <formula1>$AA$2:$AA$1575</formula1>
    </dataValidation>
    <dataValidation type="list" allowBlank="1" showInputMessage="1" showErrorMessage="1" sqref="C285:C286">
      <formula1>$Z$2:$Z$892</formula1>
    </dataValidation>
    <dataValidation type="list" allowBlank="1" showInputMessage="1" showErrorMessage="1" sqref="C35 C102:C115">
      <formula1>$AA$2:$AA$907</formula1>
    </dataValidation>
    <dataValidation type="list" allowBlank="1" showInputMessage="1" showErrorMessage="1" sqref="B61:B63">
      <formula1>$AB$2:$AB$1553</formula1>
    </dataValidation>
    <dataValidation type="list" allowBlank="1" showInputMessage="1" showErrorMessage="1" sqref="C70:C71 C126:C139 C116:C120 C98 C91:C94">
      <formula1>$AA$2:$AA$908</formula1>
    </dataValidation>
    <dataValidation type="list" allowBlank="1" showInputMessage="1" showErrorMessage="1" sqref="C44 C121:C125 C39:C42">
      <formula1>$AA$2:$AA$899</formula1>
    </dataValidation>
    <dataValidation type="list" allowBlank="1" showInputMessage="1" showErrorMessage="1" sqref="C45:C47 C99:C101">
      <formula1>$AA$2:$AA$905</formula1>
    </dataValidation>
    <dataValidation type="list" allowBlank="1" showInputMessage="1" showErrorMessage="1" sqref="B47:B48 B64">
      <formula1>$AB$2:$AB$1555</formula1>
    </dataValidation>
    <dataValidation type="list" allowBlank="1" showInputMessage="1" showErrorMessage="1" sqref="C64:C66">
      <formula1>$AA$2:$AA$904</formula1>
    </dataValidation>
    <dataValidation type="list" allowBlank="1" showInputMessage="1" showErrorMessage="1" sqref="B65:B66">
      <formula1>$AB$2:$AB$1556</formula1>
    </dataValidation>
    <dataValidation type="list" allowBlank="1" showInputMessage="1" showErrorMessage="1" sqref="C67:C69">
      <formula1>$AA$2:$AA$906</formula1>
    </dataValidation>
    <dataValidation type="list" allowBlank="1" showInputMessage="1" showErrorMessage="1" sqref="B67">
      <formula1>$AB$2:$AB$1560</formula1>
    </dataValidation>
    <dataValidation type="list" allowBlank="1" showInputMessage="1" showErrorMessage="1" sqref="B68:B69">
      <formula1>$AB$2:$AB$1561</formula1>
    </dataValidation>
    <dataValidation type="list" allowBlank="1" showInputMessage="1" showErrorMessage="1" sqref="B70:B71">
      <formula1>$AB$2:$AB$1563</formula1>
    </dataValidation>
    <dataValidation type="list" allowBlank="1" showInputMessage="1" showErrorMessage="1" sqref="B72 B99:B101 B75">
      <formula1>$AB$2:$AB$1564</formula1>
    </dataValidation>
    <dataValidation type="list" allowBlank="1" showInputMessage="1" showErrorMessage="1" sqref="C72 C89:C90 C75">
      <formula1>$AA$2:$AA$909</formula1>
    </dataValidation>
    <dataValidation type="list" allowBlank="1" showInputMessage="1" showErrorMessage="1" sqref="C73:C74 C84:C88">
      <formula1>$AA$2:$AA$910</formula1>
    </dataValidation>
    <dataValidation type="list" allowBlank="1" showInputMessage="1" showErrorMessage="1" sqref="B73:B74">
      <formula1>$AB$2:$AB$1565</formula1>
    </dataValidation>
    <dataValidation type="list" allowBlank="1" showInputMessage="1" showErrorMessage="1" sqref="C76:C79">
      <formula1>$AA$2:$AA$912</formula1>
    </dataValidation>
    <dataValidation type="list" allowBlank="1" showInputMessage="1" showErrorMessage="1" sqref="B76:B80 B89:B90">
      <formula1>$AB$2:$AB$1568</formula1>
    </dataValidation>
    <dataValidation type="list" allowBlank="1" showInputMessage="1" showErrorMessage="1" sqref="C80">
      <formula1>$AA$2:$AA$510</formula1>
    </dataValidation>
    <dataValidation type="list" allowBlank="1" showInputMessage="1" showErrorMessage="1" sqref="B82:B83 B153:B159 B112:B115 B91:B98">
      <formula1>$AB$2:$AB$1567</formula1>
    </dataValidation>
    <dataValidation type="list" allowBlank="1" showInputMessage="1" showErrorMessage="1" sqref="B102:B111">
      <formula1>$AB$2:$AB$1566</formula1>
    </dataValidation>
    <dataValidation type="list" allowBlank="1" showInputMessage="1" showErrorMessage="1" sqref="C95:C97">
      <formula1>$AA$2:$AA$911</formula1>
    </dataValidation>
    <dataValidation type="list" allowBlank="1" showInputMessage="1" showErrorMessage="1" sqref="B140:B152">
      <formula1>$AB$2:$AB$1572</formula1>
    </dataValidation>
    <dataValidation type="list" allowBlank="1" showInputMessage="1" showErrorMessage="1" sqref="C140:C144">
      <formula1>$AA$2:$AA$504</formula1>
    </dataValidation>
    <dataValidation type="list" allowBlank="1" showInputMessage="1" showErrorMessage="1" sqref="C145:C147">
      <formula1>$AA$2:$AA$477</formula1>
    </dataValidation>
    <dataValidation type="list" allowBlank="1" showInputMessage="1" showErrorMessage="1" sqref="B31 B49:B53">
      <formula1>$AB$2:$AB$1531</formula1>
    </dataValidation>
    <dataValidation type="list" allowBlank="1" showInputMessage="1" showErrorMessage="1" sqref="B39:B42">
      <formula1>$AB$2:$AB$1547</formula1>
    </dataValidation>
    <dataValidation type="list" allowBlank="1" showInputMessage="1" sqref="B44">
      <formula1>$AB$2:$AB$1548</formula1>
    </dataValidation>
    <dataValidation type="list" allowBlank="1" showInputMessage="1" showErrorMessage="1" sqref="C43">
      <formula1>$AA$2:$AA$900</formula1>
    </dataValidation>
    <dataValidation type="list" allowBlank="1" showInputMessage="1" showErrorMessage="1" sqref="B43">
      <formula1>$AB$2:$AB$1549</formula1>
    </dataValidation>
    <dataValidation type="list" allowBlank="1" showInputMessage="1" showErrorMessage="1" sqref="B45:B46">
      <formula1>$AB$2:$AB$1554</formula1>
    </dataValidation>
    <dataValidation type="list" allowBlank="1" showInputMessage="1" sqref="B54:B60">
      <formula1>$AB$2:$AB$1555</formula1>
    </dataValidation>
    <dataValidation type="list" allowBlank="1" showInputMessage="1" showErrorMessage="1" sqref="B287:B295">
      <formula1>$AA$2:$AA$1578</formula1>
    </dataValidation>
    <dataValidation type="list" allowBlank="1" showInputMessage="1" showErrorMessage="1" sqref="B17">
      <formula1>$AB$2:$AB$829</formula1>
    </dataValidation>
    <dataValidation type="list" allowBlank="1" showInputMessage="1" showErrorMessage="1" sqref="B16">
      <formula1>$AB$2:$AB$827</formula1>
    </dataValidation>
    <dataValidation type="list" allowBlank="1" showInputMessage="1" showErrorMessage="1" sqref="B4">
      <formula1>$AB$2:$AB$597</formula1>
    </dataValidation>
    <dataValidation type="list" allowBlank="1" showInputMessage="1" showErrorMessage="1" sqref="B11:B14">
      <formula1>$AB$2:$AB$598</formula1>
    </dataValidation>
    <dataValidation type="list" allowBlank="1" showInputMessage="1" sqref="B15">
      <formula1>$AB$2:$AB$615</formula1>
    </dataValidation>
    <dataValidation type="list" allowBlank="1" showInputMessage="1" showErrorMessage="1" sqref="B20">
      <formula1>$AB$2:$AB$975</formula1>
    </dataValidation>
    <dataValidation type="list" allowBlank="1" showInputMessage="1" sqref="B18:B19">
      <formula1>$AB$2:$AB$941</formula1>
    </dataValidation>
    <dataValidation type="list" allowBlank="1" showInputMessage="1" showErrorMessage="1" sqref="B21">
      <formula1>$AB$2:$AB$1107</formula1>
    </dataValidation>
    <dataValidation type="list" allowBlank="1" showInputMessage="1" showErrorMessage="1" sqref="B22">
      <formula1>$AB$2:$AB$1194</formula1>
    </dataValidation>
    <dataValidation type="list" allowBlank="1" showInputMessage="1" showErrorMessage="1" sqref="B23">
      <formula1>$AB$2:$AB$1405</formula1>
    </dataValidation>
    <dataValidation type="list" allowBlank="1" showInputMessage="1" showErrorMessage="1" sqref="B24">
      <formula1>$AB$2:$AB$1406</formula1>
    </dataValidation>
    <dataValidation type="list" allowBlank="1" showInputMessage="1" showErrorMessage="1" sqref="B25">
      <formula1>$AB$2:$AB$1420</formula1>
    </dataValidation>
    <dataValidation type="list" allowBlank="1" showInputMessage="1" showErrorMessage="1" sqref="B26">
      <formula1>$AB$2:$AB$1513</formula1>
    </dataValidation>
    <dataValidation type="list" allowBlank="1" showInputMessage="1" showErrorMessage="1" sqref="B32">
      <formula1>$AB$2:$AB$1532</formula1>
    </dataValidation>
    <dataValidation type="list" allowBlank="1" showInputMessage="1" showErrorMessage="1" sqref="C28">
      <formula1>$AA$2:$AA$891</formula1>
    </dataValidation>
    <dataValidation type="list" allowBlank="1" showInputMessage="1" showErrorMessage="1" sqref="B27:B29">
      <formula1>$AB$2:$AB$1524</formula1>
    </dataValidation>
    <dataValidation type="list" allowBlank="1" showInputMessage="1" showErrorMessage="1" sqref="C27 C29">
      <formula1>$AA$2:$AA$888</formula1>
    </dataValidation>
    <dataValidation type="list" allowBlank="1" showInputMessage="1" showErrorMessage="1" sqref="B30">
      <formula1>$AB$2:$AB$1529</formula1>
    </dataValidation>
    <dataValidation type="list" allowBlank="1" showInputMessage="1" showErrorMessage="1" sqref="C30">
      <formula1>$AA$2:$AA$892</formula1>
    </dataValidation>
    <dataValidation type="list" allowBlank="1" showInputMessage="1" showErrorMessage="1" sqref="B33:B34">
      <formula1>$AB$2:$AB$1540</formula1>
    </dataValidation>
    <dataValidation type="list" allowBlank="1" showInputMessage="1" showErrorMessage="1" sqref="C33:C34">
      <formula1>$AA$2:$AA$895</formula1>
    </dataValidation>
    <dataValidation type="list" allowBlank="1" showInputMessage="1" showErrorMessage="1" sqref="B36:B37">
      <formula1>$AB$2:$AB$1542</formula1>
    </dataValidation>
    <dataValidation type="list" allowBlank="1" showInputMessage="1" showErrorMessage="1" sqref="B38">
      <formula1>$AB$2:$AB$1539</formula1>
    </dataValidation>
    <dataValidation type="list" allowBlank="1" showInputMessage="1" sqref="B35">
      <formula1>$AB$2:$AB$1553</formula1>
    </dataValidation>
    <dataValidation type="list" allowBlank="1" showInputMessage="1" showErrorMessage="1" sqref="B296:B311">
      <formula1>$AA$2:$AA$1580</formula1>
    </dataValidation>
    <dataValidation type="list" allowBlank="1" showInputMessage="1" showErrorMessage="1" sqref="B312:B410">
      <formula1>$AA$2:$AA$1581</formula1>
    </dataValidation>
    <dataValidation type="list" allowBlank="1" showInputMessage="1" showErrorMessage="1" sqref="B448 B476:B519">
      <formula1>$AA$2:$AA$1584</formula1>
    </dataValidation>
    <dataValidation type="list" allowBlank="1" showInputMessage="1" showErrorMessage="1" sqref="D18:D30 D33:D37">
      <formula1>$AD$2:$AD$7</formula1>
    </dataValidation>
    <dataValidation type="list" allowBlank="1" showInputMessage="1" showErrorMessage="1" sqref="D4 D11:D17">
      <formula1>$AD$2:$AD$5</formula1>
    </dataValidation>
    <dataValidation type="list" allowBlank="1" showInputMessage="1" showErrorMessage="1" sqref="E170:E184">
      <formula1>$AC$2:$AC$326</formula1>
    </dataValidation>
    <dataValidation type="list" allowBlank="1" showInputMessage="1" showErrorMessage="1" sqref="D44:D48 D38:D42 D54:D128 D130:D178 D184">
      <formula1>$AD$2:$AD$8</formula1>
    </dataValidation>
    <dataValidation type="list" allowBlank="1" showInputMessage="1" showErrorMessage="1" sqref="E80:E83 E160:E169">
      <formula1>$AC$2:$AC$327</formula1>
    </dataValidation>
    <dataValidation type="list" allowBlank="1" showInputMessage="1" showErrorMessage="1" sqref="E185:E187">
      <formula1>$AB$2:$AB$326</formula1>
    </dataValidation>
    <dataValidation type="list" allowBlank="1" showInputMessage="1" showErrorMessage="1" sqref="C160:C169">
      <formula1>$AA$2:$AA$393</formula1>
    </dataValidation>
    <dataValidation type="list" allowBlank="1" showInputMessage="1" showErrorMessage="1" sqref="C170:C175">
      <formula1>$AA$2:$AA$392</formula1>
    </dataValidation>
    <dataValidation type="list" allowBlank="1" showInputMessage="1" showErrorMessage="1" sqref="D185:D194 D198:D565">
      <formula1>$AC$2:$AC$8</formula1>
    </dataValidation>
    <dataValidation type="list" allowBlank="1" showInputMessage="1" showErrorMessage="1" sqref="E188:E224 E267:E286">
      <formula1>$AB$2:$AB$325</formula1>
    </dataValidation>
    <dataValidation type="list" allowBlank="1" showInputMessage="1" sqref="D195:D197">
      <formula1>$AC$2:$AC$8</formula1>
    </dataValidation>
    <dataValidation type="list" allowBlank="1" showInputMessage="1" sqref="D43 D49:D53 D129 D179:D183">
      <formula1>$AD$2:$AD$8</formula1>
    </dataValidation>
    <dataValidation type="list" allowBlank="1" showInputMessage="1" showErrorMessage="1" sqref="C437:C447 C211:C212 C287:C295 C221:C224 C478:C565">
      <formula1>$Z$2:$Z$904</formula1>
    </dataValidation>
    <dataValidation type="list" allowBlank="1" showInputMessage="1" showErrorMessage="1" sqref="E225:E247 E258:E266">
      <formula1>$AB$2:$AB$324</formula1>
    </dataValidation>
    <dataValidation type="list" allowBlank="1" showInputMessage="1" showErrorMessage="1" sqref="E248:E257">
      <formula1>$AB$2:$AB$323</formula1>
    </dataValidation>
    <dataValidation type="list" allowBlank="1" showInputMessage="1" sqref="D31:D32">
      <formula1>$AD$2:$AD$7</formula1>
    </dataValidation>
    <dataValidation type="list" allowBlank="1" showInputMessage="1" showErrorMessage="1" sqref="E69">
      <formula1>$AC$2:$AC$319</formula1>
    </dataValidation>
    <dataValidation type="list" allowBlank="1" showInputMessage="1" showErrorMessage="1" sqref="E67:E68">
      <formula1>$AC$2:$AC$320</formula1>
    </dataValidation>
    <dataValidation type="list" allowBlank="1" showInputMessage="1" showErrorMessage="1" sqref="E70:E71 E99:E101">
      <formula1>$AC$2:$AC$321</formula1>
    </dataValidation>
    <dataValidation type="list" allowBlank="1" showInputMessage="1" showErrorMessage="1" sqref="E72 E91:E95 E75">
      <formula1>$AC$2:$AC$322</formula1>
    </dataValidation>
    <dataValidation type="list" allowBlank="1" showInputMessage="1" showErrorMessage="1" sqref="E73:E74 E102:E111 E96:E97 E89:E90">
      <formula1>$AC$2:$AC$323</formula1>
    </dataValidation>
    <dataValidation type="list" allowBlank="1" showInputMessage="1" showErrorMessage="1" sqref="E76:E79 E116:E159">
      <formula1>$AC$2:$AC$325</formula1>
    </dataValidation>
    <dataValidation type="list" allowBlank="1" showInputMessage="1" showErrorMessage="1" sqref="E84:E88 E112:E115 E98">
      <formula1>$AC$2:$AC$324</formula1>
    </dataValidation>
    <dataValidation type="list" allowBlank="1" showInputMessage="1" showErrorMessage="1" sqref="C81:C83">
      <formula1>$AA$2:$AA$397</formula1>
    </dataValidation>
    <dataValidation type="list" allowBlank="1" showInputMessage="1" showErrorMessage="1" sqref="C149:C159">
      <formula1>$AA$2:$AA$391</formula1>
    </dataValidation>
    <dataValidation type="list" allowBlank="1" showInputMessage="1" showErrorMessage="1" sqref="C148">
      <formula1>$AA$2:$AA$429</formula1>
    </dataValidation>
    <dataValidation type="list" allowBlank="1" showInputMessage="1" showErrorMessage="1" sqref="E45:E66 E35">
      <formula1>$AC$2:$AC$318</formula1>
    </dataValidation>
    <dataValidation type="list" allowBlank="1" showInputMessage="1" showErrorMessage="1" sqref="E39:E42">
      <formula1>$AC$2:$AC$312</formula1>
    </dataValidation>
    <dataValidation type="list" allowBlank="1" showInputMessage="1" showErrorMessage="1" sqref="E44">
      <formula1>$AC$2:$AC$313</formula1>
    </dataValidation>
    <dataValidation type="list" allowBlank="1" showInputMessage="1" showErrorMessage="1" sqref="E43">
      <formula1>$AC$2:$AC$314</formula1>
    </dataValidation>
    <dataValidation type="list" allowBlank="1" showInputMessage="1" showErrorMessage="1" sqref="C48:C63">
      <formula1>$AA$2:$AA$389</formula1>
    </dataValidation>
    <dataValidation type="list" allowBlank="1" showInputMessage="1" showErrorMessage="1" sqref="E287:E295 E318:E475">
      <formula1>$AB$2:$AB$328</formula1>
    </dataValidation>
    <dataValidation type="list" allowBlank="1" showInputMessage="1" showErrorMessage="1" sqref="E21">
      <formula1>$AC$2:$AC$103</formula1>
    </dataValidation>
    <dataValidation type="list" allowBlank="1" showInputMessage="1" showErrorMessage="1" sqref="E25">
      <formula1>$AC$2:$AC$215</formula1>
    </dataValidation>
    <dataValidation type="list" allowBlank="1" showInputMessage="1" showErrorMessage="1" sqref="E23">
      <formula1>$AC$2:$AC$208</formula1>
    </dataValidation>
    <dataValidation type="list" allowBlank="1" showInputMessage="1" showErrorMessage="1" sqref="E24">
      <formula1>$AC$2:$AC$210</formula1>
    </dataValidation>
    <dataValidation type="list" allowBlank="1" showInputMessage="1" showErrorMessage="1" sqref="E22">
      <formula1>$AC$2:$AC$119</formula1>
    </dataValidation>
    <dataValidation type="list" allowBlank="1" showInputMessage="1" showErrorMessage="1" sqref="E11:E15 E4">
      <formula1>$AC$2:$AC$77</formula1>
    </dataValidation>
    <dataValidation type="list" allowBlank="1" showInputMessage="1" showErrorMessage="1" sqref="E16:E17">
      <formula1>$AC$2:$AC$85</formula1>
    </dataValidation>
    <dataValidation type="list" allowBlank="1" showInputMessage="1" showErrorMessage="1" sqref="E18:E19">
      <formula1>$AC$2:$AC$90</formula1>
    </dataValidation>
    <dataValidation type="list" allowBlank="1" showInputMessage="1" showErrorMessage="1" sqref="E20">
      <formula1>$AC$2:$AC$91</formula1>
    </dataValidation>
    <dataValidation type="list" allowBlank="1" showInputMessage="1" showErrorMessage="1" sqref="E26">
      <formula1>$AC$2:$AC$292</formula1>
    </dataValidation>
    <dataValidation type="list" allowBlank="1" showInputMessage="1" showErrorMessage="1" sqref="E33:E34 E36:E37">
      <formula1>$AC$2:$AC$309</formula1>
    </dataValidation>
    <dataValidation type="list" allowBlank="1" showInputMessage="1" showErrorMessage="1" sqref="E27:E29">
      <formula1>$AC$2:$AC$305</formula1>
    </dataValidation>
    <dataValidation type="list" allowBlank="1" showInputMessage="1" showErrorMessage="1" sqref="E30:E32">
      <formula1>$AC$2:$AC$307</formula1>
    </dataValidation>
    <dataValidation type="list" allowBlank="1" showInputMessage="1" showErrorMessage="1" sqref="E38">
      <formula1>$AC$2:$AC$311</formula1>
    </dataValidation>
    <dataValidation type="list" allowBlank="1" showInputMessage="1" showErrorMessage="1" sqref="C26">
      <formula1>$AA$2:$AA$374</formula1>
    </dataValidation>
    <dataValidation type="list" allowBlank="1" showInputMessage="1" showErrorMessage="1" sqref="C31:C32">
      <formula1>$AA$2:$AA$380</formula1>
    </dataValidation>
    <dataValidation type="list" allowBlank="1" showInputMessage="1" showErrorMessage="1" sqref="C36:C37">
      <formula1>$AA$2:$AA$382</formula1>
    </dataValidation>
    <dataValidation type="list" allowBlank="1" showInputMessage="1" showErrorMessage="1" sqref="C38">
      <formula1>$AA$2:$AA$384</formula1>
    </dataValidation>
    <dataValidation type="list" allowBlank="1" showInputMessage="1" showErrorMessage="1" sqref="C448 C450:C463 C296:C393 C395:C419">
      <formula1>$Z$2:$Z$905</formula1>
    </dataValidation>
    <dataValidation type="list" allowBlank="1" showInputMessage="1" showErrorMessage="1" sqref="E296:E317">
      <formula1>$AB$2:$AB$329</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январь 2026</vt:lpstr>
      <vt:lpstr>февраль 2026</vt:lpstr>
      <vt:lpstr>март 2026</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Oyatillo Orifjonov</cp:lastModifiedBy>
  <dcterms:created xsi:type="dcterms:W3CDTF">2015-06-05T18:19:34Z</dcterms:created>
  <dcterms:modified xsi:type="dcterms:W3CDTF">2026-03-23T17:15:57Z</dcterms:modified>
</cp:coreProperties>
</file>